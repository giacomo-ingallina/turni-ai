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131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 t="str">
        <f>AA$3</f>
        <v>LEONI</v>
      </c>
      <c r="BP3" s="2" t="str">
        <f>AB$3</f>
        <v>ROSSI M</v>
      </c>
      <c r="BQ3" s="2" t="str">
        <f>AC$3</f>
        <v>ROSSI L</v>
      </c>
      <c r="BR3" s="2" t="str">
        <f>AD$3</f>
        <v>GALLINA</v>
      </c>
      <c r="BS3" s="2" t="str">
        <f>AE$3</f>
        <v>RUSSO</v>
      </c>
      <c r="BT3" s="2" t="str">
        <f>AF$3</f>
        <v>VERDI</v>
      </c>
      <c r="BU3" s="2" t="str">
        <f>AG$3</f>
        <v>HU</v>
      </c>
      <c r="BV3" s="2" t="str">
        <f>AH$3</f>
        <v>MARINI</v>
      </c>
      <c r="BW3" s="2" t="str">
        <f>AI$3</f>
        <v>CONTI A</v>
      </c>
      <c r="BX3" s="2" t="str">
        <f>AJ$3</f>
        <v>CONTI S</v>
      </c>
      <c r="BY3" s="2" t="str">
        <f>AK$3</f>
        <v>FERRARI</v>
      </c>
      <c r="BZ3" s="2" t="str">
        <f>AL$3</f>
        <v>GRECO</v>
      </c>
      <c r="CA3" s="2" t="str">
        <f>AM$3</f>
        <v>SANNA</v>
      </c>
      <c r="CB3" s="2" t="str">
        <f>AN$3</f>
        <v>LI</v>
      </c>
      <c r="CC3" s="2" t="n"/>
      <c r="CD3" s="2" t="str">
        <f>AA$3</f>
        <v>LEONI</v>
      </c>
      <c r="CE3" s="2" t="str">
        <f>AB$3</f>
        <v>ROSSI M</v>
      </c>
      <c r="CF3" s="2" t="str">
        <f>AC$3</f>
        <v>ROSSI L</v>
      </c>
      <c r="CG3" s="2" t="str">
        <f>AD$3</f>
        <v>GALLINA</v>
      </c>
      <c r="CH3" s="2" t="str">
        <f>AE$3</f>
        <v>RUSSO</v>
      </c>
      <c r="CI3" s="2" t="str">
        <f>AF$3</f>
        <v>VERDI</v>
      </c>
      <c r="CJ3" s="2" t="str">
        <f>AG$3</f>
        <v>HU</v>
      </c>
      <c r="CK3" s="2" t="str">
        <f>AH$3</f>
        <v>MARINI</v>
      </c>
      <c r="CL3" s="2" t="str">
        <f>AI$3</f>
        <v>CONTI A</v>
      </c>
      <c r="CM3" s="2" t="str">
        <f>AJ$3</f>
        <v>CONTI S</v>
      </c>
      <c r="CN3" s="2" t="str">
        <f>AK$3</f>
        <v>FERRARI</v>
      </c>
      <c r="CO3" s="2" t="str">
        <f>AL$3</f>
        <v>GRECO</v>
      </c>
      <c r="CP3" s="2" t="str">
        <f>AM$3</f>
        <v>SANNA</v>
      </c>
      <c r="CQ3" s="2" t="str">
        <f>AN$3</f>
        <v>LI</v>
      </c>
    </row>
    <row r="4">
      <c r="A4" s="3" t="str">
        <f>CHOOSE(WEEKDAY(DATE($B$1,$A$2,B4),2),"lunedì","martedì","mercoledì","giovedì","venerdì","sabato","domenica")</f>
        <v>domenica</v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>
        <f>IF(SUMPRODUCT(($C$3:$P$3&lt;&gt;"")*($C4:$P4&lt;&gt;"")*(COUNTIFS($C4:$P4,$C4:$P4,$C$3:$P$3,$C$3:$P$3)&gt;1))&gt;0,"X","")</f>
      </c>
      <c r="S4" s="3" t="str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3" t="str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3" t="str">
        <f>A4</f>
        <v>domenica</v>
      </c>
      <c r="Z4" s="3">
        <f>B4</f>
        <v>1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 t="str">
        <f>AA$3</f>
        <v>LEONI</v>
      </c>
      <c r="AT4" s="6">
        <f>COUNTIF($C$4:$D$33,$AS4)</f>
        <v>0</v>
      </c>
      <c r="AU4" s="6">
        <f>COUNTIF($E$4:$F$33,$AS4)</f>
        <v>0</v>
      </c>
      <c r="AV4" s="6">
        <f>COUNTIF($G$4:$H$33,$AS4)</f>
        <v>0</v>
      </c>
      <c r="AW4" s="6">
        <f>COUNTIF($I$4:$J$33,$AS4)</f>
        <v>0</v>
      </c>
      <c r="AX4" s="6">
        <f>COUNTIF($K$4:$K$33,$AS4)</f>
        <v>0</v>
      </c>
      <c r="AY4" s="6">
        <f>COUNTIF($L$4:$L$33,$AS4)</f>
        <v>0</v>
      </c>
      <c r="AZ4" s="6">
        <f>COUNTIF($M$4:$M$33,$AS4)</f>
        <v>0</v>
      </c>
      <c r="BA4" s="6">
        <f>COUNTIF($N$4:$P$33,$AS4)</f>
        <v>0</v>
      </c>
      <c r="BB4" s="6">
        <f>COUNTIF($C$4:$P$33,$AS4)</f>
        <v>0</v>
      </c>
      <c r="BD4" s="7" t="str">
        <f>AA$3</f>
        <v>LEONI</v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 t="str">
        <f>IF(0+(AA4="X")+(AA4="Gn")+(AA4="C")&gt;0,"",IF(0+((AA4&lt;&gt;"Xm"))+((AA4&lt;&gt;"Xp"))+((AA4&lt;&gt;"Xn"))=0,"",IF(0+((AA4&lt;&gt;"Xm"))+((AA4&lt;&gt;"Xp"))+((AA4&lt;&gt;"Xn"))=3,AA$3&amp;", ",AA$3&amp;IF((AA4&lt;&gt;"Xm"),"_m","")&amp;IF((AA4&lt;&gt;"Xp"),"_p","")&amp;IF((AA4&lt;&gt;"Xn"),"_n","")&amp;", ")))</f>
        <v>LEONI, </v>
      </c>
      <c r="BP4" s="8" t="str">
        <f>IF(0+(AB4="X")+(AB4="Gn")+(AB4="C")&gt;0,"",IF(0+((AB4&lt;&gt;"Xm"))+((AB4&lt;&gt;"Xp"))+((AB4&lt;&gt;"Xn"))=0,"",IF(0+((AB4&lt;&gt;"Xm"))+((AB4&lt;&gt;"Xp"))+((AB4&lt;&gt;"Xn"))=3,AB$3&amp;", ",AB$3&amp;IF((AB4&lt;&gt;"Xm"),"_m","")&amp;IF((AB4&lt;&gt;"Xp"),"_p","")&amp;IF((AB4&lt;&gt;"Xn"),"_n","")&amp;", ")))</f>
        <v>ROSSI M, </v>
      </c>
      <c r="BQ4" s="8" t="str">
        <f>IF(0+(AC4="X")+(AC4="Gn")+(AC4="C")&gt;0,"",IF(0+((AC4&lt;&gt;"Xm"))+((AC4&lt;&gt;"Xp"))+((AC4&lt;&gt;"Xn"))=0,"",IF(0+((AC4&lt;&gt;"Xm"))+((AC4&lt;&gt;"Xp"))+((AC4&lt;&gt;"Xn"))=3,AC$3&amp;", ",AC$3&amp;IF((AC4&lt;&gt;"Xm"),"_m","")&amp;IF((AC4&lt;&gt;"Xp"),"_p","")&amp;IF((AC4&lt;&gt;"Xn"),"_n","")&amp;", ")))</f>
        <v>ROSSI L, </v>
      </c>
      <c r="BR4" s="8" t="str">
        <f>IF(0+(AD4="X")+(AD4="Gn")+(AD4="C")&gt;0,"",IF(0+((AD4&lt;&gt;"Xm"))+((AD4&lt;&gt;"Xp"))+((AD4&lt;&gt;"Xn"))=0,"",IF(0+((AD4&lt;&gt;"Xm"))+((AD4&lt;&gt;"Xp"))+((AD4&lt;&gt;"Xn"))=3,AD$3&amp;", ",AD$3&amp;IF((AD4&lt;&gt;"Xm"),"_m","")&amp;IF((AD4&lt;&gt;"Xp"),"_p","")&amp;IF((AD4&lt;&gt;"Xn"),"_n","")&amp;", ")))</f>
        <v>GALLINA, </v>
      </c>
      <c r="BS4" s="8" t="str">
        <f>IF(0+(AE4="X")+(AE4="Gn")+(AE4="C")&gt;0,"",IF(0+((AE4&lt;&gt;"Xm"))+((AE4&lt;&gt;"Xp"))+((AE4&lt;&gt;"Xn"))=0,"",IF(0+((AE4&lt;&gt;"Xm"))+((AE4&lt;&gt;"Xp"))+((AE4&lt;&gt;"Xn"))=3,AE$3&amp;", ",AE$3&amp;IF((AE4&lt;&gt;"Xm"),"_m","")&amp;IF((AE4&lt;&gt;"Xp"),"_p","")&amp;IF((AE4&lt;&gt;"Xn"),"_n","")&amp;", ")))</f>
        <v>RUSSO, </v>
      </c>
      <c r="BT4" s="8" t="str">
        <f>IF(0+(AF4="X")+(AF4="Gn")+(AF4="C")&gt;0,"",IF(0+((AF4&lt;&gt;"Xm"))+((AF4&lt;&gt;"Xp"))+((AF4&lt;&gt;"Xn"))=0,"",IF(0+((AF4&lt;&gt;"Xm"))+((AF4&lt;&gt;"Xp"))+((AF4&lt;&gt;"Xn"))=3,AF$3&amp;", ",AF$3&amp;IF((AF4&lt;&gt;"Xm"),"_m","")&amp;IF((AF4&lt;&gt;"Xp"),"_p","")&amp;IF((AF4&lt;&gt;"Xn"),"_n","")&amp;", ")))</f>
        <v>VERDI, </v>
      </c>
      <c r="BU4" s="8" t="str">
        <f>IF(0+(AG4="X")+(AG4="Gn")+(AG4="C")&gt;0,"",IF(0+((AG4&lt;&gt;"Xm"))+((AG4&lt;&gt;"Xp"))+((AG4&lt;&gt;"Xn"))=0,"",IF(0+((AG4&lt;&gt;"Xm"))+((AG4&lt;&gt;"Xp"))+((AG4&lt;&gt;"Xn"))=3,AG$3&amp;", ",AG$3&amp;IF((AG4&lt;&gt;"Xm"),"_m","")&amp;IF((AG4&lt;&gt;"Xp"),"_p","")&amp;IF((AG4&lt;&gt;"Xn"),"_n","")&amp;", ")))</f>
        <v>HU, </v>
      </c>
      <c r="BV4" s="8" t="str">
        <f>IF(0+(AH4="X")+(AH4="Gn")+(AH4="C")&gt;0,"",IF(0+((AH4&lt;&gt;"Xm"))+((AH4&lt;&gt;"Xp"))+((AH4&lt;&gt;"Xn"))=0,"",IF(0+((AH4&lt;&gt;"Xm"))+((AH4&lt;&gt;"Xp"))+((AH4&lt;&gt;"Xn"))=3,AH$3&amp;", ",AH$3&amp;IF((AH4&lt;&gt;"Xm"),"_m","")&amp;IF((AH4&lt;&gt;"Xp"),"_p","")&amp;IF((AH4&lt;&gt;"Xn"),"_n","")&amp;", ")))</f>
        <v>MARINI, </v>
      </c>
      <c r="BW4" s="8" t="str">
        <f>IF(0+(AI4="X")+(AI4="Gn")+(AI4="C")&gt;0,"",IF(0+((AI4&lt;&gt;"Xm"))+((AI4&lt;&gt;"Xp"))+((AI4&lt;&gt;"Xn"))=0,"",IF(0+((AI4&lt;&gt;"Xm"))+((AI4&lt;&gt;"Xp"))+((AI4&lt;&gt;"Xn"))=3,AI$3&amp;", ",AI$3&amp;IF((AI4&lt;&gt;"Xm"),"_m","")&amp;IF((AI4&lt;&gt;"Xp"),"_p","")&amp;IF((AI4&lt;&gt;"Xn"),"_n","")&amp;", ")))</f>
        <v>CONTI A, </v>
      </c>
      <c r="BX4" s="8" t="str">
        <f>IF(0+(AJ4="X")+(AJ4="Gn")+(AJ4="C")&gt;0,"",IF(0+((AJ4&lt;&gt;"Xm"))+((AJ4&lt;&gt;"Xp"))+((AJ4&lt;&gt;"Xn"))=0,"",IF(0+((AJ4&lt;&gt;"Xm"))+((AJ4&lt;&gt;"Xp"))+((AJ4&lt;&gt;"Xn"))=3,AJ$3&amp;", ",AJ$3&amp;IF((AJ4&lt;&gt;"Xm"),"_m","")&amp;IF((AJ4&lt;&gt;"Xp"),"_p","")&amp;IF((AJ4&lt;&gt;"Xn"),"_n","")&amp;", ")))</f>
        <v>CONTI S, </v>
      </c>
      <c r="BY4" s="8" t="str">
        <f>IF(0+(AK4="X")+(AK4="Gn")+(AK4="C")&gt;0,"",IF(0+((AK4&lt;&gt;"Xm"))+((AK4&lt;&gt;"Xp"))+((AK4&lt;&gt;"Xn"))=0,"",IF(0+((AK4&lt;&gt;"Xm"))+((AK4&lt;&gt;"Xp"))+((AK4&lt;&gt;"Xn"))=3,AK$3&amp;", ",AK$3&amp;IF((AK4&lt;&gt;"Xm"),"_m","")&amp;IF((AK4&lt;&gt;"Xp"),"_p","")&amp;IF((AK4&lt;&gt;"Xn"),"_n","")&amp;", ")))</f>
        <v>FERRARI, </v>
      </c>
      <c r="BZ4" s="8" t="str">
        <f>IF(0+(AL4="X")+(AL4="Gn")+(AL4="C")&gt;0,"",IF(0+((AL4&lt;&gt;"Xm"))+((AL4&lt;&gt;"Xp"))+((AL4&lt;&gt;"Xn"))=0,"",IF(0+((AL4&lt;&gt;"Xm"))+((AL4&lt;&gt;"Xp"))+((AL4&lt;&gt;"Xn"))=3,AL$3&amp;", ",AL$3&amp;IF((AL4&lt;&gt;"Xm"),"_m","")&amp;IF((AL4&lt;&gt;"Xp"),"_p","")&amp;IF((AL4&lt;&gt;"Xn"),"_n","")&amp;", ")))</f>
        <v>GRECO, </v>
      </c>
      <c r="CA4" s="8" t="str">
        <f>IF(0+(AM4="X")+(AM4="Gn")+(AM4="C")&gt;0,"",IF(0+((AM4&lt;&gt;"Xm"))+((AM4&lt;&gt;"Xp"))+((AM4&lt;&gt;"Xn"))=0,"",IF(0+((AM4&lt;&gt;"Xm"))+((AM4&lt;&gt;"Xp"))+((AM4&lt;&gt;"Xn"))=3,AM$3&amp;", ",AM$3&amp;IF((AM4&lt;&gt;"Xm"),"_m","")&amp;IF((AM4&lt;&gt;"Xp"),"_p","")&amp;IF((AM4&lt;&gt;"Xn"),"_n","")&amp;", ")))</f>
        <v>SANNA, </v>
      </c>
      <c r="CB4" s="8" t="str">
        <f>IF(0+(AN4="X")+(AN4="Gn")+(AN4="C")&gt;0,"",IF(0+((AN4&lt;&gt;"Xm"))+((AN4&lt;&gt;"Xp"))+((AN4&lt;&gt;"Xn"))=0,"",IF(0+((AN4&lt;&gt;"Xm"))+((AN4&lt;&gt;"Xp"))+((AN4&lt;&gt;"Xn"))=3,AN$3&amp;", ",AN$3&amp;IF((AN4&lt;&gt;"Xm"),"_m","")&amp;IF((AN4&lt;&gt;"Xp"),"_p","")&amp;IF((AN4&lt;&gt;"Xn"),"_n","")&amp;", ")))</f>
        <v>LI, </v>
      </c>
      <c r="CC4" s="8" t="n"/>
      <c r="CD4" s="8" t="str">
        <f>IF(0+(AA4="X")+(AA4="Gn")+(AA4="C")&gt;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8" t="str">
        <f>IF(0+(AB4="X")+(AB4="Gn")+(AB4="C")&gt;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8" t="str">
        <f>IF(0+(AC4="X")+(AC4="Gn")+(AC4="C")&gt;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8" t="str">
        <f>IF(0+(AD4="X")+(AD4="Gn")+(AD4="C")&gt;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8" t="str">
        <f>IF(0+(AE4="X")+(AE4="Gn")+(AE4="C")&gt;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8" t="str">
        <f>IF(0+(AF4="X")+(AF4="Gn")+(AF4="C")&gt;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8" t="str">
        <f>IF(0+(AG4="X")+(AG4="Gn")+(AG4="C")&gt;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8" t="str">
        <f>IF(0+(AH4="X")+(AH4="Gn")+(AH4="C")&gt;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8" t="str">
        <f>IF(0+(AI4="X")+(AI4="Gn")+(AI4="C")&gt;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8" t="str">
        <f>IF(0+(AJ4="X")+(AJ4="Gn")+(AJ4="C")&gt;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8" t="str">
        <f>IF(0+(AK4="X")+(AK4="Gn")+(AK4="C")&gt;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8" t="str">
        <f>IF(0+(AL4="X")+(AL4="Gn")+(AL4="C")&gt;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8" t="str">
        <f>IF(0+(AM4="X")+(AM4="Gn")+(AM4="C")&gt;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8" t="str">
        <f>IF(0+(AN4="X")+(AN4="Gn")+(AN4="C")&gt;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IF(SUMPRODUCT(($C$3:$P$3&lt;&gt;"")*($C5:$P5&lt;&gt;"")*(COUNTIFS($C5:$P5,$C5:$P5,$C$3:$P$3,$C$3:$P$3)&gt;1))&gt;0,"X","")</f>
      </c>
      <c r="S5" s="10" t="str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0" t="str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9" t="str">
        <f>A5</f>
        <v>lunedì</v>
      </c>
      <c r="Z5" s="9">
        <f>B5</f>
        <v>2</v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 t="str">
        <f>AB$3</f>
        <v>ROSSI M</v>
      </c>
      <c r="AT5" s="6">
        <f>COUNTIF($C$4:$D$33,$AS5)</f>
        <v>0</v>
      </c>
      <c r="AU5" s="6">
        <f>COUNTIF($E$4:$F$33,$AS5)</f>
        <v>0</v>
      </c>
      <c r="AV5" s="6">
        <f>COUNTIF($G$4:$H$33,$AS5)</f>
        <v>0</v>
      </c>
      <c r="AW5" s="6">
        <f>COUNTIF($I$4:$J$33,$AS5)</f>
        <v>0</v>
      </c>
      <c r="AX5" s="6">
        <f>COUNTIF($K$4:$K$33,$AS5)</f>
        <v>0</v>
      </c>
      <c r="AY5" s="6">
        <f>COUNTIF($L$4:$L$33,$AS5)</f>
        <v>0</v>
      </c>
      <c r="AZ5" s="6">
        <f>COUNTIF($M$4:$M$33,$AS5)</f>
        <v>0</v>
      </c>
      <c r="BA5" s="6">
        <f>COUNTIF($N$4:$P$33,$AS5)</f>
        <v>0</v>
      </c>
      <c r="BB5" s="6">
        <f>COUNTIF($C$4:$P$33,$AS5)</f>
        <v>0</v>
      </c>
      <c r="BD5" s="7" t="str">
        <f>AB$3</f>
        <v>ROSSI M</v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 t="str">
        <f>IF(0+(AA5="X")+(AA5="Gn")+(AA5="C")+(AA4="Gn")&gt;0,"",IF(0+((AA5&lt;&gt;"Xm"))+((AA5&lt;&gt;"Xp"))+((AA5&lt;&gt;"Xn"))=0,"",IF(0+((AA5&lt;&gt;"Xm"))+((AA5&lt;&gt;"Xp"))+((AA5&lt;&gt;"Xn"))=3,AA$3&amp;", ",AA$3&amp;IF((AA5&lt;&gt;"Xm"),"_m","")&amp;IF((AA5&lt;&gt;"Xp"),"_p","")&amp;IF((AA5&lt;&gt;"Xn"),"_n","")&amp;", ")))</f>
        <v>LEONI, </v>
      </c>
      <c r="BP5" s="8" t="str">
        <f>IF(0+(AB5="X")+(AB5="Gn")+(AB5="C")+(AB4="Gn")&gt;0,"",IF(0+((AB5&lt;&gt;"Xm"))+((AB5&lt;&gt;"Xp"))+((AB5&lt;&gt;"Xn"))=0,"",IF(0+((AB5&lt;&gt;"Xm"))+((AB5&lt;&gt;"Xp"))+((AB5&lt;&gt;"Xn"))=3,AB$3&amp;", ",AB$3&amp;IF((AB5&lt;&gt;"Xm"),"_m","")&amp;IF((AB5&lt;&gt;"Xp"),"_p","")&amp;IF((AB5&lt;&gt;"Xn"),"_n","")&amp;", ")))</f>
        <v>ROSSI M, </v>
      </c>
      <c r="BQ5" s="8" t="str">
        <f>IF(0+(AC5="X")+(AC5="Gn")+(AC5="C")+(AC4="Gn")&gt;0,"",IF(0+((AC5&lt;&gt;"Xm"))+((AC5&lt;&gt;"Xp"))+((AC5&lt;&gt;"Xn"))=0,"",IF(0+((AC5&lt;&gt;"Xm"))+((AC5&lt;&gt;"Xp"))+((AC5&lt;&gt;"Xn"))=3,AC$3&amp;", ",AC$3&amp;IF((AC5&lt;&gt;"Xm"),"_m","")&amp;IF((AC5&lt;&gt;"Xp"),"_p","")&amp;IF((AC5&lt;&gt;"Xn"),"_n","")&amp;", ")))</f>
        <v>ROSSI L, </v>
      </c>
      <c r="BR5" s="8" t="str">
        <f>IF(0+(AD5="X")+(AD5="Gn")+(AD5="C")+(AD4="Gn")&gt;0,"",IF(0+((AD5&lt;&gt;"Xm"))+((AD5&lt;&gt;"Xp"))+((AD5&lt;&gt;"Xn"))=0,"",IF(0+((AD5&lt;&gt;"Xm"))+((AD5&lt;&gt;"Xp"))+((AD5&lt;&gt;"Xn"))=3,AD$3&amp;", ",AD$3&amp;IF((AD5&lt;&gt;"Xm"),"_m","")&amp;IF((AD5&lt;&gt;"Xp"),"_p","")&amp;IF((AD5&lt;&gt;"Xn"),"_n","")&amp;", ")))</f>
        <v>GALLINA, </v>
      </c>
      <c r="BS5" s="8" t="str">
        <f>IF(0+(AE5="X")+(AE5="Gn")+(AE5="C")+(AE4="Gn")&gt;0,"",IF(0+((AE5&lt;&gt;"Xm"))+((AE5&lt;&gt;"Xp"))+((AE5&lt;&gt;"Xn"))=0,"",IF(0+((AE5&lt;&gt;"Xm"))+((AE5&lt;&gt;"Xp"))+((AE5&lt;&gt;"Xn"))=3,AE$3&amp;", ",AE$3&amp;IF((AE5&lt;&gt;"Xm"),"_m","")&amp;IF((AE5&lt;&gt;"Xp"),"_p","")&amp;IF((AE5&lt;&gt;"Xn"),"_n","")&amp;", ")))</f>
        <v>RUSSO, </v>
      </c>
      <c r="BT5" s="8" t="str">
        <f>IF(0+(AF5="X")+(AF5="Gn")+(AF5="C")+(AF4="Gn")&gt;0,"",IF(0+((AF5&lt;&gt;"Xm"))+((AF5&lt;&gt;"Xp"))+((AF5&lt;&gt;"Xn"))=0,"",IF(0+((AF5&lt;&gt;"Xm"))+((AF5&lt;&gt;"Xp"))+((AF5&lt;&gt;"Xn"))=3,AF$3&amp;", ",AF$3&amp;IF((AF5&lt;&gt;"Xm"),"_m","")&amp;IF((AF5&lt;&gt;"Xp"),"_p","")&amp;IF((AF5&lt;&gt;"Xn"),"_n","")&amp;", ")))</f>
        <v>VERDI, </v>
      </c>
      <c r="BU5" s="8" t="str">
        <f>IF(0+(AG5="X")+(AG5="Gn")+(AG5="C")+(AG4="Gn")&gt;0,"",IF(0+((AG5&lt;&gt;"Xm"))+((AG5&lt;&gt;"Xp"))+((AG5&lt;&gt;"Xn"))=0,"",IF(0+((AG5&lt;&gt;"Xm"))+((AG5&lt;&gt;"Xp"))+((AG5&lt;&gt;"Xn"))=3,AG$3&amp;", ",AG$3&amp;IF((AG5&lt;&gt;"Xm"),"_m","")&amp;IF((AG5&lt;&gt;"Xp"),"_p","")&amp;IF((AG5&lt;&gt;"Xn"),"_n","")&amp;", ")))</f>
        <v>HU, </v>
      </c>
      <c r="BV5" s="8" t="str">
        <f>IF(0+(AH5="X")+(AH5="Gn")+(AH5="C")+(AH4="Gn")&gt;0,"",IF(0+((AH5&lt;&gt;"Xm"))+((AH5&lt;&gt;"Xp"))+((AH5&lt;&gt;"Xn"))=0,"",IF(0+((AH5&lt;&gt;"Xm"))+((AH5&lt;&gt;"Xp"))+((AH5&lt;&gt;"Xn"))=3,AH$3&amp;", ",AH$3&amp;IF((AH5&lt;&gt;"Xm"),"_m","")&amp;IF((AH5&lt;&gt;"Xp"),"_p","")&amp;IF((AH5&lt;&gt;"Xn"),"_n","")&amp;", ")))</f>
        <v>MARINI, </v>
      </c>
      <c r="BW5" s="8" t="str">
        <f>IF(0+(AI5="X")+(AI5="Gn")+(AI5="C")+(AI4="Gn")&gt;0,"",IF(0+((AI5&lt;&gt;"Xm"))+((AI5&lt;&gt;"Xp"))+((AI5&lt;&gt;"Xn"))=0,"",IF(0+((AI5&lt;&gt;"Xm"))+((AI5&lt;&gt;"Xp"))+((AI5&lt;&gt;"Xn"))=3,AI$3&amp;", ",AI$3&amp;IF((AI5&lt;&gt;"Xm"),"_m","")&amp;IF((AI5&lt;&gt;"Xp"),"_p","")&amp;IF((AI5&lt;&gt;"Xn"),"_n","")&amp;", ")))</f>
        <v>CONTI A, </v>
      </c>
      <c r="BX5" s="8" t="str">
        <f>IF(0+(AJ5="X")+(AJ5="Gn")+(AJ5="C")+(AJ4="Gn")&gt;0,"",IF(0+((AJ5&lt;&gt;"Xm"))+((AJ5&lt;&gt;"Xp"))+((AJ5&lt;&gt;"Xn"))=0,"",IF(0+((AJ5&lt;&gt;"Xm"))+((AJ5&lt;&gt;"Xp"))+((AJ5&lt;&gt;"Xn"))=3,AJ$3&amp;", ",AJ$3&amp;IF((AJ5&lt;&gt;"Xm"),"_m","")&amp;IF((AJ5&lt;&gt;"Xp"),"_p","")&amp;IF((AJ5&lt;&gt;"Xn"),"_n","")&amp;", ")))</f>
        <v>CONTI S, </v>
      </c>
      <c r="BY5" s="8" t="str">
        <f>IF(0+(AK5="X")+(AK5="Gn")+(AK5="C")+(AK4="Gn")&gt;0,"",IF(0+((AK5&lt;&gt;"Xm"))+((AK5&lt;&gt;"Xp"))+((AK5&lt;&gt;"Xn"))=0,"",IF(0+((AK5&lt;&gt;"Xm"))+((AK5&lt;&gt;"Xp"))+((AK5&lt;&gt;"Xn"))=3,AK$3&amp;", ",AK$3&amp;IF((AK5&lt;&gt;"Xm"),"_m","")&amp;IF((AK5&lt;&gt;"Xp"),"_p","")&amp;IF((AK5&lt;&gt;"Xn"),"_n","")&amp;", ")))</f>
        <v>FERRARI, </v>
      </c>
      <c r="BZ5" s="8" t="str">
        <f>IF(0+(AL5="X")+(AL5="Gn")+(AL5="C")+(AL4="Gn")&gt;0,"",IF(0+((AL5&lt;&gt;"Xm"))+((AL5&lt;&gt;"Xp"))+((AL5&lt;&gt;"Xn"))=0,"",IF(0+((AL5&lt;&gt;"Xm"))+((AL5&lt;&gt;"Xp"))+((AL5&lt;&gt;"Xn"))=3,AL$3&amp;", ",AL$3&amp;IF((AL5&lt;&gt;"Xm"),"_m","")&amp;IF((AL5&lt;&gt;"Xp"),"_p","")&amp;IF((AL5&lt;&gt;"Xn"),"_n","")&amp;", ")))</f>
        <v>GRECO, </v>
      </c>
      <c r="CA5" s="8" t="str">
        <f>IF(0+(AM5="X")+(AM5="Gn")+(AM5="C")+(AM4="Gn")&gt;0,"",IF(0+((AM5&lt;&gt;"Xm"))+((AM5&lt;&gt;"Xp"))+((AM5&lt;&gt;"Xn"))=0,"",IF(0+((AM5&lt;&gt;"Xm"))+((AM5&lt;&gt;"Xp"))+((AM5&lt;&gt;"Xn"))=3,AM$3&amp;", ",AM$3&amp;IF((AM5&lt;&gt;"Xm"),"_m","")&amp;IF((AM5&lt;&gt;"Xp"),"_p","")&amp;IF((AM5&lt;&gt;"Xn"),"_n","")&amp;", ")))</f>
        <v>SANNA, </v>
      </c>
      <c r="CB5" s="8" t="str">
        <f>IF(0+(AN5="X")+(AN5="Gn")+(AN5="C")+(AN4="Gn")&gt;0,"",IF(0+((AN5&lt;&gt;"Xm"))+((AN5&lt;&gt;"Xp"))+((AN5&lt;&gt;"Xn"))=0,"",IF(0+((AN5&lt;&gt;"Xm"))+((AN5&lt;&gt;"Xp"))+((AN5&lt;&gt;"Xn"))=3,AN$3&amp;", ",AN$3&amp;IF((AN5&lt;&gt;"Xm"),"_m","")&amp;IF((AN5&lt;&gt;"Xp"),"_p","")&amp;IF((AN5&lt;&gt;"Xn"),"_n","")&amp;", ")))</f>
        <v>LI, </v>
      </c>
      <c r="CC5" s="8" t="n"/>
      <c r="CD5" s="8" t="str">
        <f>IF(0+(AA5="X")+(AA5="Gn")+(AA5="C")+(AA4="Gn")&gt;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8" t="str">
        <f>IF(0+(AB5="X")+(AB5="Gn")+(AB5="C")+(AB4="Gn")&gt;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8" t="str">
        <f>IF(0+(AC5="X")+(AC5="Gn")+(AC5="C")+(AC4="Gn")&gt;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8" t="str">
        <f>IF(0+(AD5="X")+(AD5="Gn")+(AD5="C")+(AD4="Gn")&gt;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8" t="str">
        <f>IF(0+(AE5="X")+(AE5="Gn")+(AE5="C")+(AE4="Gn")&gt;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8" t="str">
        <f>IF(0+(AF5="X")+(AF5="Gn")+(AF5="C")+(AF4="Gn")&gt;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8" t="str">
        <f>IF(0+(AG5="X")+(AG5="Gn")+(AG5="C")+(AG4="Gn")&gt;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8" t="str">
        <f>IF(0+(AH5="X")+(AH5="Gn")+(AH5="C")+(AH4="Gn")&gt;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8" t="str">
        <f>IF(0+(AI5="X")+(AI5="Gn")+(AI5="C")+(AI4="Gn")&gt;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8" t="str">
        <f>IF(0+(AJ5="X")+(AJ5="Gn")+(AJ5="C")+(AJ4="Gn")&gt;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8" t="str">
        <f>IF(0+(AK5="X")+(AK5="Gn")+(AK5="C")+(AK4="Gn")&gt;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8" t="str">
        <f>IF(0+(AL5="X")+(AL5="Gn")+(AL5="C")+(AL4="Gn")&gt;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8" t="str">
        <f>IF(0+(AM5="X")+(AM5="Gn")+(AM5="C")+(AM4="Gn")&gt;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8" t="str">
        <f>IF(0+(AN5="X")+(AN5="Gn")+(AN5="C")+(AN4="Gn")&gt;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IF(SUMPRODUCT(($C$3:$P$3&lt;&gt;"")*($C6:$P6&lt;&gt;"")*(COUNTIFS($C6:$P6,$C6:$P6,$C$3:$P$3,$C$3:$P$3)&gt;1))&gt;0,"X","")</f>
      </c>
      <c r="S6" s="10" t="str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0" t="str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9" t="str">
        <f>A6</f>
        <v>martedì</v>
      </c>
      <c r="Z6" s="9">
        <f>B6</f>
        <v>3</v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 t="str">
        <f>AC$3</f>
        <v>ROSSI L</v>
      </c>
      <c r="AT6" s="6">
        <f>COUNTIF($C$4:$D$33,$AS6)</f>
        <v>0</v>
      </c>
      <c r="AU6" s="6">
        <f>COUNTIF($E$4:$F$33,$AS6)</f>
        <v>0</v>
      </c>
      <c r="AV6" s="6">
        <f>COUNTIF($G$4:$H$33,$AS6)</f>
        <v>0</v>
      </c>
      <c r="AW6" s="6">
        <f>COUNTIF($I$4:$J$33,$AS6)</f>
        <v>0</v>
      </c>
      <c r="AX6" s="6">
        <f>COUNTIF($K$4:$K$33,$AS6)</f>
        <v>0</v>
      </c>
      <c r="AY6" s="6">
        <f>COUNTIF($L$4:$L$33,$AS6)</f>
        <v>0</v>
      </c>
      <c r="AZ6" s="6">
        <f>COUNTIF($M$4:$M$33,$AS6)</f>
        <v>0</v>
      </c>
      <c r="BA6" s="6">
        <f>COUNTIF($N$4:$P$33,$AS6)</f>
        <v>0</v>
      </c>
      <c r="BB6" s="6">
        <f>COUNTIF($C$4:$P$33,$AS6)</f>
        <v>0</v>
      </c>
      <c r="BD6" s="7" t="str">
        <f>AC$3</f>
        <v>ROSSI L</v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 t="str">
        <f>IF(0+(AA6="X")+(AA6="Gn")+(AA6="C")+(AA5="Gn")&gt;0,"",IF(0+((AA6&lt;&gt;"Xm"))+((AA6&lt;&gt;"Xp"))+((AA6&lt;&gt;"Xn"))=0,"",IF(0+((AA6&lt;&gt;"Xm"))+((AA6&lt;&gt;"Xp"))+((AA6&lt;&gt;"Xn"))=3,AA$3&amp;", ",AA$3&amp;IF((AA6&lt;&gt;"Xm"),"_m","")&amp;IF((AA6&lt;&gt;"Xp"),"_p","")&amp;IF((AA6&lt;&gt;"Xn"),"_n","")&amp;", ")))</f>
        <v>LEONI, </v>
      </c>
      <c r="BP6" s="8" t="str">
        <f>IF(0+(AB6="X")+(AB6="Gn")+(AB6="C")+(AB5="Gn")&gt;0,"",IF(0+((AB6&lt;&gt;"Xm"))+((AB6&lt;&gt;"Xp"))+((AB6&lt;&gt;"Xn"))=0,"",IF(0+((AB6&lt;&gt;"Xm"))+((AB6&lt;&gt;"Xp"))+((AB6&lt;&gt;"Xn"))=3,AB$3&amp;", ",AB$3&amp;IF((AB6&lt;&gt;"Xm"),"_m","")&amp;IF((AB6&lt;&gt;"Xp"),"_p","")&amp;IF((AB6&lt;&gt;"Xn"),"_n","")&amp;", ")))</f>
        <v>ROSSI M, </v>
      </c>
      <c r="BQ6" s="8" t="str">
        <f>IF(0+(AC6="X")+(AC6="Gn")+(AC6="C")+(AC5="Gn")&gt;0,"",IF(0+((AC6&lt;&gt;"Xm"))+((AC6&lt;&gt;"Xp"))+((AC6&lt;&gt;"Xn"))=0,"",IF(0+((AC6&lt;&gt;"Xm"))+((AC6&lt;&gt;"Xp"))+((AC6&lt;&gt;"Xn"))=3,AC$3&amp;", ",AC$3&amp;IF((AC6&lt;&gt;"Xm"),"_m","")&amp;IF((AC6&lt;&gt;"Xp"),"_p","")&amp;IF((AC6&lt;&gt;"Xn"),"_n","")&amp;", ")))</f>
        <v>ROSSI L, </v>
      </c>
      <c r="BR6" s="8" t="str">
        <f>IF(0+(AD6="X")+(AD6="Gn")+(AD6="C")+(AD5="Gn")&gt;0,"",IF(0+((AD6&lt;&gt;"Xm"))+((AD6&lt;&gt;"Xp"))+((AD6&lt;&gt;"Xn"))=0,"",IF(0+((AD6&lt;&gt;"Xm"))+((AD6&lt;&gt;"Xp"))+((AD6&lt;&gt;"Xn"))=3,AD$3&amp;", ",AD$3&amp;IF((AD6&lt;&gt;"Xm"),"_m","")&amp;IF((AD6&lt;&gt;"Xp"),"_p","")&amp;IF((AD6&lt;&gt;"Xn"),"_n","")&amp;", ")))</f>
        <v>GALLINA, </v>
      </c>
      <c r="BS6" s="8" t="str">
        <f>IF(0+(AE6="X")+(AE6="Gn")+(AE6="C")+(AE5="Gn")&gt;0,"",IF(0+((AE6&lt;&gt;"Xm"))+((AE6&lt;&gt;"Xp"))+((AE6&lt;&gt;"Xn"))=0,"",IF(0+((AE6&lt;&gt;"Xm"))+((AE6&lt;&gt;"Xp"))+((AE6&lt;&gt;"Xn"))=3,AE$3&amp;", ",AE$3&amp;IF((AE6&lt;&gt;"Xm"),"_m","")&amp;IF((AE6&lt;&gt;"Xp"),"_p","")&amp;IF((AE6&lt;&gt;"Xn"),"_n","")&amp;", ")))</f>
        <v>RUSSO, </v>
      </c>
      <c r="BT6" s="8" t="str">
        <f>IF(0+(AF6="X")+(AF6="Gn")+(AF6="C")+(AF5="Gn")&gt;0,"",IF(0+((AF6&lt;&gt;"Xm"))+((AF6&lt;&gt;"Xp"))+((AF6&lt;&gt;"Xn"))=0,"",IF(0+((AF6&lt;&gt;"Xm"))+((AF6&lt;&gt;"Xp"))+((AF6&lt;&gt;"Xn"))=3,AF$3&amp;", ",AF$3&amp;IF((AF6&lt;&gt;"Xm"),"_m","")&amp;IF((AF6&lt;&gt;"Xp"),"_p","")&amp;IF((AF6&lt;&gt;"Xn"),"_n","")&amp;", ")))</f>
        <v>VERDI, </v>
      </c>
      <c r="BU6" s="8" t="str">
        <f>IF(0+(AG6="X")+(AG6="Gn")+(AG6="C")+(AG5="Gn")&gt;0,"",IF(0+((AG6&lt;&gt;"Xm"))+((AG6&lt;&gt;"Xp"))+((AG6&lt;&gt;"Xn"))=0,"",IF(0+((AG6&lt;&gt;"Xm"))+((AG6&lt;&gt;"Xp"))+((AG6&lt;&gt;"Xn"))=3,AG$3&amp;", ",AG$3&amp;IF((AG6&lt;&gt;"Xm"),"_m","")&amp;IF((AG6&lt;&gt;"Xp"),"_p","")&amp;IF((AG6&lt;&gt;"Xn"),"_n","")&amp;", ")))</f>
        <v>HU, </v>
      </c>
      <c r="BV6" s="8" t="str">
        <f>IF(0+(AH6="X")+(AH6="Gn")+(AH6="C")+(AH5="Gn")&gt;0,"",IF(0+((AH6&lt;&gt;"Xm"))+((AH6&lt;&gt;"Xp"))+((AH6&lt;&gt;"Xn"))=0,"",IF(0+((AH6&lt;&gt;"Xm"))+((AH6&lt;&gt;"Xp"))+((AH6&lt;&gt;"Xn"))=3,AH$3&amp;", ",AH$3&amp;IF((AH6&lt;&gt;"Xm"),"_m","")&amp;IF((AH6&lt;&gt;"Xp"),"_p","")&amp;IF((AH6&lt;&gt;"Xn"),"_n","")&amp;", ")))</f>
        <v>MARINI, </v>
      </c>
      <c r="BW6" s="8" t="str">
        <f>IF(0+(AI6="X")+(AI6="Gn")+(AI6="C")+(AI5="Gn")&gt;0,"",IF(0+((AI6&lt;&gt;"Xm"))+((AI6&lt;&gt;"Xp"))+((AI6&lt;&gt;"Xn"))=0,"",IF(0+((AI6&lt;&gt;"Xm"))+((AI6&lt;&gt;"Xp"))+((AI6&lt;&gt;"Xn"))=3,AI$3&amp;", ",AI$3&amp;IF((AI6&lt;&gt;"Xm"),"_m","")&amp;IF((AI6&lt;&gt;"Xp"),"_p","")&amp;IF((AI6&lt;&gt;"Xn"),"_n","")&amp;", ")))</f>
        <v>CONTI A, </v>
      </c>
      <c r="BX6" s="8" t="str">
        <f>IF(0+(AJ6="X")+(AJ6="Gn")+(AJ6="C")+(AJ5="Gn")&gt;0,"",IF(0+((AJ6&lt;&gt;"Xm"))+((AJ6&lt;&gt;"Xp"))+((AJ6&lt;&gt;"Xn"))=0,"",IF(0+((AJ6&lt;&gt;"Xm"))+((AJ6&lt;&gt;"Xp"))+((AJ6&lt;&gt;"Xn"))=3,AJ$3&amp;", ",AJ$3&amp;IF((AJ6&lt;&gt;"Xm"),"_m","")&amp;IF((AJ6&lt;&gt;"Xp"),"_p","")&amp;IF((AJ6&lt;&gt;"Xn"),"_n","")&amp;", ")))</f>
        <v>CONTI S, </v>
      </c>
      <c r="BY6" s="8" t="str">
        <f>IF(0+(AK6="X")+(AK6="Gn")+(AK6="C")+(AK5="Gn")&gt;0,"",IF(0+((AK6&lt;&gt;"Xm"))+((AK6&lt;&gt;"Xp"))+((AK6&lt;&gt;"Xn"))=0,"",IF(0+((AK6&lt;&gt;"Xm"))+((AK6&lt;&gt;"Xp"))+((AK6&lt;&gt;"Xn"))=3,AK$3&amp;", ",AK$3&amp;IF((AK6&lt;&gt;"Xm"),"_m","")&amp;IF((AK6&lt;&gt;"Xp"),"_p","")&amp;IF((AK6&lt;&gt;"Xn"),"_n","")&amp;", ")))</f>
        <v>FERRARI, </v>
      </c>
      <c r="BZ6" s="8" t="str">
        <f>IF(0+(AL6="X")+(AL6="Gn")+(AL6="C")+(AL5="Gn")&gt;0,"",IF(0+((AL6&lt;&gt;"Xm"))+((AL6&lt;&gt;"Xp"))+((AL6&lt;&gt;"Xn"))=0,"",IF(0+((AL6&lt;&gt;"Xm"))+((AL6&lt;&gt;"Xp"))+((AL6&lt;&gt;"Xn"))=3,AL$3&amp;", ",AL$3&amp;IF((AL6&lt;&gt;"Xm"),"_m","")&amp;IF((AL6&lt;&gt;"Xp"),"_p","")&amp;IF((AL6&lt;&gt;"Xn"),"_n","")&amp;", ")))</f>
        <v>GRECO, </v>
      </c>
      <c r="CA6" s="8" t="str">
        <f>IF(0+(AM6="X")+(AM6="Gn")+(AM6="C")+(AM5="Gn")&gt;0,"",IF(0+((AM6&lt;&gt;"Xm"))+((AM6&lt;&gt;"Xp"))+((AM6&lt;&gt;"Xn"))=0,"",IF(0+((AM6&lt;&gt;"Xm"))+((AM6&lt;&gt;"Xp"))+((AM6&lt;&gt;"Xn"))=3,AM$3&amp;", ",AM$3&amp;IF((AM6&lt;&gt;"Xm"),"_m","")&amp;IF((AM6&lt;&gt;"Xp"),"_p","")&amp;IF((AM6&lt;&gt;"Xn"),"_n","")&amp;", ")))</f>
        <v>SANNA, </v>
      </c>
      <c r="CB6" s="8" t="str">
        <f>IF(0+(AN6="X")+(AN6="Gn")+(AN6="C")+(AN5="Gn")&gt;0,"",IF(0+((AN6&lt;&gt;"Xm"))+((AN6&lt;&gt;"Xp"))+((AN6&lt;&gt;"Xn"))=0,"",IF(0+((AN6&lt;&gt;"Xm"))+((AN6&lt;&gt;"Xp"))+((AN6&lt;&gt;"Xn"))=3,AN$3&amp;", ",AN$3&amp;IF((AN6&lt;&gt;"Xm"),"_m","")&amp;IF((AN6&lt;&gt;"Xp"),"_p","")&amp;IF((AN6&lt;&gt;"Xn"),"_n","")&amp;", ")))</f>
        <v>LI, </v>
      </c>
      <c r="CC6" s="8" t="n"/>
      <c r="CD6" s="8" t="str">
        <f>IF(0+(AA6="X")+(AA6="Gn")+(AA6="C")+(AA5="Gn")&gt;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8" t="str">
        <f>IF(0+(AB6="X")+(AB6="Gn")+(AB6="C")+(AB5="Gn")&gt;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8" t="str">
        <f>IF(0+(AC6="X")+(AC6="Gn")+(AC6="C")+(AC5="Gn")&gt;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8" t="str">
        <f>IF(0+(AD6="X")+(AD6="Gn")+(AD6="C")+(AD5="Gn")&gt;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8" t="str">
        <f>IF(0+(AE6="X")+(AE6="Gn")+(AE6="C")+(AE5="Gn")&gt;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8" t="str">
        <f>IF(0+(AF6="X")+(AF6="Gn")+(AF6="C")+(AF5="Gn")&gt;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8" t="str">
        <f>IF(0+(AG6="X")+(AG6="Gn")+(AG6="C")+(AG5="Gn")&gt;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8" t="str">
        <f>IF(0+(AH6="X")+(AH6="Gn")+(AH6="C")+(AH5="Gn")&gt;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8" t="str">
        <f>IF(0+(AI6="X")+(AI6="Gn")+(AI6="C")+(AI5="Gn")&gt;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8" t="str">
        <f>IF(0+(AJ6="X")+(AJ6="Gn")+(AJ6="C")+(AJ5="Gn")&gt;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8" t="str">
        <f>IF(0+(AK6="X")+(AK6="Gn")+(AK6="C")+(AK5="Gn")&gt;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8" t="str">
        <f>IF(0+(AL6="X")+(AL6="Gn")+(AL6="C")+(AL5="Gn")&gt;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8" t="str">
        <f>IF(0+(AM6="X")+(AM6="Gn")+(AM6="C")+(AM5="Gn")&gt;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8" t="str">
        <f>IF(0+(AN6="X")+(AN6="Gn")+(AN6="C")+(AN5="Gn")&gt;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IF(SUMPRODUCT(($C$3:$P$3&lt;&gt;"")*($C7:$P7&lt;&gt;"")*(COUNTIFS($C7:$P7,$C7:$P7,$C$3:$P$3,$C$3:$P$3)&gt;1))&gt;0,"X","")</f>
      </c>
      <c r="S7" s="10" t="str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0" t="str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9" t="str">
        <f>A7</f>
        <v>mercoledì</v>
      </c>
      <c r="Z7" s="9">
        <f>B7</f>
        <v>4</v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Xn</t>
        </is>
      </c>
      <c r="AQ7" s="5" t="inlineStr">
        <is>
          <t>non disponibile la notte</t>
        </is>
      </c>
      <c r="AS7" s="6" t="str">
        <f>AD$3</f>
        <v>GALLINA</v>
      </c>
      <c r="AT7" s="6">
        <f>COUNTIF($C$4:$D$33,$AS7)</f>
        <v>0</v>
      </c>
      <c r="AU7" s="6">
        <f>COUNTIF($E$4:$F$33,$AS7)</f>
        <v>0</v>
      </c>
      <c r="AV7" s="6">
        <f>COUNTIF($G$4:$H$33,$AS7)</f>
        <v>0</v>
      </c>
      <c r="AW7" s="6">
        <f>COUNTIF($I$4:$J$33,$AS7)</f>
        <v>0</v>
      </c>
      <c r="AX7" s="6">
        <f>COUNTIF($K$4:$K$33,$AS7)</f>
        <v>0</v>
      </c>
      <c r="AY7" s="6">
        <f>COUNTIF($L$4:$L$33,$AS7)</f>
        <v>0</v>
      </c>
      <c r="AZ7" s="6">
        <f>COUNTIF($M$4:$M$33,$AS7)</f>
        <v>0</v>
      </c>
      <c r="BA7" s="6">
        <f>COUNTIF($N$4:$P$33,$AS7)</f>
        <v>0</v>
      </c>
      <c r="BB7" s="6">
        <f>COUNTIF($C$4:$P$33,$AS7)</f>
        <v>0</v>
      </c>
      <c r="BD7" s="7" t="str">
        <f>AD$3</f>
        <v>GALLINA</v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 t="str">
        <f>IF(0+(AA7="X")+(AA7="Gn")+(AA7="C")+(AA6="Gn")&gt;0,"",IF(0+((AA7&lt;&gt;"Xm"))+((AA7&lt;&gt;"Xp"))+((AA7&lt;&gt;"Xn"))=0,"",IF(0+((AA7&lt;&gt;"Xm"))+((AA7&lt;&gt;"Xp"))+((AA7&lt;&gt;"Xn"))=3,AA$3&amp;", ",AA$3&amp;IF((AA7&lt;&gt;"Xm"),"_m","")&amp;IF((AA7&lt;&gt;"Xp"),"_p","")&amp;IF((AA7&lt;&gt;"Xn"),"_n","")&amp;", ")))</f>
        <v>LEONI, </v>
      </c>
      <c r="BP7" s="8" t="str">
        <f>IF(0+(AB7="X")+(AB7="Gn")+(AB7="C")+(AB6="Gn")&gt;0,"",IF(0+((AB7&lt;&gt;"Xm"))+((AB7&lt;&gt;"Xp"))+((AB7&lt;&gt;"Xn"))=0,"",IF(0+((AB7&lt;&gt;"Xm"))+((AB7&lt;&gt;"Xp"))+((AB7&lt;&gt;"Xn"))=3,AB$3&amp;", ",AB$3&amp;IF((AB7&lt;&gt;"Xm"),"_m","")&amp;IF((AB7&lt;&gt;"Xp"),"_p","")&amp;IF((AB7&lt;&gt;"Xn"),"_n","")&amp;", ")))</f>
        <v>ROSSI M, </v>
      </c>
      <c r="BQ7" s="8" t="str">
        <f>IF(0+(AC7="X")+(AC7="Gn")+(AC7="C")+(AC6="Gn")&gt;0,"",IF(0+((AC7&lt;&gt;"Xm"))+((AC7&lt;&gt;"Xp"))+((AC7&lt;&gt;"Xn"))=0,"",IF(0+((AC7&lt;&gt;"Xm"))+((AC7&lt;&gt;"Xp"))+((AC7&lt;&gt;"Xn"))=3,AC$3&amp;", ",AC$3&amp;IF((AC7&lt;&gt;"Xm"),"_m","")&amp;IF((AC7&lt;&gt;"Xp"),"_p","")&amp;IF((AC7&lt;&gt;"Xn"),"_n","")&amp;", ")))</f>
        <v>ROSSI L, </v>
      </c>
      <c r="BR7" s="8" t="str">
        <f>IF(0+(AD7="X")+(AD7="Gn")+(AD7="C")+(AD6="Gn")&gt;0,"",IF(0+((AD7&lt;&gt;"Xm"))+((AD7&lt;&gt;"Xp"))+((AD7&lt;&gt;"Xn"))=0,"",IF(0+((AD7&lt;&gt;"Xm"))+((AD7&lt;&gt;"Xp"))+((AD7&lt;&gt;"Xn"))=3,AD$3&amp;", ",AD$3&amp;IF((AD7&lt;&gt;"Xm"),"_m","")&amp;IF((AD7&lt;&gt;"Xp"),"_p","")&amp;IF((AD7&lt;&gt;"Xn"),"_n","")&amp;", ")))</f>
        <v>GALLINA, </v>
      </c>
      <c r="BS7" s="8" t="str">
        <f>IF(0+(AE7="X")+(AE7="Gn")+(AE7="C")+(AE6="Gn")&gt;0,"",IF(0+((AE7&lt;&gt;"Xm"))+((AE7&lt;&gt;"Xp"))+((AE7&lt;&gt;"Xn"))=0,"",IF(0+((AE7&lt;&gt;"Xm"))+((AE7&lt;&gt;"Xp"))+((AE7&lt;&gt;"Xn"))=3,AE$3&amp;", ",AE$3&amp;IF((AE7&lt;&gt;"Xm"),"_m","")&amp;IF((AE7&lt;&gt;"Xp"),"_p","")&amp;IF((AE7&lt;&gt;"Xn"),"_n","")&amp;", ")))</f>
        <v>RUSSO, </v>
      </c>
      <c r="BT7" s="8" t="str">
        <f>IF(0+(AF7="X")+(AF7="Gn")+(AF7="C")+(AF6="Gn")&gt;0,"",IF(0+((AF7&lt;&gt;"Xm"))+((AF7&lt;&gt;"Xp"))+((AF7&lt;&gt;"Xn"))=0,"",IF(0+((AF7&lt;&gt;"Xm"))+((AF7&lt;&gt;"Xp"))+((AF7&lt;&gt;"Xn"))=3,AF$3&amp;", ",AF$3&amp;IF((AF7&lt;&gt;"Xm"),"_m","")&amp;IF((AF7&lt;&gt;"Xp"),"_p","")&amp;IF((AF7&lt;&gt;"Xn"),"_n","")&amp;", ")))</f>
        <v>VERDI, </v>
      </c>
      <c r="BU7" s="8" t="str">
        <f>IF(0+(AG7="X")+(AG7="Gn")+(AG7="C")+(AG6="Gn")&gt;0,"",IF(0+((AG7&lt;&gt;"Xm"))+((AG7&lt;&gt;"Xp"))+((AG7&lt;&gt;"Xn"))=0,"",IF(0+((AG7&lt;&gt;"Xm"))+((AG7&lt;&gt;"Xp"))+((AG7&lt;&gt;"Xn"))=3,AG$3&amp;", ",AG$3&amp;IF((AG7&lt;&gt;"Xm"),"_m","")&amp;IF((AG7&lt;&gt;"Xp"),"_p","")&amp;IF((AG7&lt;&gt;"Xn"),"_n","")&amp;", ")))</f>
        <v>HU, </v>
      </c>
      <c r="BV7" s="8" t="str">
        <f>IF(0+(AH7="X")+(AH7="Gn")+(AH7="C")+(AH6="Gn")&gt;0,"",IF(0+((AH7&lt;&gt;"Xm"))+((AH7&lt;&gt;"Xp"))+((AH7&lt;&gt;"Xn"))=0,"",IF(0+((AH7&lt;&gt;"Xm"))+((AH7&lt;&gt;"Xp"))+((AH7&lt;&gt;"Xn"))=3,AH$3&amp;", ",AH$3&amp;IF((AH7&lt;&gt;"Xm"),"_m","")&amp;IF((AH7&lt;&gt;"Xp"),"_p","")&amp;IF((AH7&lt;&gt;"Xn"),"_n","")&amp;", ")))</f>
        <v>MARINI, </v>
      </c>
      <c r="BW7" s="8" t="str">
        <f>IF(0+(AI7="X")+(AI7="Gn")+(AI7="C")+(AI6="Gn")&gt;0,"",IF(0+((AI7&lt;&gt;"Xm"))+((AI7&lt;&gt;"Xp"))+((AI7&lt;&gt;"Xn"))=0,"",IF(0+((AI7&lt;&gt;"Xm"))+((AI7&lt;&gt;"Xp"))+((AI7&lt;&gt;"Xn"))=3,AI$3&amp;", ",AI$3&amp;IF((AI7&lt;&gt;"Xm"),"_m","")&amp;IF((AI7&lt;&gt;"Xp"),"_p","")&amp;IF((AI7&lt;&gt;"Xn"),"_n","")&amp;", ")))</f>
        <v>CONTI A, </v>
      </c>
      <c r="BX7" s="8" t="str">
        <f>IF(0+(AJ7="X")+(AJ7="Gn")+(AJ7="C")+(AJ6="Gn")&gt;0,"",IF(0+((AJ7&lt;&gt;"Xm"))+((AJ7&lt;&gt;"Xp"))+((AJ7&lt;&gt;"Xn"))=0,"",IF(0+((AJ7&lt;&gt;"Xm"))+((AJ7&lt;&gt;"Xp"))+((AJ7&lt;&gt;"Xn"))=3,AJ$3&amp;", ",AJ$3&amp;IF((AJ7&lt;&gt;"Xm"),"_m","")&amp;IF((AJ7&lt;&gt;"Xp"),"_p","")&amp;IF((AJ7&lt;&gt;"Xn"),"_n","")&amp;", ")))</f>
        <v>CONTI S, </v>
      </c>
      <c r="BY7" s="8" t="str">
        <f>IF(0+(AK7="X")+(AK7="Gn")+(AK7="C")+(AK6="Gn")&gt;0,"",IF(0+((AK7&lt;&gt;"Xm"))+((AK7&lt;&gt;"Xp"))+((AK7&lt;&gt;"Xn"))=0,"",IF(0+((AK7&lt;&gt;"Xm"))+((AK7&lt;&gt;"Xp"))+((AK7&lt;&gt;"Xn"))=3,AK$3&amp;", ",AK$3&amp;IF((AK7&lt;&gt;"Xm"),"_m","")&amp;IF((AK7&lt;&gt;"Xp"),"_p","")&amp;IF((AK7&lt;&gt;"Xn"),"_n","")&amp;", ")))</f>
        <v>FERRARI, </v>
      </c>
      <c r="BZ7" s="8" t="str">
        <f>IF(0+(AL7="X")+(AL7="Gn")+(AL7="C")+(AL6="Gn")&gt;0,"",IF(0+((AL7&lt;&gt;"Xm"))+((AL7&lt;&gt;"Xp"))+((AL7&lt;&gt;"Xn"))=0,"",IF(0+((AL7&lt;&gt;"Xm"))+((AL7&lt;&gt;"Xp"))+((AL7&lt;&gt;"Xn"))=3,AL$3&amp;", ",AL$3&amp;IF((AL7&lt;&gt;"Xm"),"_m","")&amp;IF((AL7&lt;&gt;"Xp"),"_p","")&amp;IF((AL7&lt;&gt;"Xn"),"_n","")&amp;", ")))</f>
        <v>GRECO, </v>
      </c>
      <c r="CA7" s="8" t="str">
        <f>IF(0+(AM7="X")+(AM7="Gn")+(AM7="C")+(AM6="Gn")&gt;0,"",IF(0+((AM7&lt;&gt;"Xm"))+((AM7&lt;&gt;"Xp"))+((AM7&lt;&gt;"Xn"))=0,"",IF(0+((AM7&lt;&gt;"Xm"))+((AM7&lt;&gt;"Xp"))+((AM7&lt;&gt;"Xn"))=3,AM$3&amp;", ",AM$3&amp;IF((AM7&lt;&gt;"Xm"),"_m","")&amp;IF((AM7&lt;&gt;"Xp"),"_p","")&amp;IF((AM7&lt;&gt;"Xn"),"_n","")&amp;", ")))</f>
        <v>SANNA, </v>
      </c>
      <c r="CB7" s="8" t="str">
        <f>IF(0+(AN7="X")+(AN7="Gn")+(AN7="C")+(AN6="Gn")&gt;0,"",IF(0+((AN7&lt;&gt;"Xm"))+((AN7&lt;&gt;"Xp"))+((AN7&lt;&gt;"Xn"))=0,"",IF(0+((AN7&lt;&gt;"Xm"))+((AN7&lt;&gt;"Xp"))+((AN7&lt;&gt;"Xn"))=3,AN$3&amp;", ",AN$3&amp;IF((AN7&lt;&gt;"Xm"),"_m","")&amp;IF((AN7&lt;&gt;"Xp"),"_p","")&amp;IF((AN7&lt;&gt;"Xn"),"_n","")&amp;", ")))</f>
        <v>LI, </v>
      </c>
      <c r="CC7" s="8" t="n"/>
      <c r="CD7" s="8" t="str">
        <f>IF(0+(AA7="X")+(AA7="Gn")+(AA7="C")+(AA6="Gn")&gt;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8" t="str">
        <f>IF(0+(AB7="X")+(AB7="Gn")+(AB7="C")+(AB6="Gn")&gt;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8" t="str">
        <f>IF(0+(AC7="X")+(AC7="Gn")+(AC7="C")+(AC6="Gn")&gt;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8" t="str">
        <f>IF(0+(AD7="X")+(AD7="Gn")+(AD7="C")+(AD6="Gn")&gt;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8" t="str">
        <f>IF(0+(AE7="X")+(AE7="Gn")+(AE7="C")+(AE6="Gn")&gt;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8" t="str">
        <f>IF(0+(AF7="X")+(AF7="Gn")+(AF7="C")+(AF6="Gn")&gt;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8" t="str">
        <f>IF(0+(AG7="X")+(AG7="Gn")+(AG7="C")+(AG6="Gn")&gt;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8" t="str">
        <f>IF(0+(AH7="X")+(AH7="Gn")+(AH7="C")+(AH6="Gn")&gt;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8" t="str">
        <f>IF(0+(AI7="X")+(AI7="Gn")+(AI7="C")+(AI6="Gn")&gt;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8" t="str">
        <f>IF(0+(AJ7="X")+(AJ7="Gn")+(AJ7="C")+(AJ6="Gn")&gt;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8" t="str">
        <f>IF(0+(AK7="X")+(AK7="Gn")+(AK7="C")+(AK6="Gn")&gt;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8" t="str">
        <f>IF(0+(AL7="X")+(AL7="Gn")+(AL7="C")+(AL6="Gn")&gt;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8" t="str">
        <f>IF(0+(AM7="X")+(AM7="Gn")+(AM7="C")+(AM6="Gn")&gt;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8" t="str">
        <f>IF(0+(AN7="X")+(AN7="Gn")+(AN7="C")+(AN6="Gn")&gt;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IF(SUMPRODUCT(($C$3:$P$3&lt;&gt;"")*($C8:$P8&lt;&gt;"")*(COUNTIFS($C8:$P8,$C8:$P8,$C$3:$P$3,$C$3:$P$3)&gt;1))&gt;0,"X","")</f>
      </c>
      <c r="S8" s="10" t="str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0" t="str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9" t="str">
        <f>A8</f>
        <v>giovedì</v>
      </c>
      <c r="Z8" s="9">
        <f>B8</f>
        <v>5</v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Gn</t>
        </is>
      </c>
      <c r="AQ8" s="5" t="inlineStr">
        <is>
          <t>guardia notte in ALTRA SEDE, blocca tutto il giorno stesso e tutto il giorno successivo. È una notte svolta da un'altra struttura</t>
        </is>
      </c>
      <c r="AS8" s="6" t="str">
        <f>AE$3</f>
        <v>RUSSO</v>
      </c>
      <c r="AT8" s="6">
        <f>COUNTIF($C$4:$D$33,$AS8)</f>
        <v>0</v>
      </c>
      <c r="AU8" s="6">
        <f>COUNTIF($E$4:$F$33,$AS8)</f>
        <v>0</v>
      </c>
      <c r="AV8" s="6">
        <f>COUNTIF($G$4:$H$33,$AS8)</f>
        <v>0</v>
      </c>
      <c r="AW8" s="6">
        <f>COUNTIF($I$4:$J$33,$AS8)</f>
        <v>0</v>
      </c>
      <c r="AX8" s="6">
        <f>COUNTIF($K$4:$K$33,$AS8)</f>
        <v>0</v>
      </c>
      <c r="AY8" s="6">
        <f>COUNTIF($L$4:$L$33,$AS8)</f>
        <v>0</v>
      </c>
      <c r="AZ8" s="6">
        <f>COUNTIF($M$4:$M$33,$AS8)</f>
        <v>0</v>
      </c>
      <c r="BA8" s="6">
        <f>COUNTIF($N$4:$P$33,$AS8)</f>
        <v>0</v>
      </c>
      <c r="BB8" s="6">
        <f>COUNTIF($C$4:$P$33,$AS8)</f>
        <v>0</v>
      </c>
      <c r="BD8" s="7" t="str">
        <f>AE$3</f>
        <v>RUSSO</v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 t="str">
        <f>IF(0+(AA8="X")+(AA8="Gn")+(AA8="C")+(AA7="Gn")&gt;0,"",IF(0+((AA8&lt;&gt;"Xm"))+((AA8&lt;&gt;"Xp"))+((AA8&lt;&gt;"Xn"))=0,"",IF(0+((AA8&lt;&gt;"Xm"))+((AA8&lt;&gt;"Xp"))+((AA8&lt;&gt;"Xn"))=3,AA$3&amp;", ",AA$3&amp;IF((AA8&lt;&gt;"Xm"),"_m","")&amp;IF((AA8&lt;&gt;"Xp"),"_p","")&amp;IF((AA8&lt;&gt;"Xn"),"_n","")&amp;", ")))</f>
        <v>LEONI, </v>
      </c>
      <c r="BP8" s="8" t="str">
        <f>IF(0+(AB8="X")+(AB8="Gn")+(AB8="C")+(AB7="Gn")&gt;0,"",IF(0+((AB8&lt;&gt;"Xm"))+((AB8&lt;&gt;"Xp"))+((AB8&lt;&gt;"Xn"))=0,"",IF(0+((AB8&lt;&gt;"Xm"))+((AB8&lt;&gt;"Xp"))+((AB8&lt;&gt;"Xn"))=3,AB$3&amp;", ",AB$3&amp;IF((AB8&lt;&gt;"Xm"),"_m","")&amp;IF((AB8&lt;&gt;"Xp"),"_p","")&amp;IF((AB8&lt;&gt;"Xn"),"_n","")&amp;", ")))</f>
        <v>ROSSI M, </v>
      </c>
      <c r="BQ8" s="8" t="str">
        <f>IF(0+(AC8="X")+(AC8="Gn")+(AC8="C")+(AC7="Gn")&gt;0,"",IF(0+((AC8&lt;&gt;"Xm"))+((AC8&lt;&gt;"Xp"))+((AC8&lt;&gt;"Xn"))=0,"",IF(0+((AC8&lt;&gt;"Xm"))+((AC8&lt;&gt;"Xp"))+((AC8&lt;&gt;"Xn"))=3,AC$3&amp;", ",AC$3&amp;IF((AC8&lt;&gt;"Xm"),"_m","")&amp;IF((AC8&lt;&gt;"Xp"),"_p","")&amp;IF((AC8&lt;&gt;"Xn"),"_n","")&amp;", ")))</f>
        <v>ROSSI L, </v>
      </c>
      <c r="BR8" s="8" t="str">
        <f>IF(0+(AD8="X")+(AD8="Gn")+(AD8="C")+(AD7="Gn")&gt;0,"",IF(0+((AD8&lt;&gt;"Xm"))+((AD8&lt;&gt;"Xp"))+((AD8&lt;&gt;"Xn"))=0,"",IF(0+((AD8&lt;&gt;"Xm"))+((AD8&lt;&gt;"Xp"))+((AD8&lt;&gt;"Xn"))=3,AD$3&amp;", ",AD$3&amp;IF((AD8&lt;&gt;"Xm"),"_m","")&amp;IF((AD8&lt;&gt;"Xp"),"_p","")&amp;IF((AD8&lt;&gt;"Xn"),"_n","")&amp;", ")))</f>
        <v>GALLINA, </v>
      </c>
      <c r="BS8" s="8" t="str">
        <f>IF(0+(AE8="X")+(AE8="Gn")+(AE8="C")+(AE7="Gn")&gt;0,"",IF(0+((AE8&lt;&gt;"Xm"))+((AE8&lt;&gt;"Xp"))+((AE8&lt;&gt;"Xn"))=0,"",IF(0+((AE8&lt;&gt;"Xm"))+((AE8&lt;&gt;"Xp"))+((AE8&lt;&gt;"Xn"))=3,AE$3&amp;", ",AE$3&amp;IF((AE8&lt;&gt;"Xm"),"_m","")&amp;IF((AE8&lt;&gt;"Xp"),"_p","")&amp;IF((AE8&lt;&gt;"Xn"),"_n","")&amp;", ")))</f>
        <v>RUSSO, </v>
      </c>
      <c r="BT8" s="8" t="str">
        <f>IF(0+(AF8="X")+(AF8="Gn")+(AF8="C")+(AF7="Gn")&gt;0,"",IF(0+((AF8&lt;&gt;"Xm"))+((AF8&lt;&gt;"Xp"))+((AF8&lt;&gt;"Xn"))=0,"",IF(0+((AF8&lt;&gt;"Xm"))+((AF8&lt;&gt;"Xp"))+((AF8&lt;&gt;"Xn"))=3,AF$3&amp;", ",AF$3&amp;IF((AF8&lt;&gt;"Xm"),"_m","")&amp;IF((AF8&lt;&gt;"Xp"),"_p","")&amp;IF((AF8&lt;&gt;"Xn"),"_n","")&amp;", ")))</f>
        <v>VERDI, </v>
      </c>
      <c r="BU8" s="8" t="str">
        <f>IF(0+(AG8="X")+(AG8="Gn")+(AG8="C")+(AG7="Gn")&gt;0,"",IF(0+((AG8&lt;&gt;"Xm"))+((AG8&lt;&gt;"Xp"))+((AG8&lt;&gt;"Xn"))=0,"",IF(0+((AG8&lt;&gt;"Xm"))+((AG8&lt;&gt;"Xp"))+((AG8&lt;&gt;"Xn"))=3,AG$3&amp;", ",AG$3&amp;IF((AG8&lt;&gt;"Xm"),"_m","")&amp;IF((AG8&lt;&gt;"Xp"),"_p","")&amp;IF((AG8&lt;&gt;"Xn"),"_n","")&amp;", ")))</f>
        <v>HU, </v>
      </c>
      <c r="BV8" s="8" t="str">
        <f>IF(0+(AH8="X")+(AH8="Gn")+(AH8="C")+(AH7="Gn")&gt;0,"",IF(0+((AH8&lt;&gt;"Xm"))+((AH8&lt;&gt;"Xp"))+((AH8&lt;&gt;"Xn"))=0,"",IF(0+((AH8&lt;&gt;"Xm"))+((AH8&lt;&gt;"Xp"))+((AH8&lt;&gt;"Xn"))=3,AH$3&amp;", ",AH$3&amp;IF((AH8&lt;&gt;"Xm"),"_m","")&amp;IF((AH8&lt;&gt;"Xp"),"_p","")&amp;IF((AH8&lt;&gt;"Xn"),"_n","")&amp;", ")))</f>
        <v>MARINI, </v>
      </c>
      <c r="BW8" s="8" t="str">
        <f>IF(0+(AI8="X")+(AI8="Gn")+(AI8="C")+(AI7="Gn")&gt;0,"",IF(0+((AI8&lt;&gt;"Xm"))+((AI8&lt;&gt;"Xp"))+((AI8&lt;&gt;"Xn"))=0,"",IF(0+((AI8&lt;&gt;"Xm"))+((AI8&lt;&gt;"Xp"))+((AI8&lt;&gt;"Xn"))=3,AI$3&amp;", ",AI$3&amp;IF((AI8&lt;&gt;"Xm"),"_m","")&amp;IF((AI8&lt;&gt;"Xp"),"_p","")&amp;IF((AI8&lt;&gt;"Xn"),"_n","")&amp;", ")))</f>
        <v>CONTI A, </v>
      </c>
      <c r="BX8" s="8" t="str">
        <f>IF(0+(AJ8="X")+(AJ8="Gn")+(AJ8="C")+(AJ7="Gn")&gt;0,"",IF(0+((AJ8&lt;&gt;"Xm"))+((AJ8&lt;&gt;"Xp"))+((AJ8&lt;&gt;"Xn"))=0,"",IF(0+((AJ8&lt;&gt;"Xm"))+((AJ8&lt;&gt;"Xp"))+((AJ8&lt;&gt;"Xn"))=3,AJ$3&amp;", ",AJ$3&amp;IF((AJ8&lt;&gt;"Xm"),"_m","")&amp;IF((AJ8&lt;&gt;"Xp"),"_p","")&amp;IF((AJ8&lt;&gt;"Xn"),"_n","")&amp;", ")))</f>
        <v>CONTI S, </v>
      </c>
      <c r="BY8" s="8" t="str">
        <f>IF(0+(AK8="X")+(AK8="Gn")+(AK8="C")+(AK7="Gn")&gt;0,"",IF(0+((AK8&lt;&gt;"Xm"))+((AK8&lt;&gt;"Xp"))+((AK8&lt;&gt;"Xn"))=0,"",IF(0+((AK8&lt;&gt;"Xm"))+((AK8&lt;&gt;"Xp"))+((AK8&lt;&gt;"Xn"))=3,AK$3&amp;", ",AK$3&amp;IF((AK8&lt;&gt;"Xm"),"_m","")&amp;IF((AK8&lt;&gt;"Xp"),"_p","")&amp;IF((AK8&lt;&gt;"Xn"),"_n","")&amp;", ")))</f>
        <v>FERRARI, </v>
      </c>
      <c r="BZ8" s="8" t="str">
        <f>IF(0+(AL8="X")+(AL8="Gn")+(AL8="C")+(AL7="Gn")&gt;0,"",IF(0+((AL8&lt;&gt;"Xm"))+((AL8&lt;&gt;"Xp"))+((AL8&lt;&gt;"Xn"))=0,"",IF(0+((AL8&lt;&gt;"Xm"))+((AL8&lt;&gt;"Xp"))+((AL8&lt;&gt;"Xn"))=3,AL$3&amp;", ",AL$3&amp;IF((AL8&lt;&gt;"Xm"),"_m","")&amp;IF((AL8&lt;&gt;"Xp"),"_p","")&amp;IF((AL8&lt;&gt;"Xn"),"_n","")&amp;", ")))</f>
        <v>GRECO, </v>
      </c>
      <c r="CA8" s="8" t="str">
        <f>IF(0+(AM8="X")+(AM8="Gn")+(AM8="C")+(AM7="Gn")&gt;0,"",IF(0+((AM8&lt;&gt;"Xm"))+((AM8&lt;&gt;"Xp"))+((AM8&lt;&gt;"Xn"))=0,"",IF(0+((AM8&lt;&gt;"Xm"))+((AM8&lt;&gt;"Xp"))+((AM8&lt;&gt;"Xn"))=3,AM$3&amp;", ",AM$3&amp;IF((AM8&lt;&gt;"Xm"),"_m","")&amp;IF((AM8&lt;&gt;"Xp"),"_p","")&amp;IF((AM8&lt;&gt;"Xn"),"_n","")&amp;", ")))</f>
        <v>SANNA, </v>
      </c>
      <c r="CB8" s="8" t="str">
        <f>IF(0+(AN8="X")+(AN8="Gn")+(AN8="C")+(AN7="Gn")&gt;0,"",IF(0+((AN8&lt;&gt;"Xm"))+((AN8&lt;&gt;"Xp"))+((AN8&lt;&gt;"Xn"))=0,"",IF(0+((AN8&lt;&gt;"Xm"))+((AN8&lt;&gt;"Xp"))+((AN8&lt;&gt;"Xn"))=3,AN$3&amp;", ",AN$3&amp;IF((AN8&lt;&gt;"Xm"),"_m","")&amp;IF((AN8&lt;&gt;"Xp"),"_p","")&amp;IF((AN8&lt;&gt;"Xn"),"_n","")&amp;", ")))</f>
        <v>LI, </v>
      </c>
      <c r="CC8" s="8" t="n"/>
      <c r="CD8" s="8" t="str">
        <f>IF(0+(AA8="X")+(AA8="Gn")+(AA8="C")+(AA7="Gn")&gt;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8" t="str">
        <f>IF(0+(AB8="X")+(AB8="Gn")+(AB8="C")+(AB7="Gn")&gt;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8" t="str">
        <f>IF(0+(AC8="X")+(AC8="Gn")+(AC8="C")+(AC7="Gn")&gt;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8" t="str">
        <f>IF(0+(AD8="X")+(AD8="Gn")+(AD8="C")+(AD7="Gn")&gt;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8" t="str">
        <f>IF(0+(AE8="X")+(AE8="Gn")+(AE8="C")+(AE7="Gn")&gt;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8" t="str">
        <f>IF(0+(AF8="X")+(AF8="Gn")+(AF8="C")+(AF7="Gn")&gt;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8" t="str">
        <f>IF(0+(AG8="X")+(AG8="Gn")+(AG8="C")+(AG7="Gn")&gt;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8" t="str">
        <f>IF(0+(AH8="X")+(AH8="Gn")+(AH8="C")+(AH7="Gn")&gt;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8" t="str">
        <f>IF(0+(AI8="X")+(AI8="Gn")+(AI8="C")+(AI7="Gn")&gt;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8" t="str">
        <f>IF(0+(AJ8="X")+(AJ8="Gn")+(AJ8="C")+(AJ7="Gn")&gt;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8" t="str">
        <f>IF(0+(AK8="X")+(AK8="Gn")+(AK8="C")+(AK7="Gn")&gt;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8" t="str">
        <f>IF(0+(AL8="X")+(AL8="Gn")+(AL8="C")+(AL7="Gn")&gt;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8" t="str">
        <f>IF(0+(AM8="X")+(AM8="Gn")+(AM8="C")+(AM7="Gn")&gt;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8" t="str">
        <f>IF(0+(AN8="X")+(AN8="Gn")+(AN8="C")+(AN7="Gn")&gt;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IF(SUMPRODUCT(($C$3:$P$3&lt;&gt;"")*($C9:$P9&lt;&gt;"")*(COUNTIFS($C9:$P9,$C9:$P9,$C$3:$P$3,$C$3:$P$3)&gt;1))&gt;0,"X","")</f>
      </c>
      <c r="S9" s="10" t="str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0" t="str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9" t="str">
        <f>A9</f>
        <v>venerdì</v>
      </c>
      <c r="Z9" s="9">
        <f>B9</f>
        <v>6</v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C</t>
        </is>
      </c>
      <c r="AQ9" s="5" t="inlineStr">
        <is>
          <t>congresso, blocca tutto il giorno</t>
        </is>
      </c>
      <c r="AS9" s="6" t="str">
        <f>AF$3</f>
        <v>VERDI</v>
      </c>
      <c r="AT9" s="6">
        <f>COUNTIF($C$4:$D$33,$AS9)</f>
        <v>0</v>
      </c>
      <c r="AU9" s="6">
        <f>COUNTIF($E$4:$F$33,$AS9)</f>
        <v>0</v>
      </c>
      <c r="AV9" s="6">
        <f>COUNTIF($G$4:$H$33,$AS9)</f>
        <v>0</v>
      </c>
      <c r="AW9" s="6">
        <f>COUNTIF($I$4:$J$33,$AS9)</f>
        <v>0</v>
      </c>
      <c r="AX9" s="6">
        <f>COUNTIF($K$4:$K$33,$AS9)</f>
        <v>0</v>
      </c>
      <c r="AY9" s="6">
        <f>COUNTIF($L$4:$L$33,$AS9)</f>
        <v>0</v>
      </c>
      <c r="AZ9" s="6">
        <f>COUNTIF($M$4:$M$33,$AS9)</f>
        <v>0</v>
      </c>
      <c r="BA9" s="6">
        <f>COUNTIF($N$4:$P$33,$AS9)</f>
        <v>0</v>
      </c>
      <c r="BB9" s="6">
        <f>COUNTIF($C$4:$P$33,$AS9)</f>
        <v>0</v>
      </c>
      <c r="BD9" s="7" t="str">
        <f>AF$3</f>
        <v>VERDI</v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 t="str">
        <f>IF(0+(AA9="X")+(AA9="Gn")+(AA9="C")+(AA8="Gn")&gt;0,"",IF(0+((AA9&lt;&gt;"Xm"))+((AA9&lt;&gt;"Xp"))+((AA9&lt;&gt;"Xn"))=0,"",IF(0+((AA9&lt;&gt;"Xm"))+((AA9&lt;&gt;"Xp"))+((AA9&lt;&gt;"Xn"))=3,AA$3&amp;", ",AA$3&amp;IF((AA9&lt;&gt;"Xm"),"_m","")&amp;IF((AA9&lt;&gt;"Xp"),"_p","")&amp;IF((AA9&lt;&gt;"Xn"),"_n","")&amp;", ")))</f>
        <v>LEONI, </v>
      </c>
      <c r="BP9" s="8" t="str">
        <f>IF(0+(AB9="X")+(AB9="Gn")+(AB9="C")+(AB8="Gn")&gt;0,"",IF(0+((AB9&lt;&gt;"Xm"))+((AB9&lt;&gt;"Xp"))+((AB9&lt;&gt;"Xn"))=0,"",IF(0+((AB9&lt;&gt;"Xm"))+((AB9&lt;&gt;"Xp"))+((AB9&lt;&gt;"Xn"))=3,AB$3&amp;", ",AB$3&amp;IF((AB9&lt;&gt;"Xm"),"_m","")&amp;IF((AB9&lt;&gt;"Xp"),"_p","")&amp;IF((AB9&lt;&gt;"Xn"),"_n","")&amp;", ")))</f>
        <v>ROSSI M, </v>
      </c>
      <c r="BQ9" s="8" t="str">
        <f>IF(0+(AC9="X")+(AC9="Gn")+(AC9="C")+(AC8="Gn")&gt;0,"",IF(0+((AC9&lt;&gt;"Xm"))+((AC9&lt;&gt;"Xp"))+((AC9&lt;&gt;"Xn"))=0,"",IF(0+((AC9&lt;&gt;"Xm"))+((AC9&lt;&gt;"Xp"))+((AC9&lt;&gt;"Xn"))=3,AC$3&amp;", ",AC$3&amp;IF((AC9&lt;&gt;"Xm"),"_m","")&amp;IF((AC9&lt;&gt;"Xp"),"_p","")&amp;IF((AC9&lt;&gt;"Xn"),"_n","")&amp;", ")))</f>
        <v>ROSSI L, </v>
      </c>
      <c r="BR9" s="8" t="str">
        <f>IF(0+(AD9="X")+(AD9="Gn")+(AD9="C")+(AD8="Gn")&gt;0,"",IF(0+((AD9&lt;&gt;"Xm"))+((AD9&lt;&gt;"Xp"))+((AD9&lt;&gt;"Xn"))=0,"",IF(0+((AD9&lt;&gt;"Xm"))+((AD9&lt;&gt;"Xp"))+((AD9&lt;&gt;"Xn"))=3,AD$3&amp;", ",AD$3&amp;IF((AD9&lt;&gt;"Xm"),"_m","")&amp;IF((AD9&lt;&gt;"Xp"),"_p","")&amp;IF((AD9&lt;&gt;"Xn"),"_n","")&amp;", ")))</f>
        <v>GALLINA, </v>
      </c>
      <c r="BS9" s="8" t="str">
        <f>IF(0+(AE9="X")+(AE9="Gn")+(AE9="C")+(AE8="Gn")&gt;0,"",IF(0+((AE9&lt;&gt;"Xm"))+((AE9&lt;&gt;"Xp"))+((AE9&lt;&gt;"Xn"))=0,"",IF(0+((AE9&lt;&gt;"Xm"))+((AE9&lt;&gt;"Xp"))+((AE9&lt;&gt;"Xn"))=3,AE$3&amp;", ",AE$3&amp;IF((AE9&lt;&gt;"Xm"),"_m","")&amp;IF((AE9&lt;&gt;"Xp"),"_p","")&amp;IF((AE9&lt;&gt;"Xn"),"_n","")&amp;", ")))</f>
        <v>RUSSO, </v>
      </c>
      <c r="BT9" s="8" t="str">
        <f>IF(0+(AF9="X")+(AF9="Gn")+(AF9="C")+(AF8="Gn")&gt;0,"",IF(0+((AF9&lt;&gt;"Xm"))+((AF9&lt;&gt;"Xp"))+((AF9&lt;&gt;"Xn"))=0,"",IF(0+((AF9&lt;&gt;"Xm"))+((AF9&lt;&gt;"Xp"))+((AF9&lt;&gt;"Xn"))=3,AF$3&amp;", ",AF$3&amp;IF((AF9&lt;&gt;"Xm"),"_m","")&amp;IF((AF9&lt;&gt;"Xp"),"_p","")&amp;IF((AF9&lt;&gt;"Xn"),"_n","")&amp;", ")))</f>
        <v>VERDI, </v>
      </c>
      <c r="BU9" s="8" t="str">
        <f>IF(0+(AG9="X")+(AG9="Gn")+(AG9="C")+(AG8="Gn")&gt;0,"",IF(0+((AG9&lt;&gt;"Xm"))+((AG9&lt;&gt;"Xp"))+((AG9&lt;&gt;"Xn"))=0,"",IF(0+((AG9&lt;&gt;"Xm"))+((AG9&lt;&gt;"Xp"))+((AG9&lt;&gt;"Xn"))=3,AG$3&amp;", ",AG$3&amp;IF((AG9&lt;&gt;"Xm"),"_m","")&amp;IF((AG9&lt;&gt;"Xp"),"_p","")&amp;IF((AG9&lt;&gt;"Xn"),"_n","")&amp;", ")))</f>
        <v>HU, </v>
      </c>
      <c r="BV9" s="8" t="str">
        <f>IF(0+(AH9="X")+(AH9="Gn")+(AH9="C")+(AH8="Gn")&gt;0,"",IF(0+((AH9&lt;&gt;"Xm"))+((AH9&lt;&gt;"Xp"))+((AH9&lt;&gt;"Xn"))=0,"",IF(0+((AH9&lt;&gt;"Xm"))+((AH9&lt;&gt;"Xp"))+((AH9&lt;&gt;"Xn"))=3,AH$3&amp;", ",AH$3&amp;IF((AH9&lt;&gt;"Xm"),"_m","")&amp;IF((AH9&lt;&gt;"Xp"),"_p","")&amp;IF((AH9&lt;&gt;"Xn"),"_n","")&amp;", ")))</f>
        <v>MARINI, </v>
      </c>
      <c r="BW9" s="8" t="str">
        <f>IF(0+(AI9="X")+(AI9="Gn")+(AI9="C")+(AI8="Gn")&gt;0,"",IF(0+((AI9&lt;&gt;"Xm"))+((AI9&lt;&gt;"Xp"))+((AI9&lt;&gt;"Xn"))=0,"",IF(0+((AI9&lt;&gt;"Xm"))+((AI9&lt;&gt;"Xp"))+((AI9&lt;&gt;"Xn"))=3,AI$3&amp;", ",AI$3&amp;IF((AI9&lt;&gt;"Xm"),"_m","")&amp;IF((AI9&lt;&gt;"Xp"),"_p","")&amp;IF((AI9&lt;&gt;"Xn"),"_n","")&amp;", ")))</f>
        <v>CONTI A, </v>
      </c>
      <c r="BX9" s="8" t="str">
        <f>IF(0+(AJ9="X")+(AJ9="Gn")+(AJ9="C")+(AJ8="Gn")&gt;0,"",IF(0+((AJ9&lt;&gt;"Xm"))+((AJ9&lt;&gt;"Xp"))+((AJ9&lt;&gt;"Xn"))=0,"",IF(0+((AJ9&lt;&gt;"Xm"))+((AJ9&lt;&gt;"Xp"))+((AJ9&lt;&gt;"Xn"))=3,AJ$3&amp;", ",AJ$3&amp;IF((AJ9&lt;&gt;"Xm"),"_m","")&amp;IF((AJ9&lt;&gt;"Xp"),"_p","")&amp;IF((AJ9&lt;&gt;"Xn"),"_n","")&amp;", ")))</f>
        <v>CONTI S, </v>
      </c>
      <c r="BY9" s="8" t="str">
        <f>IF(0+(AK9="X")+(AK9="Gn")+(AK9="C")+(AK8="Gn")&gt;0,"",IF(0+((AK9&lt;&gt;"Xm"))+((AK9&lt;&gt;"Xp"))+((AK9&lt;&gt;"Xn"))=0,"",IF(0+((AK9&lt;&gt;"Xm"))+((AK9&lt;&gt;"Xp"))+((AK9&lt;&gt;"Xn"))=3,AK$3&amp;", ",AK$3&amp;IF((AK9&lt;&gt;"Xm"),"_m","")&amp;IF((AK9&lt;&gt;"Xp"),"_p","")&amp;IF((AK9&lt;&gt;"Xn"),"_n","")&amp;", ")))</f>
        <v>FERRARI, </v>
      </c>
      <c r="BZ9" s="8" t="str">
        <f>IF(0+(AL9="X")+(AL9="Gn")+(AL9="C")+(AL8="Gn")&gt;0,"",IF(0+((AL9&lt;&gt;"Xm"))+((AL9&lt;&gt;"Xp"))+((AL9&lt;&gt;"Xn"))=0,"",IF(0+((AL9&lt;&gt;"Xm"))+((AL9&lt;&gt;"Xp"))+((AL9&lt;&gt;"Xn"))=3,AL$3&amp;", ",AL$3&amp;IF((AL9&lt;&gt;"Xm"),"_m","")&amp;IF((AL9&lt;&gt;"Xp"),"_p","")&amp;IF((AL9&lt;&gt;"Xn"),"_n","")&amp;", ")))</f>
        <v>GRECO, </v>
      </c>
      <c r="CA9" s="8" t="str">
        <f>IF(0+(AM9="X")+(AM9="Gn")+(AM9="C")+(AM8="Gn")&gt;0,"",IF(0+((AM9&lt;&gt;"Xm"))+((AM9&lt;&gt;"Xp"))+((AM9&lt;&gt;"Xn"))=0,"",IF(0+((AM9&lt;&gt;"Xm"))+((AM9&lt;&gt;"Xp"))+((AM9&lt;&gt;"Xn"))=3,AM$3&amp;", ",AM$3&amp;IF((AM9&lt;&gt;"Xm"),"_m","")&amp;IF((AM9&lt;&gt;"Xp"),"_p","")&amp;IF((AM9&lt;&gt;"Xn"),"_n","")&amp;", ")))</f>
        <v>SANNA, </v>
      </c>
      <c r="CB9" s="8" t="str">
        <f>IF(0+(AN9="X")+(AN9="Gn")+(AN9="C")+(AN8="Gn")&gt;0,"",IF(0+((AN9&lt;&gt;"Xm"))+((AN9&lt;&gt;"Xp"))+((AN9&lt;&gt;"Xn"))=0,"",IF(0+((AN9&lt;&gt;"Xm"))+((AN9&lt;&gt;"Xp"))+((AN9&lt;&gt;"Xn"))=3,AN$3&amp;", ",AN$3&amp;IF((AN9&lt;&gt;"Xm"),"_m","")&amp;IF((AN9&lt;&gt;"Xp"),"_p","")&amp;IF((AN9&lt;&gt;"Xn"),"_n","")&amp;", ")))</f>
        <v>LI, </v>
      </c>
      <c r="CC9" s="8" t="n"/>
      <c r="CD9" s="8" t="str">
        <f>IF(0+(AA9="X")+(AA9="Gn")+(AA9="C")+(AA8="Gn")&gt;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8" t="str">
        <f>IF(0+(AB9="X")+(AB9="Gn")+(AB9="C")+(AB8="Gn")&gt;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8" t="str">
        <f>IF(0+(AC9="X")+(AC9="Gn")+(AC9="C")+(AC8="Gn")&gt;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8" t="str">
        <f>IF(0+(AD9="X")+(AD9="Gn")+(AD9="C")+(AD8="Gn")&gt;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8" t="str">
        <f>IF(0+(AE9="X")+(AE9="Gn")+(AE9="C")+(AE8="Gn")&gt;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8" t="str">
        <f>IF(0+(AF9="X")+(AF9="Gn")+(AF9="C")+(AF8="Gn")&gt;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8" t="str">
        <f>IF(0+(AG9="X")+(AG9="Gn")+(AG9="C")+(AG8="Gn")&gt;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8" t="str">
        <f>IF(0+(AH9="X")+(AH9="Gn")+(AH9="C")+(AH8="Gn")&gt;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8" t="str">
        <f>IF(0+(AI9="X")+(AI9="Gn")+(AI9="C")+(AI8="Gn")&gt;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8" t="str">
        <f>IF(0+(AJ9="X")+(AJ9="Gn")+(AJ9="C")+(AJ8="Gn")&gt;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8" t="str">
        <f>IF(0+(AK9="X")+(AK9="Gn")+(AK9="C")+(AK8="Gn")&gt;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8" t="str">
        <f>IF(0+(AL9="X")+(AL9="Gn")+(AL9="C")+(AL8="Gn")&gt;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8" t="str">
        <f>IF(0+(AM9="X")+(AM9="Gn")+(AM9="C")+(AM8="Gn")&gt;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8" t="str">
        <f>IF(0+(AN9="X")+(AN9="Gn")+(AN9="C")+(AN8="Gn")&gt;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>
      <c r="A10" s="3" t="str">
        <f>CHOOSE(WEEKDAY(DATE($B$1,$A$2,B10),2),"lunedì","martedì","mercoledì","giovedì","venerdì","sabato","domenica")</f>
        <v>sabato</v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>
        <f>IF(SUMPRODUCT(($C$3:$P$3&lt;&gt;"")*($C10:$P10&lt;&gt;"")*(COUNTIFS($C10:$P10,$C10:$P10,$C$3:$P$3,$C$3:$P$3)&gt;1))&gt;0,"X","")</f>
      </c>
      <c r="S10" s="3" t="str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3" t="str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3" t="str">
        <f>A10</f>
        <v>sabato</v>
      </c>
      <c r="Z10" s="3">
        <f>B10</f>
        <v>7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 t="str">
        <f>AG$3</f>
        <v>HU</v>
      </c>
      <c r="AT10" s="6">
        <f>COUNTIF($C$4:$D$33,$AS10)</f>
        <v>0</v>
      </c>
      <c r="AU10" s="6">
        <f>COUNTIF($E$4:$F$33,$AS10)</f>
        <v>0</v>
      </c>
      <c r="AV10" s="6">
        <f>COUNTIF($G$4:$H$33,$AS10)</f>
        <v>0</v>
      </c>
      <c r="AW10" s="6">
        <f>COUNTIF($I$4:$J$33,$AS10)</f>
        <v>0</v>
      </c>
      <c r="AX10" s="6">
        <f>COUNTIF($K$4:$K$33,$AS10)</f>
        <v>0</v>
      </c>
      <c r="AY10" s="6">
        <f>COUNTIF($L$4:$L$33,$AS10)</f>
        <v>0</v>
      </c>
      <c r="AZ10" s="6">
        <f>COUNTIF($M$4:$M$33,$AS10)</f>
        <v>0</v>
      </c>
      <c r="BA10" s="6">
        <f>COUNTIF($N$4:$P$33,$AS10)</f>
        <v>0</v>
      </c>
      <c r="BB10" s="6">
        <f>COUNTIF($C$4:$P$33,$AS10)</f>
        <v>0</v>
      </c>
      <c r="BD10" s="7" t="str">
        <f>AG$3</f>
        <v>HU</v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 t="str">
        <f>IF(0+(AA10="X")+(AA10="Gn")+(AA10="C")+(AA9="Gn")&gt;0,"",IF(0+((AA10&lt;&gt;"Xm"))+((AA10&lt;&gt;"Xp"))+((AA10&lt;&gt;"Xn"))=0,"",IF(0+((AA10&lt;&gt;"Xm"))+((AA10&lt;&gt;"Xp"))+((AA10&lt;&gt;"Xn"))=3,AA$3&amp;", ",AA$3&amp;IF((AA10&lt;&gt;"Xm"),"_m","")&amp;IF((AA10&lt;&gt;"Xp"),"_p","")&amp;IF((AA10&lt;&gt;"Xn"),"_n","")&amp;", ")))</f>
        <v>LEONI, </v>
      </c>
      <c r="BP10" s="8" t="str">
        <f>IF(0+(AB10="X")+(AB10="Gn")+(AB10="C")+(AB9="Gn")&gt;0,"",IF(0+((AB10&lt;&gt;"Xm"))+((AB10&lt;&gt;"Xp"))+((AB10&lt;&gt;"Xn"))=0,"",IF(0+((AB10&lt;&gt;"Xm"))+((AB10&lt;&gt;"Xp"))+((AB10&lt;&gt;"Xn"))=3,AB$3&amp;", ",AB$3&amp;IF((AB10&lt;&gt;"Xm"),"_m","")&amp;IF((AB10&lt;&gt;"Xp"),"_p","")&amp;IF((AB10&lt;&gt;"Xn"),"_n","")&amp;", ")))</f>
        <v>ROSSI M, </v>
      </c>
      <c r="BQ10" s="8" t="str">
        <f>IF(0+(AC10="X")+(AC10="Gn")+(AC10="C")+(AC9="Gn")&gt;0,"",IF(0+((AC10&lt;&gt;"Xm"))+((AC10&lt;&gt;"Xp"))+((AC10&lt;&gt;"Xn"))=0,"",IF(0+((AC10&lt;&gt;"Xm"))+((AC10&lt;&gt;"Xp"))+((AC10&lt;&gt;"Xn"))=3,AC$3&amp;", ",AC$3&amp;IF((AC10&lt;&gt;"Xm"),"_m","")&amp;IF((AC10&lt;&gt;"Xp"),"_p","")&amp;IF((AC10&lt;&gt;"Xn"),"_n","")&amp;", ")))</f>
        <v>ROSSI L, </v>
      </c>
      <c r="BR10" s="8" t="str">
        <f>IF(0+(AD10="X")+(AD10="Gn")+(AD10="C")+(AD9="Gn")&gt;0,"",IF(0+((AD10&lt;&gt;"Xm"))+((AD10&lt;&gt;"Xp"))+((AD10&lt;&gt;"Xn"))=0,"",IF(0+((AD10&lt;&gt;"Xm"))+((AD10&lt;&gt;"Xp"))+((AD10&lt;&gt;"Xn"))=3,AD$3&amp;", ",AD$3&amp;IF((AD10&lt;&gt;"Xm"),"_m","")&amp;IF((AD10&lt;&gt;"Xp"),"_p","")&amp;IF((AD10&lt;&gt;"Xn"),"_n","")&amp;", ")))</f>
        <v>GALLINA, </v>
      </c>
      <c r="BS10" s="8" t="str">
        <f>IF(0+(AE10="X")+(AE10="Gn")+(AE10="C")+(AE9="Gn")&gt;0,"",IF(0+((AE10&lt;&gt;"Xm"))+((AE10&lt;&gt;"Xp"))+((AE10&lt;&gt;"Xn"))=0,"",IF(0+((AE10&lt;&gt;"Xm"))+((AE10&lt;&gt;"Xp"))+((AE10&lt;&gt;"Xn"))=3,AE$3&amp;", ",AE$3&amp;IF((AE10&lt;&gt;"Xm"),"_m","")&amp;IF((AE10&lt;&gt;"Xp"),"_p","")&amp;IF((AE10&lt;&gt;"Xn"),"_n","")&amp;", ")))</f>
        <v>RUSSO, </v>
      </c>
      <c r="BT10" s="8" t="str">
        <f>IF(0+(AF10="X")+(AF10="Gn")+(AF10="C")+(AF9="Gn")&gt;0,"",IF(0+((AF10&lt;&gt;"Xm"))+((AF10&lt;&gt;"Xp"))+((AF10&lt;&gt;"Xn"))=0,"",IF(0+((AF10&lt;&gt;"Xm"))+((AF10&lt;&gt;"Xp"))+((AF10&lt;&gt;"Xn"))=3,AF$3&amp;", ",AF$3&amp;IF((AF10&lt;&gt;"Xm"),"_m","")&amp;IF((AF10&lt;&gt;"Xp"),"_p","")&amp;IF((AF10&lt;&gt;"Xn"),"_n","")&amp;", ")))</f>
        <v>VERDI, </v>
      </c>
      <c r="BU10" s="8" t="str">
        <f>IF(0+(AG10="X")+(AG10="Gn")+(AG10="C")+(AG9="Gn")&gt;0,"",IF(0+((AG10&lt;&gt;"Xm"))+((AG10&lt;&gt;"Xp"))+((AG10&lt;&gt;"Xn"))=0,"",IF(0+((AG10&lt;&gt;"Xm"))+((AG10&lt;&gt;"Xp"))+((AG10&lt;&gt;"Xn"))=3,AG$3&amp;", ",AG$3&amp;IF((AG10&lt;&gt;"Xm"),"_m","")&amp;IF((AG10&lt;&gt;"Xp"),"_p","")&amp;IF((AG10&lt;&gt;"Xn"),"_n","")&amp;", ")))</f>
        <v>HU, </v>
      </c>
      <c r="BV10" s="8" t="str">
        <f>IF(0+(AH10="X")+(AH10="Gn")+(AH10="C")+(AH9="Gn")&gt;0,"",IF(0+((AH10&lt;&gt;"Xm"))+((AH10&lt;&gt;"Xp"))+((AH10&lt;&gt;"Xn"))=0,"",IF(0+((AH10&lt;&gt;"Xm"))+((AH10&lt;&gt;"Xp"))+((AH10&lt;&gt;"Xn"))=3,AH$3&amp;", ",AH$3&amp;IF((AH10&lt;&gt;"Xm"),"_m","")&amp;IF((AH10&lt;&gt;"Xp"),"_p","")&amp;IF((AH10&lt;&gt;"Xn"),"_n","")&amp;", ")))</f>
        <v>MARINI, </v>
      </c>
      <c r="BW10" s="8" t="str">
        <f>IF(0+(AI10="X")+(AI10="Gn")+(AI10="C")+(AI9="Gn")&gt;0,"",IF(0+((AI10&lt;&gt;"Xm"))+((AI10&lt;&gt;"Xp"))+((AI10&lt;&gt;"Xn"))=0,"",IF(0+((AI10&lt;&gt;"Xm"))+((AI10&lt;&gt;"Xp"))+((AI10&lt;&gt;"Xn"))=3,AI$3&amp;", ",AI$3&amp;IF((AI10&lt;&gt;"Xm"),"_m","")&amp;IF((AI10&lt;&gt;"Xp"),"_p","")&amp;IF((AI10&lt;&gt;"Xn"),"_n","")&amp;", ")))</f>
        <v>CONTI A, </v>
      </c>
      <c r="BX10" s="8" t="str">
        <f>IF(0+(AJ10="X")+(AJ10="Gn")+(AJ10="C")+(AJ9="Gn")&gt;0,"",IF(0+((AJ10&lt;&gt;"Xm"))+((AJ10&lt;&gt;"Xp"))+((AJ10&lt;&gt;"Xn"))=0,"",IF(0+((AJ10&lt;&gt;"Xm"))+((AJ10&lt;&gt;"Xp"))+((AJ10&lt;&gt;"Xn"))=3,AJ$3&amp;", ",AJ$3&amp;IF((AJ10&lt;&gt;"Xm"),"_m","")&amp;IF((AJ10&lt;&gt;"Xp"),"_p","")&amp;IF((AJ10&lt;&gt;"Xn"),"_n","")&amp;", ")))</f>
        <v>CONTI S, </v>
      </c>
      <c r="BY10" s="8" t="str">
        <f>IF(0+(AK10="X")+(AK10="Gn")+(AK10="C")+(AK9="Gn")&gt;0,"",IF(0+((AK10&lt;&gt;"Xm"))+((AK10&lt;&gt;"Xp"))+((AK10&lt;&gt;"Xn"))=0,"",IF(0+((AK10&lt;&gt;"Xm"))+((AK10&lt;&gt;"Xp"))+((AK10&lt;&gt;"Xn"))=3,AK$3&amp;", ",AK$3&amp;IF((AK10&lt;&gt;"Xm"),"_m","")&amp;IF((AK10&lt;&gt;"Xp"),"_p","")&amp;IF((AK10&lt;&gt;"Xn"),"_n","")&amp;", ")))</f>
        <v>FERRARI, </v>
      </c>
      <c r="BZ10" s="8" t="str">
        <f>IF(0+(AL10="X")+(AL10="Gn")+(AL10="C")+(AL9="Gn")&gt;0,"",IF(0+((AL10&lt;&gt;"Xm"))+((AL10&lt;&gt;"Xp"))+((AL10&lt;&gt;"Xn"))=0,"",IF(0+((AL10&lt;&gt;"Xm"))+((AL10&lt;&gt;"Xp"))+((AL10&lt;&gt;"Xn"))=3,AL$3&amp;", ",AL$3&amp;IF((AL10&lt;&gt;"Xm"),"_m","")&amp;IF((AL10&lt;&gt;"Xp"),"_p","")&amp;IF((AL10&lt;&gt;"Xn"),"_n","")&amp;", ")))</f>
        <v>GRECO, </v>
      </c>
      <c r="CA10" s="8" t="str">
        <f>IF(0+(AM10="X")+(AM10="Gn")+(AM10="C")+(AM9="Gn")&gt;0,"",IF(0+((AM10&lt;&gt;"Xm"))+((AM10&lt;&gt;"Xp"))+((AM10&lt;&gt;"Xn"))=0,"",IF(0+((AM10&lt;&gt;"Xm"))+((AM10&lt;&gt;"Xp"))+((AM10&lt;&gt;"Xn"))=3,AM$3&amp;", ",AM$3&amp;IF((AM10&lt;&gt;"Xm"),"_m","")&amp;IF((AM10&lt;&gt;"Xp"),"_p","")&amp;IF((AM10&lt;&gt;"Xn"),"_n","")&amp;", ")))</f>
        <v>SANNA, </v>
      </c>
      <c r="CB10" s="8" t="str">
        <f>IF(0+(AN10="X")+(AN10="Gn")+(AN10="C")+(AN9="Gn")&gt;0,"",IF(0+((AN10&lt;&gt;"Xm"))+((AN10&lt;&gt;"Xp"))+((AN10&lt;&gt;"Xn"))=0,"",IF(0+((AN10&lt;&gt;"Xm"))+((AN10&lt;&gt;"Xp"))+((AN10&lt;&gt;"Xn"))=3,AN$3&amp;", ",AN$3&amp;IF((AN10&lt;&gt;"Xm"),"_m","")&amp;IF((AN10&lt;&gt;"Xp"),"_p","")&amp;IF((AN10&lt;&gt;"Xn"),"_n","")&amp;", ")))</f>
        <v>LI, </v>
      </c>
      <c r="CC10" s="8" t="n"/>
      <c r="CD10" s="8" t="str">
        <f>IF(0+(AA10="X")+(AA10="Gn")+(AA10="C")+(AA9="Gn")&gt;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8" t="str">
        <f>IF(0+(AB10="X")+(AB10="Gn")+(AB10="C")+(AB9="Gn")&gt;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8" t="str">
        <f>IF(0+(AC10="X")+(AC10="Gn")+(AC10="C")+(AC9="Gn")&gt;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8" t="str">
        <f>IF(0+(AD10="X")+(AD10="Gn")+(AD10="C")+(AD9="Gn")&gt;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8" t="str">
        <f>IF(0+(AE10="X")+(AE10="Gn")+(AE10="C")+(AE9="Gn")&gt;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8" t="str">
        <f>IF(0+(AF10="X")+(AF10="Gn")+(AF10="C")+(AF9="Gn")&gt;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8" t="str">
        <f>IF(0+(AG10="X")+(AG10="Gn")+(AG10="C")+(AG9="Gn")&gt;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8" t="str">
        <f>IF(0+(AH10="X")+(AH10="Gn")+(AH10="C")+(AH9="Gn")&gt;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8" t="str">
        <f>IF(0+(AI10="X")+(AI10="Gn")+(AI10="C")+(AI9="Gn")&gt;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8" t="str">
        <f>IF(0+(AJ10="X")+(AJ10="Gn")+(AJ10="C")+(AJ9="Gn")&gt;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8" t="str">
        <f>IF(0+(AK10="X")+(AK10="Gn")+(AK10="C")+(AK9="Gn")&gt;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8" t="str">
        <f>IF(0+(AL10="X")+(AL10="Gn")+(AL10="C")+(AL9="Gn")&gt;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8" t="str">
        <f>IF(0+(AM10="X")+(AM10="Gn")+(AM10="C")+(AM9="Gn")&gt;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8" t="str">
        <f>IF(0+(AN10="X")+(AN10="Gn")+(AN10="C")+(AN9="Gn")&gt;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>
      <c r="A11" s="3" t="str">
        <f>CHOOSE(WEEKDAY(DATE($B$1,$A$2,B11),2),"lunedì","martedì","mercoledì","giovedì","venerdì","sabato","domenica")</f>
        <v>domenica</v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>
        <f>IF(SUMPRODUCT(($C$3:$P$3&lt;&gt;"")*($C11:$P11&lt;&gt;"")*(COUNTIFS($C11:$P11,$C11:$P11,$C$3:$P$3,$C$3:$P$3)&gt;1))&gt;0,"X","")</f>
      </c>
      <c r="S11" s="3" t="str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3" t="str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3" t="str">
        <f>A11</f>
        <v>domenica</v>
      </c>
      <c r="Z11" s="3">
        <f>B11</f>
        <v>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 t="str">
        <f>AH$3</f>
        <v>MARINI</v>
      </c>
      <c r="AT11" s="6">
        <f>COUNTIF($C$4:$D$33,$AS11)</f>
        <v>0</v>
      </c>
      <c r="AU11" s="6">
        <f>COUNTIF($E$4:$F$33,$AS11)</f>
        <v>0</v>
      </c>
      <c r="AV11" s="6">
        <f>COUNTIF($G$4:$H$33,$AS11)</f>
        <v>0</v>
      </c>
      <c r="AW11" s="6">
        <f>COUNTIF($I$4:$J$33,$AS11)</f>
        <v>0</v>
      </c>
      <c r="AX11" s="6">
        <f>COUNTIF($K$4:$K$33,$AS11)</f>
        <v>0</v>
      </c>
      <c r="AY11" s="6">
        <f>COUNTIF($L$4:$L$33,$AS11)</f>
        <v>0</v>
      </c>
      <c r="AZ11" s="6">
        <f>COUNTIF($M$4:$M$33,$AS11)</f>
        <v>0</v>
      </c>
      <c r="BA11" s="6">
        <f>COUNTIF($N$4:$P$33,$AS11)</f>
        <v>0</v>
      </c>
      <c r="BB11" s="6">
        <f>COUNTIF($C$4:$P$33,$AS11)</f>
        <v>0</v>
      </c>
      <c r="BD11" s="7" t="str">
        <f>AH$3</f>
        <v>MARINI</v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 t="str">
        <f>IF(0+(AA11="X")+(AA11="Gn")+(AA11="C")+(AA10="Gn")&gt;0,"",IF(0+((AA11&lt;&gt;"Xm"))+((AA11&lt;&gt;"Xp"))+((AA11&lt;&gt;"Xn"))=0,"",IF(0+((AA11&lt;&gt;"Xm"))+((AA11&lt;&gt;"Xp"))+((AA11&lt;&gt;"Xn"))=3,AA$3&amp;", ",AA$3&amp;IF((AA11&lt;&gt;"Xm"),"_m","")&amp;IF((AA11&lt;&gt;"Xp"),"_p","")&amp;IF((AA11&lt;&gt;"Xn"),"_n","")&amp;", ")))</f>
        <v>LEONI, </v>
      </c>
      <c r="BP11" s="8" t="str">
        <f>IF(0+(AB11="X")+(AB11="Gn")+(AB11="C")+(AB10="Gn")&gt;0,"",IF(0+((AB11&lt;&gt;"Xm"))+((AB11&lt;&gt;"Xp"))+((AB11&lt;&gt;"Xn"))=0,"",IF(0+((AB11&lt;&gt;"Xm"))+((AB11&lt;&gt;"Xp"))+((AB11&lt;&gt;"Xn"))=3,AB$3&amp;", ",AB$3&amp;IF((AB11&lt;&gt;"Xm"),"_m","")&amp;IF((AB11&lt;&gt;"Xp"),"_p","")&amp;IF((AB11&lt;&gt;"Xn"),"_n","")&amp;", ")))</f>
        <v>ROSSI M, </v>
      </c>
      <c r="BQ11" s="8" t="str">
        <f>IF(0+(AC11="X")+(AC11="Gn")+(AC11="C")+(AC10="Gn")&gt;0,"",IF(0+((AC11&lt;&gt;"Xm"))+((AC11&lt;&gt;"Xp"))+((AC11&lt;&gt;"Xn"))=0,"",IF(0+((AC11&lt;&gt;"Xm"))+((AC11&lt;&gt;"Xp"))+((AC11&lt;&gt;"Xn"))=3,AC$3&amp;", ",AC$3&amp;IF((AC11&lt;&gt;"Xm"),"_m","")&amp;IF((AC11&lt;&gt;"Xp"),"_p","")&amp;IF((AC11&lt;&gt;"Xn"),"_n","")&amp;", ")))</f>
        <v>ROSSI L, </v>
      </c>
      <c r="BR11" s="8" t="str">
        <f>IF(0+(AD11="X")+(AD11="Gn")+(AD11="C")+(AD10="Gn")&gt;0,"",IF(0+((AD11&lt;&gt;"Xm"))+((AD11&lt;&gt;"Xp"))+((AD11&lt;&gt;"Xn"))=0,"",IF(0+((AD11&lt;&gt;"Xm"))+((AD11&lt;&gt;"Xp"))+((AD11&lt;&gt;"Xn"))=3,AD$3&amp;", ",AD$3&amp;IF((AD11&lt;&gt;"Xm"),"_m","")&amp;IF((AD11&lt;&gt;"Xp"),"_p","")&amp;IF((AD11&lt;&gt;"Xn"),"_n","")&amp;", ")))</f>
        <v>GALLINA, </v>
      </c>
      <c r="BS11" s="8" t="str">
        <f>IF(0+(AE11="X")+(AE11="Gn")+(AE11="C")+(AE10="Gn")&gt;0,"",IF(0+((AE11&lt;&gt;"Xm"))+((AE11&lt;&gt;"Xp"))+((AE11&lt;&gt;"Xn"))=0,"",IF(0+((AE11&lt;&gt;"Xm"))+((AE11&lt;&gt;"Xp"))+((AE11&lt;&gt;"Xn"))=3,AE$3&amp;", ",AE$3&amp;IF((AE11&lt;&gt;"Xm"),"_m","")&amp;IF((AE11&lt;&gt;"Xp"),"_p","")&amp;IF((AE11&lt;&gt;"Xn"),"_n","")&amp;", ")))</f>
        <v>RUSSO, </v>
      </c>
      <c r="BT11" s="8" t="str">
        <f>IF(0+(AF11="X")+(AF11="Gn")+(AF11="C")+(AF10="Gn")&gt;0,"",IF(0+((AF11&lt;&gt;"Xm"))+((AF11&lt;&gt;"Xp"))+((AF11&lt;&gt;"Xn"))=0,"",IF(0+((AF11&lt;&gt;"Xm"))+((AF11&lt;&gt;"Xp"))+((AF11&lt;&gt;"Xn"))=3,AF$3&amp;", ",AF$3&amp;IF((AF11&lt;&gt;"Xm"),"_m","")&amp;IF((AF11&lt;&gt;"Xp"),"_p","")&amp;IF((AF11&lt;&gt;"Xn"),"_n","")&amp;", ")))</f>
        <v>VERDI, </v>
      </c>
      <c r="BU11" s="8" t="str">
        <f>IF(0+(AG11="X")+(AG11="Gn")+(AG11="C")+(AG10="Gn")&gt;0,"",IF(0+((AG11&lt;&gt;"Xm"))+((AG11&lt;&gt;"Xp"))+((AG11&lt;&gt;"Xn"))=0,"",IF(0+((AG11&lt;&gt;"Xm"))+((AG11&lt;&gt;"Xp"))+((AG11&lt;&gt;"Xn"))=3,AG$3&amp;", ",AG$3&amp;IF((AG11&lt;&gt;"Xm"),"_m","")&amp;IF((AG11&lt;&gt;"Xp"),"_p","")&amp;IF((AG11&lt;&gt;"Xn"),"_n","")&amp;", ")))</f>
        <v>HU, </v>
      </c>
      <c r="BV11" s="8" t="str">
        <f>IF(0+(AH11="X")+(AH11="Gn")+(AH11="C")+(AH10="Gn")&gt;0,"",IF(0+((AH11&lt;&gt;"Xm"))+((AH11&lt;&gt;"Xp"))+((AH11&lt;&gt;"Xn"))=0,"",IF(0+((AH11&lt;&gt;"Xm"))+((AH11&lt;&gt;"Xp"))+((AH11&lt;&gt;"Xn"))=3,AH$3&amp;", ",AH$3&amp;IF((AH11&lt;&gt;"Xm"),"_m","")&amp;IF((AH11&lt;&gt;"Xp"),"_p","")&amp;IF((AH11&lt;&gt;"Xn"),"_n","")&amp;", ")))</f>
        <v>MARINI, </v>
      </c>
      <c r="BW11" s="8" t="str">
        <f>IF(0+(AI11="X")+(AI11="Gn")+(AI11="C")+(AI10="Gn")&gt;0,"",IF(0+((AI11&lt;&gt;"Xm"))+((AI11&lt;&gt;"Xp"))+((AI11&lt;&gt;"Xn"))=0,"",IF(0+((AI11&lt;&gt;"Xm"))+((AI11&lt;&gt;"Xp"))+((AI11&lt;&gt;"Xn"))=3,AI$3&amp;", ",AI$3&amp;IF((AI11&lt;&gt;"Xm"),"_m","")&amp;IF((AI11&lt;&gt;"Xp"),"_p","")&amp;IF((AI11&lt;&gt;"Xn"),"_n","")&amp;", ")))</f>
        <v>CONTI A, </v>
      </c>
      <c r="BX11" s="8" t="str">
        <f>IF(0+(AJ11="X")+(AJ11="Gn")+(AJ11="C")+(AJ10="Gn")&gt;0,"",IF(0+((AJ11&lt;&gt;"Xm"))+((AJ11&lt;&gt;"Xp"))+((AJ11&lt;&gt;"Xn"))=0,"",IF(0+((AJ11&lt;&gt;"Xm"))+((AJ11&lt;&gt;"Xp"))+((AJ11&lt;&gt;"Xn"))=3,AJ$3&amp;", ",AJ$3&amp;IF((AJ11&lt;&gt;"Xm"),"_m","")&amp;IF((AJ11&lt;&gt;"Xp"),"_p","")&amp;IF((AJ11&lt;&gt;"Xn"),"_n","")&amp;", ")))</f>
        <v>CONTI S, </v>
      </c>
      <c r="BY11" s="8" t="str">
        <f>IF(0+(AK11="X")+(AK11="Gn")+(AK11="C")+(AK10="Gn")&gt;0,"",IF(0+((AK11&lt;&gt;"Xm"))+((AK11&lt;&gt;"Xp"))+((AK11&lt;&gt;"Xn"))=0,"",IF(0+((AK11&lt;&gt;"Xm"))+((AK11&lt;&gt;"Xp"))+((AK11&lt;&gt;"Xn"))=3,AK$3&amp;", ",AK$3&amp;IF((AK11&lt;&gt;"Xm"),"_m","")&amp;IF((AK11&lt;&gt;"Xp"),"_p","")&amp;IF((AK11&lt;&gt;"Xn"),"_n","")&amp;", ")))</f>
        <v>FERRARI, </v>
      </c>
      <c r="BZ11" s="8" t="str">
        <f>IF(0+(AL11="X")+(AL11="Gn")+(AL11="C")+(AL10="Gn")&gt;0,"",IF(0+((AL11&lt;&gt;"Xm"))+((AL11&lt;&gt;"Xp"))+((AL11&lt;&gt;"Xn"))=0,"",IF(0+((AL11&lt;&gt;"Xm"))+((AL11&lt;&gt;"Xp"))+((AL11&lt;&gt;"Xn"))=3,AL$3&amp;", ",AL$3&amp;IF((AL11&lt;&gt;"Xm"),"_m","")&amp;IF((AL11&lt;&gt;"Xp"),"_p","")&amp;IF((AL11&lt;&gt;"Xn"),"_n","")&amp;", ")))</f>
        <v>GRECO, </v>
      </c>
      <c r="CA11" s="8" t="str">
        <f>IF(0+(AM11="X")+(AM11="Gn")+(AM11="C")+(AM10="Gn")&gt;0,"",IF(0+((AM11&lt;&gt;"Xm"))+((AM11&lt;&gt;"Xp"))+((AM11&lt;&gt;"Xn"))=0,"",IF(0+((AM11&lt;&gt;"Xm"))+((AM11&lt;&gt;"Xp"))+((AM11&lt;&gt;"Xn"))=3,AM$3&amp;", ",AM$3&amp;IF((AM11&lt;&gt;"Xm"),"_m","")&amp;IF((AM11&lt;&gt;"Xp"),"_p","")&amp;IF((AM11&lt;&gt;"Xn"),"_n","")&amp;", ")))</f>
        <v>SANNA, </v>
      </c>
      <c r="CB11" s="8" t="str">
        <f>IF(0+(AN11="X")+(AN11="Gn")+(AN11="C")+(AN10="Gn")&gt;0,"",IF(0+((AN11&lt;&gt;"Xm"))+((AN11&lt;&gt;"Xp"))+((AN11&lt;&gt;"Xn"))=0,"",IF(0+((AN11&lt;&gt;"Xm"))+((AN11&lt;&gt;"Xp"))+((AN11&lt;&gt;"Xn"))=3,AN$3&amp;", ",AN$3&amp;IF((AN11&lt;&gt;"Xm"),"_m","")&amp;IF((AN11&lt;&gt;"Xp"),"_p","")&amp;IF((AN11&lt;&gt;"Xn"),"_n","")&amp;", ")))</f>
        <v>LI, </v>
      </c>
      <c r="CC11" s="8" t="n"/>
      <c r="CD11" s="8" t="str">
        <f>IF(0+(AA11="X")+(AA11="Gn")+(AA11="C")+(AA10="Gn")&gt;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8" t="str">
        <f>IF(0+(AB11="X")+(AB11="Gn")+(AB11="C")+(AB10="Gn")&gt;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8" t="str">
        <f>IF(0+(AC11="X")+(AC11="Gn")+(AC11="C")+(AC10="Gn")&gt;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8" t="str">
        <f>IF(0+(AD11="X")+(AD11="Gn")+(AD11="C")+(AD10="Gn")&gt;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8" t="str">
        <f>IF(0+(AE11="X")+(AE11="Gn")+(AE11="C")+(AE10="Gn")&gt;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8" t="str">
        <f>IF(0+(AF11="X")+(AF11="Gn")+(AF11="C")+(AF10="Gn")&gt;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8" t="str">
        <f>IF(0+(AG11="X")+(AG11="Gn")+(AG11="C")+(AG10="Gn")&gt;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8" t="str">
        <f>IF(0+(AH11="X")+(AH11="Gn")+(AH11="C")+(AH10="Gn")&gt;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8" t="str">
        <f>IF(0+(AI11="X")+(AI11="Gn")+(AI11="C")+(AI10="Gn")&gt;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8" t="str">
        <f>IF(0+(AJ11="X")+(AJ11="Gn")+(AJ11="C")+(AJ10="Gn")&gt;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8" t="str">
        <f>IF(0+(AK11="X")+(AK11="Gn")+(AK11="C")+(AK10="Gn")&gt;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8" t="str">
        <f>IF(0+(AL11="X")+(AL11="Gn")+(AL11="C")+(AL10="Gn")&gt;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8" t="str">
        <f>IF(0+(AM11="X")+(AM11="Gn")+(AM11="C")+(AM10="Gn")&gt;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8" t="str">
        <f>IF(0+(AN11="X")+(AN11="Gn")+(AN11="C")+(AN10="Gn")&gt;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IF(SUMPRODUCT(($C$3:$P$3&lt;&gt;"")*($C12:$P12&lt;&gt;"")*(COUNTIFS($C12:$P12,$C12:$P12,$C$3:$P$3,$C$3:$P$3)&gt;1))&gt;0,"X","")</f>
      </c>
      <c r="S12" s="10" t="str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0" t="str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9" t="str">
        <f>A12</f>
        <v>lunedì</v>
      </c>
      <c r="Z12" s="9">
        <f>B12</f>
        <v>9</v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 t="str">
        <f>AI$3</f>
        <v>CONTI A</v>
      </c>
      <c r="AT12" s="6">
        <f>COUNTIF($C$4:$D$33,$AS12)</f>
        <v>0</v>
      </c>
      <c r="AU12" s="6">
        <f>COUNTIF($E$4:$F$33,$AS12)</f>
        <v>0</v>
      </c>
      <c r="AV12" s="6">
        <f>COUNTIF($G$4:$H$33,$AS12)</f>
        <v>0</v>
      </c>
      <c r="AW12" s="6">
        <f>COUNTIF($I$4:$J$33,$AS12)</f>
        <v>0</v>
      </c>
      <c r="AX12" s="6">
        <f>COUNTIF($K$4:$K$33,$AS12)</f>
        <v>0</v>
      </c>
      <c r="AY12" s="6">
        <f>COUNTIF($L$4:$L$33,$AS12)</f>
        <v>0</v>
      </c>
      <c r="AZ12" s="6">
        <f>COUNTIF($M$4:$M$33,$AS12)</f>
        <v>0</v>
      </c>
      <c r="BA12" s="6">
        <f>COUNTIF($N$4:$P$33,$AS12)</f>
        <v>0</v>
      </c>
      <c r="BB12" s="6">
        <f>COUNTIF($C$4:$P$33,$AS12)</f>
        <v>0</v>
      </c>
      <c r="BD12" s="7" t="str">
        <f>AI$3</f>
        <v>CONTI A</v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 t="str">
        <f>IF(0+(AA12="X")+(AA12="Gn")+(AA12="C")+(AA11="Gn")&gt;0,"",IF(0+((AA12&lt;&gt;"Xm"))+((AA12&lt;&gt;"Xp"))+((AA12&lt;&gt;"Xn"))=0,"",IF(0+((AA12&lt;&gt;"Xm"))+((AA12&lt;&gt;"Xp"))+((AA12&lt;&gt;"Xn"))=3,AA$3&amp;", ",AA$3&amp;IF((AA12&lt;&gt;"Xm"),"_m","")&amp;IF((AA12&lt;&gt;"Xp"),"_p","")&amp;IF((AA12&lt;&gt;"Xn"),"_n","")&amp;", ")))</f>
        <v>LEONI, </v>
      </c>
      <c r="BP12" s="8" t="str">
        <f>IF(0+(AB12="X")+(AB12="Gn")+(AB12="C")+(AB11="Gn")&gt;0,"",IF(0+((AB12&lt;&gt;"Xm"))+((AB12&lt;&gt;"Xp"))+((AB12&lt;&gt;"Xn"))=0,"",IF(0+((AB12&lt;&gt;"Xm"))+((AB12&lt;&gt;"Xp"))+((AB12&lt;&gt;"Xn"))=3,AB$3&amp;", ",AB$3&amp;IF((AB12&lt;&gt;"Xm"),"_m","")&amp;IF((AB12&lt;&gt;"Xp"),"_p","")&amp;IF((AB12&lt;&gt;"Xn"),"_n","")&amp;", ")))</f>
        <v>ROSSI M, </v>
      </c>
      <c r="BQ12" s="8" t="str">
        <f>IF(0+(AC12="X")+(AC12="Gn")+(AC12="C")+(AC11="Gn")&gt;0,"",IF(0+((AC12&lt;&gt;"Xm"))+((AC12&lt;&gt;"Xp"))+((AC12&lt;&gt;"Xn"))=0,"",IF(0+((AC12&lt;&gt;"Xm"))+((AC12&lt;&gt;"Xp"))+((AC12&lt;&gt;"Xn"))=3,AC$3&amp;", ",AC$3&amp;IF((AC12&lt;&gt;"Xm"),"_m","")&amp;IF((AC12&lt;&gt;"Xp"),"_p","")&amp;IF((AC12&lt;&gt;"Xn"),"_n","")&amp;", ")))</f>
        <v>ROSSI L, </v>
      </c>
      <c r="BR12" s="8" t="str">
        <f>IF(0+(AD12="X")+(AD12="Gn")+(AD12="C")+(AD11="Gn")&gt;0,"",IF(0+((AD12&lt;&gt;"Xm"))+((AD12&lt;&gt;"Xp"))+((AD12&lt;&gt;"Xn"))=0,"",IF(0+((AD12&lt;&gt;"Xm"))+((AD12&lt;&gt;"Xp"))+((AD12&lt;&gt;"Xn"))=3,AD$3&amp;", ",AD$3&amp;IF((AD12&lt;&gt;"Xm"),"_m","")&amp;IF((AD12&lt;&gt;"Xp"),"_p","")&amp;IF((AD12&lt;&gt;"Xn"),"_n","")&amp;", ")))</f>
        <v>GALLINA, </v>
      </c>
      <c r="BS12" s="8" t="str">
        <f>IF(0+(AE12="X")+(AE12="Gn")+(AE12="C")+(AE11="Gn")&gt;0,"",IF(0+((AE12&lt;&gt;"Xm"))+((AE12&lt;&gt;"Xp"))+((AE12&lt;&gt;"Xn"))=0,"",IF(0+((AE12&lt;&gt;"Xm"))+((AE12&lt;&gt;"Xp"))+((AE12&lt;&gt;"Xn"))=3,AE$3&amp;", ",AE$3&amp;IF((AE12&lt;&gt;"Xm"),"_m","")&amp;IF((AE12&lt;&gt;"Xp"),"_p","")&amp;IF((AE12&lt;&gt;"Xn"),"_n","")&amp;", ")))</f>
        <v>RUSSO, </v>
      </c>
      <c r="BT12" s="8" t="str">
        <f>IF(0+(AF12="X")+(AF12="Gn")+(AF12="C")+(AF11="Gn")&gt;0,"",IF(0+((AF12&lt;&gt;"Xm"))+((AF12&lt;&gt;"Xp"))+((AF12&lt;&gt;"Xn"))=0,"",IF(0+((AF12&lt;&gt;"Xm"))+((AF12&lt;&gt;"Xp"))+((AF12&lt;&gt;"Xn"))=3,AF$3&amp;", ",AF$3&amp;IF((AF12&lt;&gt;"Xm"),"_m","")&amp;IF((AF12&lt;&gt;"Xp"),"_p","")&amp;IF((AF12&lt;&gt;"Xn"),"_n","")&amp;", ")))</f>
        <v>VERDI, </v>
      </c>
      <c r="BU12" s="8" t="str">
        <f>IF(0+(AG12="X")+(AG12="Gn")+(AG12="C")+(AG11="Gn")&gt;0,"",IF(0+((AG12&lt;&gt;"Xm"))+((AG12&lt;&gt;"Xp"))+((AG12&lt;&gt;"Xn"))=0,"",IF(0+((AG12&lt;&gt;"Xm"))+((AG12&lt;&gt;"Xp"))+((AG12&lt;&gt;"Xn"))=3,AG$3&amp;", ",AG$3&amp;IF((AG12&lt;&gt;"Xm"),"_m","")&amp;IF((AG12&lt;&gt;"Xp"),"_p","")&amp;IF((AG12&lt;&gt;"Xn"),"_n","")&amp;", ")))</f>
        <v>HU, </v>
      </c>
      <c r="BV12" s="8" t="str">
        <f>IF(0+(AH12="X")+(AH12="Gn")+(AH12="C")+(AH11="Gn")&gt;0,"",IF(0+((AH12&lt;&gt;"Xm"))+((AH12&lt;&gt;"Xp"))+((AH12&lt;&gt;"Xn"))=0,"",IF(0+((AH12&lt;&gt;"Xm"))+((AH12&lt;&gt;"Xp"))+((AH12&lt;&gt;"Xn"))=3,AH$3&amp;", ",AH$3&amp;IF((AH12&lt;&gt;"Xm"),"_m","")&amp;IF((AH12&lt;&gt;"Xp"),"_p","")&amp;IF((AH12&lt;&gt;"Xn"),"_n","")&amp;", ")))</f>
        <v>MARINI, </v>
      </c>
      <c r="BW12" s="8" t="str">
        <f>IF(0+(AI12="X")+(AI12="Gn")+(AI12="C")+(AI11="Gn")&gt;0,"",IF(0+((AI12&lt;&gt;"Xm"))+((AI12&lt;&gt;"Xp"))+((AI12&lt;&gt;"Xn"))=0,"",IF(0+((AI12&lt;&gt;"Xm"))+((AI12&lt;&gt;"Xp"))+((AI12&lt;&gt;"Xn"))=3,AI$3&amp;", ",AI$3&amp;IF((AI12&lt;&gt;"Xm"),"_m","")&amp;IF((AI12&lt;&gt;"Xp"),"_p","")&amp;IF((AI12&lt;&gt;"Xn"),"_n","")&amp;", ")))</f>
        <v>CONTI A, </v>
      </c>
      <c r="BX12" s="8" t="str">
        <f>IF(0+(AJ12="X")+(AJ12="Gn")+(AJ12="C")+(AJ11="Gn")&gt;0,"",IF(0+((AJ12&lt;&gt;"Xm"))+((AJ12&lt;&gt;"Xp"))+((AJ12&lt;&gt;"Xn"))=0,"",IF(0+((AJ12&lt;&gt;"Xm"))+((AJ12&lt;&gt;"Xp"))+((AJ12&lt;&gt;"Xn"))=3,AJ$3&amp;", ",AJ$3&amp;IF((AJ12&lt;&gt;"Xm"),"_m","")&amp;IF((AJ12&lt;&gt;"Xp"),"_p","")&amp;IF((AJ12&lt;&gt;"Xn"),"_n","")&amp;", ")))</f>
        <v>CONTI S, </v>
      </c>
      <c r="BY12" s="8" t="str">
        <f>IF(0+(AK12="X")+(AK12="Gn")+(AK12="C")+(AK11="Gn")&gt;0,"",IF(0+((AK12&lt;&gt;"Xm"))+((AK12&lt;&gt;"Xp"))+((AK12&lt;&gt;"Xn"))=0,"",IF(0+((AK12&lt;&gt;"Xm"))+((AK12&lt;&gt;"Xp"))+((AK12&lt;&gt;"Xn"))=3,AK$3&amp;", ",AK$3&amp;IF((AK12&lt;&gt;"Xm"),"_m","")&amp;IF((AK12&lt;&gt;"Xp"),"_p","")&amp;IF((AK12&lt;&gt;"Xn"),"_n","")&amp;", ")))</f>
        <v>FERRARI, </v>
      </c>
      <c r="BZ12" s="8" t="str">
        <f>IF(0+(AL12="X")+(AL12="Gn")+(AL12="C")+(AL11="Gn")&gt;0,"",IF(0+((AL12&lt;&gt;"Xm"))+((AL12&lt;&gt;"Xp"))+((AL12&lt;&gt;"Xn"))=0,"",IF(0+((AL12&lt;&gt;"Xm"))+((AL12&lt;&gt;"Xp"))+((AL12&lt;&gt;"Xn"))=3,AL$3&amp;", ",AL$3&amp;IF((AL12&lt;&gt;"Xm"),"_m","")&amp;IF((AL12&lt;&gt;"Xp"),"_p","")&amp;IF((AL12&lt;&gt;"Xn"),"_n","")&amp;", ")))</f>
        <v>GRECO, </v>
      </c>
      <c r="CA12" s="8" t="str">
        <f>IF(0+(AM12="X")+(AM12="Gn")+(AM12="C")+(AM11="Gn")&gt;0,"",IF(0+((AM12&lt;&gt;"Xm"))+((AM12&lt;&gt;"Xp"))+((AM12&lt;&gt;"Xn"))=0,"",IF(0+((AM12&lt;&gt;"Xm"))+((AM12&lt;&gt;"Xp"))+((AM12&lt;&gt;"Xn"))=3,AM$3&amp;", ",AM$3&amp;IF((AM12&lt;&gt;"Xm"),"_m","")&amp;IF((AM12&lt;&gt;"Xp"),"_p","")&amp;IF((AM12&lt;&gt;"Xn"),"_n","")&amp;", ")))</f>
        <v>SANNA, </v>
      </c>
      <c r="CB12" s="8" t="str">
        <f>IF(0+(AN12="X")+(AN12="Gn")+(AN12="C")+(AN11="Gn")&gt;0,"",IF(0+((AN12&lt;&gt;"Xm"))+((AN12&lt;&gt;"Xp"))+((AN12&lt;&gt;"Xn"))=0,"",IF(0+((AN12&lt;&gt;"Xm"))+((AN12&lt;&gt;"Xp"))+((AN12&lt;&gt;"Xn"))=3,AN$3&amp;", ",AN$3&amp;IF((AN12&lt;&gt;"Xm"),"_m","")&amp;IF((AN12&lt;&gt;"Xp"),"_p","")&amp;IF((AN12&lt;&gt;"Xn"),"_n","")&amp;", ")))</f>
        <v>LI, </v>
      </c>
      <c r="CC12" s="8" t="n"/>
      <c r="CD12" s="8" t="str">
        <f>IF(0+(AA12="X")+(AA12="Gn")+(AA12="C")+(AA11="Gn")&gt;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8" t="str">
        <f>IF(0+(AB12="X")+(AB12="Gn")+(AB12="C")+(AB11="Gn")&gt;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8" t="str">
        <f>IF(0+(AC12="X")+(AC12="Gn")+(AC12="C")+(AC11="Gn")&gt;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8" t="str">
        <f>IF(0+(AD12="X")+(AD12="Gn")+(AD12="C")+(AD11="Gn")&gt;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8" t="str">
        <f>IF(0+(AE12="X")+(AE12="Gn")+(AE12="C")+(AE11="Gn")&gt;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8" t="str">
        <f>IF(0+(AF12="X")+(AF12="Gn")+(AF12="C")+(AF11="Gn")&gt;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8" t="str">
        <f>IF(0+(AG12="X")+(AG12="Gn")+(AG12="C")+(AG11="Gn")&gt;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8" t="str">
        <f>IF(0+(AH12="X")+(AH12="Gn")+(AH12="C")+(AH11="Gn")&gt;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8" t="str">
        <f>IF(0+(AI12="X")+(AI12="Gn")+(AI12="C")+(AI11="Gn")&gt;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8" t="str">
        <f>IF(0+(AJ12="X")+(AJ12="Gn")+(AJ12="C")+(AJ11="Gn")&gt;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8" t="str">
        <f>IF(0+(AK12="X")+(AK12="Gn")+(AK12="C")+(AK11="Gn")&gt;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8" t="str">
        <f>IF(0+(AL12="X")+(AL12="Gn")+(AL12="C")+(AL11="Gn")&gt;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8" t="str">
        <f>IF(0+(AM12="X")+(AM12="Gn")+(AM12="C")+(AM11="Gn")&gt;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8" t="str">
        <f>IF(0+(AN12="X")+(AN12="Gn")+(AN12="C")+(AN11="Gn")&gt;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IF(SUMPRODUCT(($C$3:$P$3&lt;&gt;"")*($C13:$P13&lt;&gt;"")*(COUNTIFS($C13:$P13,$C13:$P13,$C$3:$P$3,$C$3:$P$3)&gt;1))&gt;0,"X","")</f>
      </c>
      <c r="S13" s="10" t="str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0" t="str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9" t="str">
        <f>A13</f>
        <v>martedì</v>
      </c>
      <c r="Z13" s="9">
        <f>B13</f>
        <v>10</v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 t="str">
        <f>AJ$3</f>
        <v>CONTI S</v>
      </c>
      <c r="AT13" s="6">
        <f>COUNTIF($C$4:$D$33,$AS13)</f>
        <v>0</v>
      </c>
      <c r="AU13" s="6">
        <f>COUNTIF($E$4:$F$33,$AS13)</f>
        <v>0</v>
      </c>
      <c r="AV13" s="6">
        <f>COUNTIF($G$4:$H$33,$AS13)</f>
        <v>0</v>
      </c>
      <c r="AW13" s="6">
        <f>COUNTIF($I$4:$J$33,$AS13)</f>
        <v>0</v>
      </c>
      <c r="AX13" s="6">
        <f>COUNTIF($K$4:$K$33,$AS13)</f>
        <v>0</v>
      </c>
      <c r="AY13" s="6">
        <f>COUNTIF($L$4:$L$33,$AS13)</f>
        <v>0</v>
      </c>
      <c r="AZ13" s="6">
        <f>COUNTIF($M$4:$M$33,$AS13)</f>
        <v>0</v>
      </c>
      <c r="BA13" s="6">
        <f>COUNTIF($N$4:$P$33,$AS13)</f>
        <v>0</v>
      </c>
      <c r="BB13" s="6">
        <f>COUNTIF($C$4:$P$33,$AS13)</f>
        <v>0</v>
      </c>
      <c r="BD13" s="7" t="str">
        <f>AJ$3</f>
        <v>CONTI S</v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 t="str">
        <f>IF(0+(AA13="X")+(AA13="Gn")+(AA13="C")+(AA12="Gn")&gt;0,"",IF(0+((AA13&lt;&gt;"Xm"))+((AA13&lt;&gt;"Xp"))+((AA13&lt;&gt;"Xn"))=0,"",IF(0+((AA13&lt;&gt;"Xm"))+((AA13&lt;&gt;"Xp"))+((AA13&lt;&gt;"Xn"))=3,AA$3&amp;", ",AA$3&amp;IF((AA13&lt;&gt;"Xm"),"_m","")&amp;IF((AA13&lt;&gt;"Xp"),"_p","")&amp;IF((AA13&lt;&gt;"Xn"),"_n","")&amp;", ")))</f>
        <v>LEONI, </v>
      </c>
      <c r="BP13" s="8" t="str">
        <f>IF(0+(AB13="X")+(AB13="Gn")+(AB13="C")+(AB12="Gn")&gt;0,"",IF(0+((AB13&lt;&gt;"Xm"))+((AB13&lt;&gt;"Xp"))+((AB13&lt;&gt;"Xn"))=0,"",IF(0+((AB13&lt;&gt;"Xm"))+((AB13&lt;&gt;"Xp"))+((AB13&lt;&gt;"Xn"))=3,AB$3&amp;", ",AB$3&amp;IF((AB13&lt;&gt;"Xm"),"_m","")&amp;IF((AB13&lt;&gt;"Xp"),"_p","")&amp;IF((AB13&lt;&gt;"Xn"),"_n","")&amp;", ")))</f>
        <v>ROSSI M, </v>
      </c>
      <c r="BQ13" s="8" t="str">
        <f>IF(0+(AC13="X")+(AC13="Gn")+(AC13="C")+(AC12="Gn")&gt;0,"",IF(0+((AC13&lt;&gt;"Xm"))+((AC13&lt;&gt;"Xp"))+((AC13&lt;&gt;"Xn"))=0,"",IF(0+((AC13&lt;&gt;"Xm"))+((AC13&lt;&gt;"Xp"))+((AC13&lt;&gt;"Xn"))=3,AC$3&amp;", ",AC$3&amp;IF((AC13&lt;&gt;"Xm"),"_m","")&amp;IF((AC13&lt;&gt;"Xp"),"_p","")&amp;IF((AC13&lt;&gt;"Xn"),"_n","")&amp;", ")))</f>
        <v>ROSSI L, </v>
      </c>
      <c r="BR13" s="8" t="str">
        <f>IF(0+(AD13="X")+(AD13="Gn")+(AD13="C")+(AD12="Gn")&gt;0,"",IF(0+((AD13&lt;&gt;"Xm"))+((AD13&lt;&gt;"Xp"))+((AD13&lt;&gt;"Xn"))=0,"",IF(0+((AD13&lt;&gt;"Xm"))+((AD13&lt;&gt;"Xp"))+((AD13&lt;&gt;"Xn"))=3,AD$3&amp;", ",AD$3&amp;IF((AD13&lt;&gt;"Xm"),"_m","")&amp;IF((AD13&lt;&gt;"Xp"),"_p","")&amp;IF((AD13&lt;&gt;"Xn"),"_n","")&amp;", ")))</f>
        <v>GALLINA, </v>
      </c>
      <c r="BS13" s="8" t="str">
        <f>IF(0+(AE13="X")+(AE13="Gn")+(AE13="C")+(AE12="Gn")&gt;0,"",IF(0+((AE13&lt;&gt;"Xm"))+((AE13&lt;&gt;"Xp"))+((AE13&lt;&gt;"Xn"))=0,"",IF(0+((AE13&lt;&gt;"Xm"))+((AE13&lt;&gt;"Xp"))+((AE13&lt;&gt;"Xn"))=3,AE$3&amp;", ",AE$3&amp;IF((AE13&lt;&gt;"Xm"),"_m","")&amp;IF((AE13&lt;&gt;"Xp"),"_p","")&amp;IF((AE13&lt;&gt;"Xn"),"_n","")&amp;", ")))</f>
        <v>RUSSO, </v>
      </c>
      <c r="BT13" s="8" t="str">
        <f>IF(0+(AF13="X")+(AF13="Gn")+(AF13="C")+(AF12="Gn")&gt;0,"",IF(0+((AF13&lt;&gt;"Xm"))+((AF13&lt;&gt;"Xp"))+((AF13&lt;&gt;"Xn"))=0,"",IF(0+((AF13&lt;&gt;"Xm"))+((AF13&lt;&gt;"Xp"))+((AF13&lt;&gt;"Xn"))=3,AF$3&amp;", ",AF$3&amp;IF((AF13&lt;&gt;"Xm"),"_m","")&amp;IF((AF13&lt;&gt;"Xp"),"_p","")&amp;IF((AF13&lt;&gt;"Xn"),"_n","")&amp;", ")))</f>
        <v>VERDI, </v>
      </c>
      <c r="BU13" s="8" t="str">
        <f>IF(0+(AG13="X")+(AG13="Gn")+(AG13="C")+(AG12="Gn")&gt;0,"",IF(0+((AG13&lt;&gt;"Xm"))+((AG13&lt;&gt;"Xp"))+((AG13&lt;&gt;"Xn"))=0,"",IF(0+((AG13&lt;&gt;"Xm"))+((AG13&lt;&gt;"Xp"))+((AG13&lt;&gt;"Xn"))=3,AG$3&amp;", ",AG$3&amp;IF((AG13&lt;&gt;"Xm"),"_m","")&amp;IF((AG13&lt;&gt;"Xp"),"_p","")&amp;IF((AG13&lt;&gt;"Xn"),"_n","")&amp;", ")))</f>
        <v>HU, </v>
      </c>
      <c r="BV13" s="8" t="str">
        <f>IF(0+(AH13="X")+(AH13="Gn")+(AH13="C")+(AH12="Gn")&gt;0,"",IF(0+((AH13&lt;&gt;"Xm"))+((AH13&lt;&gt;"Xp"))+((AH13&lt;&gt;"Xn"))=0,"",IF(0+((AH13&lt;&gt;"Xm"))+((AH13&lt;&gt;"Xp"))+((AH13&lt;&gt;"Xn"))=3,AH$3&amp;", ",AH$3&amp;IF((AH13&lt;&gt;"Xm"),"_m","")&amp;IF((AH13&lt;&gt;"Xp"),"_p","")&amp;IF((AH13&lt;&gt;"Xn"),"_n","")&amp;", ")))</f>
        <v>MARINI, </v>
      </c>
      <c r="BW13" s="8" t="str">
        <f>IF(0+(AI13="X")+(AI13="Gn")+(AI13="C")+(AI12="Gn")&gt;0,"",IF(0+((AI13&lt;&gt;"Xm"))+((AI13&lt;&gt;"Xp"))+((AI13&lt;&gt;"Xn"))=0,"",IF(0+((AI13&lt;&gt;"Xm"))+((AI13&lt;&gt;"Xp"))+((AI13&lt;&gt;"Xn"))=3,AI$3&amp;", ",AI$3&amp;IF((AI13&lt;&gt;"Xm"),"_m","")&amp;IF((AI13&lt;&gt;"Xp"),"_p","")&amp;IF((AI13&lt;&gt;"Xn"),"_n","")&amp;", ")))</f>
        <v>CONTI A, </v>
      </c>
      <c r="BX13" s="8" t="str">
        <f>IF(0+(AJ13="X")+(AJ13="Gn")+(AJ13="C")+(AJ12="Gn")&gt;0,"",IF(0+((AJ13&lt;&gt;"Xm"))+((AJ13&lt;&gt;"Xp"))+((AJ13&lt;&gt;"Xn"))=0,"",IF(0+((AJ13&lt;&gt;"Xm"))+((AJ13&lt;&gt;"Xp"))+((AJ13&lt;&gt;"Xn"))=3,AJ$3&amp;", ",AJ$3&amp;IF((AJ13&lt;&gt;"Xm"),"_m","")&amp;IF((AJ13&lt;&gt;"Xp"),"_p","")&amp;IF((AJ13&lt;&gt;"Xn"),"_n","")&amp;", ")))</f>
        <v>CONTI S, </v>
      </c>
      <c r="BY13" s="8" t="str">
        <f>IF(0+(AK13="X")+(AK13="Gn")+(AK13="C")+(AK12="Gn")&gt;0,"",IF(0+((AK13&lt;&gt;"Xm"))+((AK13&lt;&gt;"Xp"))+((AK13&lt;&gt;"Xn"))=0,"",IF(0+((AK13&lt;&gt;"Xm"))+((AK13&lt;&gt;"Xp"))+((AK13&lt;&gt;"Xn"))=3,AK$3&amp;", ",AK$3&amp;IF((AK13&lt;&gt;"Xm"),"_m","")&amp;IF((AK13&lt;&gt;"Xp"),"_p","")&amp;IF((AK13&lt;&gt;"Xn"),"_n","")&amp;", ")))</f>
        <v>FERRARI, </v>
      </c>
      <c r="BZ13" s="8" t="str">
        <f>IF(0+(AL13="X")+(AL13="Gn")+(AL13="C")+(AL12="Gn")&gt;0,"",IF(0+((AL13&lt;&gt;"Xm"))+((AL13&lt;&gt;"Xp"))+((AL13&lt;&gt;"Xn"))=0,"",IF(0+((AL13&lt;&gt;"Xm"))+((AL13&lt;&gt;"Xp"))+((AL13&lt;&gt;"Xn"))=3,AL$3&amp;", ",AL$3&amp;IF((AL13&lt;&gt;"Xm"),"_m","")&amp;IF((AL13&lt;&gt;"Xp"),"_p","")&amp;IF((AL13&lt;&gt;"Xn"),"_n","")&amp;", ")))</f>
        <v>GRECO, </v>
      </c>
      <c r="CA13" s="8" t="str">
        <f>IF(0+(AM13="X")+(AM13="Gn")+(AM13="C")+(AM12="Gn")&gt;0,"",IF(0+((AM13&lt;&gt;"Xm"))+((AM13&lt;&gt;"Xp"))+((AM13&lt;&gt;"Xn"))=0,"",IF(0+((AM13&lt;&gt;"Xm"))+((AM13&lt;&gt;"Xp"))+((AM13&lt;&gt;"Xn"))=3,AM$3&amp;", ",AM$3&amp;IF((AM13&lt;&gt;"Xm"),"_m","")&amp;IF((AM13&lt;&gt;"Xp"),"_p","")&amp;IF((AM13&lt;&gt;"Xn"),"_n","")&amp;", ")))</f>
        <v>SANNA, </v>
      </c>
      <c r="CB13" s="8" t="str">
        <f>IF(0+(AN13="X")+(AN13="Gn")+(AN13="C")+(AN12="Gn")&gt;0,"",IF(0+((AN13&lt;&gt;"Xm"))+((AN13&lt;&gt;"Xp"))+((AN13&lt;&gt;"Xn"))=0,"",IF(0+((AN13&lt;&gt;"Xm"))+((AN13&lt;&gt;"Xp"))+((AN13&lt;&gt;"Xn"))=3,AN$3&amp;", ",AN$3&amp;IF((AN13&lt;&gt;"Xm"),"_m","")&amp;IF((AN13&lt;&gt;"Xp"),"_p","")&amp;IF((AN13&lt;&gt;"Xn"),"_n","")&amp;", ")))</f>
        <v>LI, </v>
      </c>
      <c r="CC13" s="8" t="n"/>
      <c r="CD13" s="8" t="str">
        <f>IF(0+(AA13="X")+(AA13="Gn")+(AA13="C")+(AA12="Gn")&gt;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8" t="str">
        <f>IF(0+(AB13="X")+(AB13="Gn")+(AB13="C")+(AB12="Gn")&gt;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8" t="str">
        <f>IF(0+(AC13="X")+(AC13="Gn")+(AC13="C")+(AC12="Gn")&gt;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8" t="str">
        <f>IF(0+(AD13="X")+(AD13="Gn")+(AD13="C")+(AD12="Gn")&gt;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8" t="str">
        <f>IF(0+(AE13="X")+(AE13="Gn")+(AE13="C")+(AE12="Gn")&gt;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8" t="str">
        <f>IF(0+(AF13="X")+(AF13="Gn")+(AF13="C")+(AF12="Gn")&gt;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8" t="str">
        <f>IF(0+(AG13="X")+(AG13="Gn")+(AG13="C")+(AG12="Gn")&gt;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8" t="str">
        <f>IF(0+(AH13="X")+(AH13="Gn")+(AH13="C")+(AH12="Gn")&gt;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8" t="str">
        <f>IF(0+(AI13="X")+(AI13="Gn")+(AI13="C")+(AI12="Gn")&gt;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8" t="str">
        <f>IF(0+(AJ13="X")+(AJ13="Gn")+(AJ13="C")+(AJ12="Gn")&gt;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8" t="str">
        <f>IF(0+(AK13="X")+(AK13="Gn")+(AK13="C")+(AK12="Gn")&gt;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8" t="str">
        <f>IF(0+(AL13="X")+(AL13="Gn")+(AL13="C")+(AL12="Gn")&gt;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8" t="str">
        <f>IF(0+(AM13="X")+(AM13="Gn")+(AM13="C")+(AM12="Gn")&gt;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8" t="str">
        <f>IF(0+(AN13="X")+(AN13="Gn")+(AN13="C")+(AN12="Gn")&gt;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IF(SUMPRODUCT(($C$3:$P$3&lt;&gt;"")*($C14:$P14&lt;&gt;"")*(COUNTIFS($C14:$P14,$C14:$P14,$C$3:$P$3,$C$3:$P$3)&gt;1))&gt;0,"X","")</f>
      </c>
      <c r="S14" s="10" t="str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0" t="str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9" t="str">
        <f>A14</f>
        <v>mercoledì</v>
      </c>
      <c r="Z14" s="9">
        <f>B14</f>
        <v>11</v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 t="str">
        <f>AK$3</f>
        <v>FERRARI</v>
      </c>
      <c r="AT14" s="6">
        <f>COUNTIF($C$4:$D$33,$AS14)</f>
        <v>0</v>
      </c>
      <c r="AU14" s="6">
        <f>COUNTIF($E$4:$F$33,$AS14)</f>
        <v>0</v>
      </c>
      <c r="AV14" s="6">
        <f>COUNTIF($G$4:$H$33,$AS14)</f>
        <v>0</v>
      </c>
      <c r="AW14" s="6">
        <f>COUNTIF($I$4:$J$33,$AS14)</f>
        <v>0</v>
      </c>
      <c r="AX14" s="6">
        <f>COUNTIF($K$4:$K$33,$AS14)</f>
        <v>0</v>
      </c>
      <c r="AY14" s="6">
        <f>COUNTIF($L$4:$L$33,$AS14)</f>
        <v>0</v>
      </c>
      <c r="AZ14" s="6">
        <f>COUNTIF($M$4:$M$33,$AS14)</f>
        <v>0</v>
      </c>
      <c r="BA14" s="6">
        <f>COUNTIF($N$4:$P$33,$AS14)</f>
        <v>0</v>
      </c>
      <c r="BB14" s="6">
        <f>COUNTIF($C$4:$P$33,$AS14)</f>
        <v>0</v>
      </c>
      <c r="BD14" s="7" t="str">
        <f>AK$3</f>
        <v>FERRARI</v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 t="str">
        <f>IF(0+(AA14="X")+(AA14="Gn")+(AA14="C")+(AA13="Gn")&gt;0,"",IF(0+((AA14&lt;&gt;"Xm"))+((AA14&lt;&gt;"Xp"))+((AA14&lt;&gt;"Xn"))=0,"",IF(0+((AA14&lt;&gt;"Xm"))+((AA14&lt;&gt;"Xp"))+((AA14&lt;&gt;"Xn"))=3,AA$3&amp;", ",AA$3&amp;IF((AA14&lt;&gt;"Xm"),"_m","")&amp;IF((AA14&lt;&gt;"Xp"),"_p","")&amp;IF((AA14&lt;&gt;"Xn"),"_n","")&amp;", ")))</f>
        <v>LEONI, </v>
      </c>
      <c r="BP14" s="8" t="str">
        <f>IF(0+(AB14="X")+(AB14="Gn")+(AB14="C")+(AB13="Gn")&gt;0,"",IF(0+((AB14&lt;&gt;"Xm"))+((AB14&lt;&gt;"Xp"))+((AB14&lt;&gt;"Xn"))=0,"",IF(0+((AB14&lt;&gt;"Xm"))+((AB14&lt;&gt;"Xp"))+((AB14&lt;&gt;"Xn"))=3,AB$3&amp;", ",AB$3&amp;IF((AB14&lt;&gt;"Xm"),"_m","")&amp;IF((AB14&lt;&gt;"Xp"),"_p","")&amp;IF((AB14&lt;&gt;"Xn"),"_n","")&amp;", ")))</f>
        <v>ROSSI M, </v>
      </c>
      <c r="BQ14" s="8" t="str">
        <f>IF(0+(AC14="X")+(AC14="Gn")+(AC14="C")+(AC13="Gn")&gt;0,"",IF(0+((AC14&lt;&gt;"Xm"))+((AC14&lt;&gt;"Xp"))+((AC14&lt;&gt;"Xn"))=0,"",IF(0+((AC14&lt;&gt;"Xm"))+((AC14&lt;&gt;"Xp"))+((AC14&lt;&gt;"Xn"))=3,AC$3&amp;", ",AC$3&amp;IF((AC14&lt;&gt;"Xm"),"_m","")&amp;IF((AC14&lt;&gt;"Xp"),"_p","")&amp;IF((AC14&lt;&gt;"Xn"),"_n","")&amp;", ")))</f>
        <v>ROSSI L, </v>
      </c>
      <c r="BR14" s="8" t="str">
        <f>IF(0+(AD14="X")+(AD14="Gn")+(AD14="C")+(AD13="Gn")&gt;0,"",IF(0+((AD14&lt;&gt;"Xm"))+((AD14&lt;&gt;"Xp"))+((AD14&lt;&gt;"Xn"))=0,"",IF(0+((AD14&lt;&gt;"Xm"))+((AD14&lt;&gt;"Xp"))+((AD14&lt;&gt;"Xn"))=3,AD$3&amp;", ",AD$3&amp;IF((AD14&lt;&gt;"Xm"),"_m","")&amp;IF((AD14&lt;&gt;"Xp"),"_p","")&amp;IF((AD14&lt;&gt;"Xn"),"_n","")&amp;", ")))</f>
        <v>GALLINA, </v>
      </c>
      <c r="BS14" s="8" t="str">
        <f>IF(0+(AE14="X")+(AE14="Gn")+(AE14="C")+(AE13="Gn")&gt;0,"",IF(0+((AE14&lt;&gt;"Xm"))+((AE14&lt;&gt;"Xp"))+((AE14&lt;&gt;"Xn"))=0,"",IF(0+((AE14&lt;&gt;"Xm"))+((AE14&lt;&gt;"Xp"))+((AE14&lt;&gt;"Xn"))=3,AE$3&amp;", ",AE$3&amp;IF((AE14&lt;&gt;"Xm"),"_m","")&amp;IF((AE14&lt;&gt;"Xp"),"_p","")&amp;IF((AE14&lt;&gt;"Xn"),"_n","")&amp;", ")))</f>
        <v>RUSSO, </v>
      </c>
      <c r="BT14" s="8" t="str">
        <f>IF(0+(AF14="X")+(AF14="Gn")+(AF14="C")+(AF13="Gn")&gt;0,"",IF(0+((AF14&lt;&gt;"Xm"))+((AF14&lt;&gt;"Xp"))+((AF14&lt;&gt;"Xn"))=0,"",IF(0+((AF14&lt;&gt;"Xm"))+((AF14&lt;&gt;"Xp"))+((AF14&lt;&gt;"Xn"))=3,AF$3&amp;", ",AF$3&amp;IF((AF14&lt;&gt;"Xm"),"_m","")&amp;IF((AF14&lt;&gt;"Xp"),"_p","")&amp;IF((AF14&lt;&gt;"Xn"),"_n","")&amp;", ")))</f>
        <v>VERDI, </v>
      </c>
      <c r="BU14" s="8" t="str">
        <f>IF(0+(AG14="X")+(AG14="Gn")+(AG14="C")+(AG13="Gn")&gt;0,"",IF(0+((AG14&lt;&gt;"Xm"))+((AG14&lt;&gt;"Xp"))+((AG14&lt;&gt;"Xn"))=0,"",IF(0+((AG14&lt;&gt;"Xm"))+((AG14&lt;&gt;"Xp"))+((AG14&lt;&gt;"Xn"))=3,AG$3&amp;", ",AG$3&amp;IF((AG14&lt;&gt;"Xm"),"_m","")&amp;IF((AG14&lt;&gt;"Xp"),"_p","")&amp;IF((AG14&lt;&gt;"Xn"),"_n","")&amp;", ")))</f>
        <v>HU, </v>
      </c>
      <c r="BV14" s="8" t="str">
        <f>IF(0+(AH14="X")+(AH14="Gn")+(AH14="C")+(AH13="Gn")&gt;0,"",IF(0+((AH14&lt;&gt;"Xm"))+((AH14&lt;&gt;"Xp"))+((AH14&lt;&gt;"Xn"))=0,"",IF(0+((AH14&lt;&gt;"Xm"))+((AH14&lt;&gt;"Xp"))+((AH14&lt;&gt;"Xn"))=3,AH$3&amp;", ",AH$3&amp;IF((AH14&lt;&gt;"Xm"),"_m","")&amp;IF((AH14&lt;&gt;"Xp"),"_p","")&amp;IF((AH14&lt;&gt;"Xn"),"_n","")&amp;", ")))</f>
        <v>MARINI, </v>
      </c>
      <c r="BW14" s="8" t="str">
        <f>IF(0+(AI14="X")+(AI14="Gn")+(AI14="C")+(AI13="Gn")&gt;0,"",IF(0+((AI14&lt;&gt;"Xm"))+((AI14&lt;&gt;"Xp"))+((AI14&lt;&gt;"Xn"))=0,"",IF(0+((AI14&lt;&gt;"Xm"))+((AI14&lt;&gt;"Xp"))+((AI14&lt;&gt;"Xn"))=3,AI$3&amp;", ",AI$3&amp;IF((AI14&lt;&gt;"Xm"),"_m","")&amp;IF((AI14&lt;&gt;"Xp"),"_p","")&amp;IF((AI14&lt;&gt;"Xn"),"_n","")&amp;", ")))</f>
        <v>CONTI A, </v>
      </c>
      <c r="BX14" s="8" t="str">
        <f>IF(0+(AJ14="X")+(AJ14="Gn")+(AJ14="C")+(AJ13="Gn")&gt;0,"",IF(0+((AJ14&lt;&gt;"Xm"))+((AJ14&lt;&gt;"Xp"))+((AJ14&lt;&gt;"Xn"))=0,"",IF(0+((AJ14&lt;&gt;"Xm"))+((AJ14&lt;&gt;"Xp"))+((AJ14&lt;&gt;"Xn"))=3,AJ$3&amp;", ",AJ$3&amp;IF((AJ14&lt;&gt;"Xm"),"_m","")&amp;IF((AJ14&lt;&gt;"Xp"),"_p","")&amp;IF((AJ14&lt;&gt;"Xn"),"_n","")&amp;", ")))</f>
        <v>CONTI S, </v>
      </c>
      <c r="BY14" s="8" t="str">
        <f>IF(0+(AK14="X")+(AK14="Gn")+(AK14="C")+(AK13="Gn")&gt;0,"",IF(0+((AK14&lt;&gt;"Xm"))+((AK14&lt;&gt;"Xp"))+((AK14&lt;&gt;"Xn"))=0,"",IF(0+((AK14&lt;&gt;"Xm"))+((AK14&lt;&gt;"Xp"))+((AK14&lt;&gt;"Xn"))=3,AK$3&amp;", ",AK$3&amp;IF((AK14&lt;&gt;"Xm"),"_m","")&amp;IF((AK14&lt;&gt;"Xp"),"_p","")&amp;IF((AK14&lt;&gt;"Xn"),"_n","")&amp;", ")))</f>
        <v>FERRARI, </v>
      </c>
      <c r="BZ14" s="8" t="str">
        <f>IF(0+(AL14="X")+(AL14="Gn")+(AL14="C")+(AL13="Gn")&gt;0,"",IF(0+((AL14&lt;&gt;"Xm"))+((AL14&lt;&gt;"Xp"))+((AL14&lt;&gt;"Xn"))=0,"",IF(0+((AL14&lt;&gt;"Xm"))+((AL14&lt;&gt;"Xp"))+((AL14&lt;&gt;"Xn"))=3,AL$3&amp;", ",AL$3&amp;IF((AL14&lt;&gt;"Xm"),"_m","")&amp;IF((AL14&lt;&gt;"Xp"),"_p","")&amp;IF((AL14&lt;&gt;"Xn"),"_n","")&amp;", ")))</f>
        <v>GRECO, </v>
      </c>
      <c r="CA14" s="8" t="str">
        <f>IF(0+(AM14="X")+(AM14="Gn")+(AM14="C")+(AM13="Gn")&gt;0,"",IF(0+((AM14&lt;&gt;"Xm"))+((AM14&lt;&gt;"Xp"))+((AM14&lt;&gt;"Xn"))=0,"",IF(0+((AM14&lt;&gt;"Xm"))+((AM14&lt;&gt;"Xp"))+((AM14&lt;&gt;"Xn"))=3,AM$3&amp;", ",AM$3&amp;IF((AM14&lt;&gt;"Xm"),"_m","")&amp;IF((AM14&lt;&gt;"Xp"),"_p","")&amp;IF((AM14&lt;&gt;"Xn"),"_n","")&amp;", ")))</f>
        <v>SANNA, </v>
      </c>
      <c r="CB14" s="8" t="str">
        <f>IF(0+(AN14="X")+(AN14="Gn")+(AN14="C")+(AN13="Gn")&gt;0,"",IF(0+((AN14&lt;&gt;"Xm"))+((AN14&lt;&gt;"Xp"))+((AN14&lt;&gt;"Xn"))=0,"",IF(0+((AN14&lt;&gt;"Xm"))+((AN14&lt;&gt;"Xp"))+((AN14&lt;&gt;"Xn"))=3,AN$3&amp;", ",AN$3&amp;IF((AN14&lt;&gt;"Xm"),"_m","")&amp;IF((AN14&lt;&gt;"Xp"),"_p","")&amp;IF((AN14&lt;&gt;"Xn"),"_n","")&amp;", ")))</f>
        <v>LI, </v>
      </c>
      <c r="CC14" s="8" t="n"/>
      <c r="CD14" s="8" t="str">
        <f>IF(0+(AA14="X")+(AA14="Gn")+(AA14="C")+(AA13="Gn")&gt;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8" t="str">
        <f>IF(0+(AB14="X")+(AB14="Gn")+(AB14="C")+(AB13="Gn")&gt;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8" t="str">
        <f>IF(0+(AC14="X")+(AC14="Gn")+(AC14="C")+(AC13="Gn")&gt;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8" t="str">
        <f>IF(0+(AD14="X")+(AD14="Gn")+(AD14="C")+(AD13="Gn")&gt;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8" t="str">
        <f>IF(0+(AE14="X")+(AE14="Gn")+(AE14="C")+(AE13="Gn")&gt;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8" t="str">
        <f>IF(0+(AF14="X")+(AF14="Gn")+(AF14="C")+(AF13="Gn")&gt;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8" t="str">
        <f>IF(0+(AG14="X")+(AG14="Gn")+(AG14="C")+(AG13="Gn")&gt;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8" t="str">
        <f>IF(0+(AH14="X")+(AH14="Gn")+(AH14="C")+(AH13="Gn")&gt;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8" t="str">
        <f>IF(0+(AI14="X")+(AI14="Gn")+(AI14="C")+(AI13="Gn")&gt;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8" t="str">
        <f>IF(0+(AJ14="X")+(AJ14="Gn")+(AJ14="C")+(AJ13="Gn")&gt;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8" t="str">
        <f>IF(0+(AK14="X")+(AK14="Gn")+(AK14="C")+(AK13="Gn")&gt;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8" t="str">
        <f>IF(0+(AL14="X")+(AL14="Gn")+(AL14="C")+(AL13="Gn")&gt;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8" t="str">
        <f>IF(0+(AM14="X")+(AM14="Gn")+(AM14="C")+(AM13="Gn")&gt;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8" t="str">
        <f>IF(0+(AN14="X")+(AN14="Gn")+(AN14="C")+(AN13="Gn")&gt;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IF(SUMPRODUCT(($C$3:$P$3&lt;&gt;"")*($C15:$P15&lt;&gt;"")*(COUNTIFS($C15:$P15,$C15:$P15,$C$3:$P$3,$C$3:$P$3)&gt;1))&gt;0,"X","")</f>
      </c>
      <c r="S15" s="10" t="str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0" t="str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9" t="str">
        <f>A15</f>
        <v>giovedì</v>
      </c>
      <c r="Z15" s="9">
        <f>B15</f>
        <v>12</v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 t="str">
        <f>AL$3</f>
        <v>GRECO</v>
      </c>
      <c r="AT15" s="6">
        <f>COUNTIF($C$4:$D$33,$AS15)</f>
        <v>0</v>
      </c>
      <c r="AU15" s="6">
        <f>COUNTIF($E$4:$F$33,$AS15)</f>
        <v>0</v>
      </c>
      <c r="AV15" s="6">
        <f>COUNTIF($G$4:$H$33,$AS15)</f>
        <v>0</v>
      </c>
      <c r="AW15" s="6">
        <f>COUNTIF($I$4:$J$33,$AS15)</f>
        <v>0</v>
      </c>
      <c r="AX15" s="6">
        <f>COUNTIF($K$4:$K$33,$AS15)</f>
        <v>0</v>
      </c>
      <c r="AY15" s="6">
        <f>COUNTIF($L$4:$L$33,$AS15)</f>
        <v>0</v>
      </c>
      <c r="AZ15" s="6">
        <f>COUNTIF($M$4:$M$33,$AS15)</f>
        <v>0</v>
      </c>
      <c r="BA15" s="6">
        <f>COUNTIF($N$4:$P$33,$AS15)</f>
        <v>0</v>
      </c>
      <c r="BB15" s="6">
        <f>COUNTIF($C$4:$P$33,$AS15)</f>
        <v>0</v>
      </c>
      <c r="BD15" s="7" t="str">
        <f>AL$3</f>
        <v>GRECO</v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 t="str">
        <f>IF(0+(AA15="X")+(AA15="Gn")+(AA15="C")+(AA14="Gn")&gt;0,"",IF(0+((AA15&lt;&gt;"Xm"))+((AA15&lt;&gt;"Xp"))+((AA15&lt;&gt;"Xn"))=0,"",IF(0+((AA15&lt;&gt;"Xm"))+((AA15&lt;&gt;"Xp"))+((AA15&lt;&gt;"Xn"))=3,AA$3&amp;", ",AA$3&amp;IF((AA15&lt;&gt;"Xm"),"_m","")&amp;IF((AA15&lt;&gt;"Xp"),"_p","")&amp;IF((AA15&lt;&gt;"Xn"),"_n","")&amp;", ")))</f>
        <v>LEONI, </v>
      </c>
      <c r="BP15" s="8" t="str">
        <f>IF(0+(AB15="X")+(AB15="Gn")+(AB15="C")+(AB14="Gn")&gt;0,"",IF(0+((AB15&lt;&gt;"Xm"))+((AB15&lt;&gt;"Xp"))+((AB15&lt;&gt;"Xn"))=0,"",IF(0+((AB15&lt;&gt;"Xm"))+((AB15&lt;&gt;"Xp"))+((AB15&lt;&gt;"Xn"))=3,AB$3&amp;", ",AB$3&amp;IF((AB15&lt;&gt;"Xm"),"_m","")&amp;IF((AB15&lt;&gt;"Xp"),"_p","")&amp;IF((AB15&lt;&gt;"Xn"),"_n","")&amp;", ")))</f>
        <v>ROSSI M, </v>
      </c>
      <c r="BQ15" s="8" t="str">
        <f>IF(0+(AC15="X")+(AC15="Gn")+(AC15="C")+(AC14="Gn")&gt;0,"",IF(0+((AC15&lt;&gt;"Xm"))+((AC15&lt;&gt;"Xp"))+((AC15&lt;&gt;"Xn"))=0,"",IF(0+((AC15&lt;&gt;"Xm"))+((AC15&lt;&gt;"Xp"))+((AC15&lt;&gt;"Xn"))=3,AC$3&amp;", ",AC$3&amp;IF((AC15&lt;&gt;"Xm"),"_m","")&amp;IF((AC15&lt;&gt;"Xp"),"_p","")&amp;IF((AC15&lt;&gt;"Xn"),"_n","")&amp;", ")))</f>
        <v>ROSSI L, </v>
      </c>
      <c r="BR15" s="8" t="str">
        <f>IF(0+(AD15="X")+(AD15="Gn")+(AD15="C")+(AD14="Gn")&gt;0,"",IF(0+((AD15&lt;&gt;"Xm"))+((AD15&lt;&gt;"Xp"))+((AD15&lt;&gt;"Xn"))=0,"",IF(0+((AD15&lt;&gt;"Xm"))+((AD15&lt;&gt;"Xp"))+((AD15&lt;&gt;"Xn"))=3,AD$3&amp;", ",AD$3&amp;IF((AD15&lt;&gt;"Xm"),"_m","")&amp;IF((AD15&lt;&gt;"Xp"),"_p","")&amp;IF((AD15&lt;&gt;"Xn"),"_n","")&amp;", ")))</f>
        <v>GALLINA, </v>
      </c>
      <c r="BS15" s="8" t="str">
        <f>IF(0+(AE15="X")+(AE15="Gn")+(AE15="C")+(AE14="Gn")&gt;0,"",IF(0+((AE15&lt;&gt;"Xm"))+((AE15&lt;&gt;"Xp"))+((AE15&lt;&gt;"Xn"))=0,"",IF(0+((AE15&lt;&gt;"Xm"))+((AE15&lt;&gt;"Xp"))+((AE15&lt;&gt;"Xn"))=3,AE$3&amp;", ",AE$3&amp;IF((AE15&lt;&gt;"Xm"),"_m","")&amp;IF((AE15&lt;&gt;"Xp"),"_p","")&amp;IF((AE15&lt;&gt;"Xn"),"_n","")&amp;", ")))</f>
        <v>RUSSO, </v>
      </c>
      <c r="BT15" s="8" t="str">
        <f>IF(0+(AF15="X")+(AF15="Gn")+(AF15="C")+(AF14="Gn")&gt;0,"",IF(0+((AF15&lt;&gt;"Xm"))+((AF15&lt;&gt;"Xp"))+((AF15&lt;&gt;"Xn"))=0,"",IF(0+((AF15&lt;&gt;"Xm"))+((AF15&lt;&gt;"Xp"))+((AF15&lt;&gt;"Xn"))=3,AF$3&amp;", ",AF$3&amp;IF((AF15&lt;&gt;"Xm"),"_m","")&amp;IF((AF15&lt;&gt;"Xp"),"_p","")&amp;IF((AF15&lt;&gt;"Xn"),"_n","")&amp;", ")))</f>
        <v>VERDI, </v>
      </c>
      <c r="BU15" s="8" t="str">
        <f>IF(0+(AG15="X")+(AG15="Gn")+(AG15="C")+(AG14="Gn")&gt;0,"",IF(0+((AG15&lt;&gt;"Xm"))+((AG15&lt;&gt;"Xp"))+((AG15&lt;&gt;"Xn"))=0,"",IF(0+((AG15&lt;&gt;"Xm"))+((AG15&lt;&gt;"Xp"))+((AG15&lt;&gt;"Xn"))=3,AG$3&amp;", ",AG$3&amp;IF((AG15&lt;&gt;"Xm"),"_m","")&amp;IF((AG15&lt;&gt;"Xp"),"_p","")&amp;IF((AG15&lt;&gt;"Xn"),"_n","")&amp;", ")))</f>
        <v>HU, </v>
      </c>
      <c r="BV15" s="8" t="str">
        <f>IF(0+(AH15="X")+(AH15="Gn")+(AH15="C")+(AH14="Gn")&gt;0,"",IF(0+((AH15&lt;&gt;"Xm"))+((AH15&lt;&gt;"Xp"))+((AH15&lt;&gt;"Xn"))=0,"",IF(0+((AH15&lt;&gt;"Xm"))+((AH15&lt;&gt;"Xp"))+((AH15&lt;&gt;"Xn"))=3,AH$3&amp;", ",AH$3&amp;IF((AH15&lt;&gt;"Xm"),"_m","")&amp;IF((AH15&lt;&gt;"Xp"),"_p","")&amp;IF((AH15&lt;&gt;"Xn"),"_n","")&amp;", ")))</f>
        <v>MARINI, </v>
      </c>
      <c r="BW15" s="8" t="str">
        <f>IF(0+(AI15="X")+(AI15="Gn")+(AI15="C")+(AI14="Gn")&gt;0,"",IF(0+((AI15&lt;&gt;"Xm"))+((AI15&lt;&gt;"Xp"))+((AI15&lt;&gt;"Xn"))=0,"",IF(0+((AI15&lt;&gt;"Xm"))+((AI15&lt;&gt;"Xp"))+((AI15&lt;&gt;"Xn"))=3,AI$3&amp;", ",AI$3&amp;IF((AI15&lt;&gt;"Xm"),"_m","")&amp;IF((AI15&lt;&gt;"Xp"),"_p","")&amp;IF((AI15&lt;&gt;"Xn"),"_n","")&amp;", ")))</f>
        <v>CONTI A, </v>
      </c>
      <c r="BX15" s="8" t="str">
        <f>IF(0+(AJ15="X")+(AJ15="Gn")+(AJ15="C")+(AJ14="Gn")&gt;0,"",IF(0+((AJ15&lt;&gt;"Xm"))+((AJ15&lt;&gt;"Xp"))+((AJ15&lt;&gt;"Xn"))=0,"",IF(0+((AJ15&lt;&gt;"Xm"))+((AJ15&lt;&gt;"Xp"))+((AJ15&lt;&gt;"Xn"))=3,AJ$3&amp;", ",AJ$3&amp;IF((AJ15&lt;&gt;"Xm"),"_m","")&amp;IF((AJ15&lt;&gt;"Xp"),"_p","")&amp;IF((AJ15&lt;&gt;"Xn"),"_n","")&amp;", ")))</f>
        <v>CONTI S, </v>
      </c>
      <c r="BY15" s="8" t="str">
        <f>IF(0+(AK15="X")+(AK15="Gn")+(AK15="C")+(AK14="Gn")&gt;0,"",IF(0+((AK15&lt;&gt;"Xm"))+((AK15&lt;&gt;"Xp"))+((AK15&lt;&gt;"Xn"))=0,"",IF(0+((AK15&lt;&gt;"Xm"))+((AK15&lt;&gt;"Xp"))+((AK15&lt;&gt;"Xn"))=3,AK$3&amp;", ",AK$3&amp;IF((AK15&lt;&gt;"Xm"),"_m","")&amp;IF((AK15&lt;&gt;"Xp"),"_p","")&amp;IF((AK15&lt;&gt;"Xn"),"_n","")&amp;", ")))</f>
        <v>FERRARI, </v>
      </c>
      <c r="BZ15" s="8" t="str">
        <f>IF(0+(AL15="X")+(AL15="Gn")+(AL15="C")+(AL14="Gn")&gt;0,"",IF(0+((AL15&lt;&gt;"Xm"))+((AL15&lt;&gt;"Xp"))+((AL15&lt;&gt;"Xn"))=0,"",IF(0+((AL15&lt;&gt;"Xm"))+((AL15&lt;&gt;"Xp"))+((AL15&lt;&gt;"Xn"))=3,AL$3&amp;", ",AL$3&amp;IF((AL15&lt;&gt;"Xm"),"_m","")&amp;IF((AL15&lt;&gt;"Xp"),"_p","")&amp;IF((AL15&lt;&gt;"Xn"),"_n","")&amp;", ")))</f>
        <v>GRECO, </v>
      </c>
      <c r="CA15" s="8" t="str">
        <f>IF(0+(AM15="X")+(AM15="Gn")+(AM15="C")+(AM14="Gn")&gt;0,"",IF(0+((AM15&lt;&gt;"Xm"))+((AM15&lt;&gt;"Xp"))+((AM15&lt;&gt;"Xn"))=0,"",IF(0+((AM15&lt;&gt;"Xm"))+((AM15&lt;&gt;"Xp"))+((AM15&lt;&gt;"Xn"))=3,AM$3&amp;", ",AM$3&amp;IF((AM15&lt;&gt;"Xm"),"_m","")&amp;IF((AM15&lt;&gt;"Xp"),"_p","")&amp;IF((AM15&lt;&gt;"Xn"),"_n","")&amp;", ")))</f>
        <v>SANNA, </v>
      </c>
      <c r="CB15" s="8" t="str">
        <f>IF(0+(AN15="X")+(AN15="Gn")+(AN15="C")+(AN14="Gn")&gt;0,"",IF(0+((AN15&lt;&gt;"Xm"))+((AN15&lt;&gt;"Xp"))+((AN15&lt;&gt;"Xn"))=0,"",IF(0+((AN15&lt;&gt;"Xm"))+((AN15&lt;&gt;"Xp"))+((AN15&lt;&gt;"Xn"))=3,AN$3&amp;", ",AN$3&amp;IF((AN15&lt;&gt;"Xm"),"_m","")&amp;IF((AN15&lt;&gt;"Xp"),"_p","")&amp;IF((AN15&lt;&gt;"Xn"),"_n","")&amp;", ")))</f>
        <v>LI, </v>
      </c>
      <c r="CC15" s="8" t="n"/>
      <c r="CD15" s="8" t="str">
        <f>IF(0+(AA15="X")+(AA15="Gn")+(AA15="C")+(AA14="Gn")&gt;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8" t="str">
        <f>IF(0+(AB15="X")+(AB15="Gn")+(AB15="C")+(AB14="Gn")&gt;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8" t="str">
        <f>IF(0+(AC15="X")+(AC15="Gn")+(AC15="C")+(AC14="Gn")&gt;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8" t="str">
        <f>IF(0+(AD15="X")+(AD15="Gn")+(AD15="C")+(AD14="Gn")&gt;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8" t="str">
        <f>IF(0+(AE15="X")+(AE15="Gn")+(AE15="C")+(AE14="Gn")&gt;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8" t="str">
        <f>IF(0+(AF15="X")+(AF15="Gn")+(AF15="C")+(AF14="Gn")&gt;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8" t="str">
        <f>IF(0+(AG15="X")+(AG15="Gn")+(AG15="C")+(AG14="Gn")&gt;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8" t="str">
        <f>IF(0+(AH15="X")+(AH15="Gn")+(AH15="C")+(AH14="Gn")&gt;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8" t="str">
        <f>IF(0+(AI15="X")+(AI15="Gn")+(AI15="C")+(AI14="Gn")&gt;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8" t="str">
        <f>IF(0+(AJ15="X")+(AJ15="Gn")+(AJ15="C")+(AJ14="Gn")&gt;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8" t="str">
        <f>IF(0+(AK15="X")+(AK15="Gn")+(AK15="C")+(AK14="Gn")&gt;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8" t="str">
        <f>IF(0+(AL15="X")+(AL15="Gn")+(AL15="C")+(AL14="Gn")&gt;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8" t="str">
        <f>IF(0+(AM15="X")+(AM15="Gn")+(AM15="C")+(AM14="Gn")&gt;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8" t="str">
        <f>IF(0+(AN15="X")+(AN15="Gn")+(AN15="C")+(AN14="Gn")&gt;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IF(SUMPRODUCT(($C$3:$P$3&lt;&gt;"")*($C16:$P16&lt;&gt;"")*(COUNTIFS($C16:$P16,$C16:$P16,$C$3:$P$3,$C$3:$P$3)&gt;1))&gt;0,"X","")</f>
      </c>
      <c r="S16" s="10" t="str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0" t="str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9" t="str">
        <f>A16</f>
        <v>venerdì</v>
      </c>
      <c r="Z16" s="9">
        <f>B16</f>
        <v>13</v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 t="str">
        <f>AM$3</f>
        <v>SANNA</v>
      </c>
      <c r="AT16" s="6">
        <f>COUNTIF($C$4:$D$33,$AS16)</f>
        <v>0</v>
      </c>
      <c r="AU16" s="6">
        <f>COUNTIF($E$4:$F$33,$AS16)</f>
        <v>0</v>
      </c>
      <c r="AV16" s="6">
        <f>COUNTIF($G$4:$H$33,$AS16)</f>
        <v>0</v>
      </c>
      <c r="AW16" s="6">
        <f>COUNTIF($I$4:$J$33,$AS16)</f>
        <v>0</v>
      </c>
      <c r="AX16" s="6">
        <f>COUNTIF($K$4:$K$33,$AS16)</f>
        <v>0</v>
      </c>
      <c r="AY16" s="6">
        <f>COUNTIF($L$4:$L$33,$AS16)</f>
        <v>0</v>
      </c>
      <c r="AZ16" s="6">
        <f>COUNTIF($M$4:$M$33,$AS16)</f>
        <v>0</v>
      </c>
      <c r="BA16" s="6">
        <f>COUNTIF($N$4:$P$33,$AS16)</f>
        <v>0</v>
      </c>
      <c r="BB16" s="6">
        <f>COUNTIF($C$4:$P$33,$AS16)</f>
        <v>0</v>
      </c>
      <c r="BD16" s="7" t="str">
        <f>AM$3</f>
        <v>SANNA</v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 t="str">
        <f>IF(0+(AA16="X")+(AA16="Gn")+(AA16="C")+(AA15="Gn")&gt;0,"",IF(0+((AA16&lt;&gt;"Xm"))+((AA16&lt;&gt;"Xp"))+((AA16&lt;&gt;"Xn"))=0,"",IF(0+((AA16&lt;&gt;"Xm"))+((AA16&lt;&gt;"Xp"))+((AA16&lt;&gt;"Xn"))=3,AA$3&amp;", ",AA$3&amp;IF((AA16&lt;&gt;"Xm"),"_m","")&amp;IF((AA16&lt;&gt;"Xp"),"_p","")&amp;IF((AA16&lt;&gt;"Xn"),"_n","")&amp;", ")))</f>
        <v>LEONI, </v>
      </c>
      <c r="BP16" s="8" t="str">
        <f>IF(0+(AB16="X")+(AB16="Gn")+(AB16="C")+(AB15="Gn")&gt;0,"",IF(0+((AB16&lt;&gt;"Xm"))+((AB16&lt;&gt;"Xp"))+((AB16&lt;&gt;"Xn"))=0,"",IF(0+((AB16&lt;&gt;"Xm"))+((AB16&lt;&gt;"Xp"))+((AB16&lt;&gt;"Xn"))=3,AB$3&amp;", ",AB$3&amp;IF((AB16&lt;&gt;"Xm"),"_m","")&amp;IF((AB16&lt;&gt;"Xp"),"_p","")&amp;IF((AB16&lt;&gt;"Xn"),"_n","")&amp;", ")))</f>
        <v>ROSSI M, </v>
      </c>
      <c r="BQ16" s="8" t="str">
        <f>IF(0+(AC16="X")+(AC16="Gn")+(AC16="C")+(AC15="Gn")&gt;0,"",IF(0+((AC16&lt;&gt;"Xm"))+((AC16&lt;&gt;"Xp"))+((AC16&lt;&gt;"Xn"))=0,"",IF(0+((AC16&lt;&gt;"Xm"))+((AC16&lt;&gt;"Xp"))+((AC16&lt;&gt;"Xn"))=3,AC$3&amp;", ",AC$3&amp;IF((AC16&lt;&gt;"Xm"),"_m","")&amp;IF((AC16&lt;&gt;"Xp"),"_p","")&amp;IF((AC16&lt;&gt;"Xn"),"_n","")&amp;", ")))</f>
        <v>ROSSI L, </v>
      </c>
      <c r="BR16" s="8" t="str">
        <f>IF(0+(AD16="X")+(AD16="Gn")+(AD16="C")+(AD15="Gn")&gt;0,"",IF(0+((AD16&lt;&gt;"Xm"))+((AD16&lt;&gt;"Xp"))+((AD16&lt;&gt;"Xn"))=0,"",IF(0+((AD16&lt;&gt;"Xm"))+((AD16&lt;&gt;"Xp"))+((AD16&lt;&gt;"Xn"))=3,AD$3&amp;", ",AD$3&amp;IF((AD16&lt;&gt;"Xm"),"_m","")&amp;IF((AD16&lt;&gt;"Xp"),"_p","")&amp;IF((AD16&lt;&gt;"Xn"),"_n","")&amp;", ")))</f>
        <v>GALLINA, </v>
      </c>
      <c r="BS16" s="8" t="str">
        <f>IF(0+(AE16="X")+(AE16="Gn")+(AE16="C")+(AE15="Gn")&gt;0,"",IF(0+((AE16&lt;&gt;"Xm"))+((AE16&lt;&gt;"Xp"))+((AE16&lt;&gt;"Xn"))=0,"",IF(0+((AE16&lt;&gt;"Xm"))+((AE16&lt;&gt;"Xp"))+((AE16&lt;&gt;"Xn"))=3,AE$3&amp;", ",AE$3&amp;IF((AE16&lt;&gt;"Xm"),"_m","")&amp;IF((AE16&lt;&gt;"Xp"),"_p","")&amp;IF((AE16&lt;&gt;"Xn"),"_n","")&amp;", ")))</f>
        <v>RUSSO, </v>
      </c>
      <c r="BT16" s="8" t="str">
        <f>IF(0+(AF16="X")+(AF16="Gn")+(AF16="C")+(AF15="Gn")&gt;0,"",IF(0+((AF16&lt;&gt;"Xm"))+((AF16&lt;&gt;"Xp"))+((AF16&lt;&gt;"Xn"))=0,"",IF(0+((AF16&lt;&gt;"Xm"))+((AF16&lt;&gt;"Xp"))+((AF16&lt;&gt;"Xn"))=3,AF$3&amp;", ",AF$3&amp;IF((AF16&lt;&gt;"Xm"),"_m","")&amp;IF((AF16&lt;&gt;"Xp"),"_p","")&amp;IF((AF16&lt;&gt;"Xn"),"_n","")&amp;", ")))</f>
        <v>VERDI, </v>
      </c>
      <c r="BU16" s="8" t="str">
        <f>IF(0+(AG16="X")+(AG16="Gn")+(AG16="C")+(AG15="Gn")&gt;0,"",IF(0+((AG16&lt;&gt;"Xm"))+((AG16&lt;&gt;"Xp"))+((AG16&lt;&gt;"Xn"))=0,"",IF(0+((AG16&lt;&gt;"Xm"))+((AG16&lt;&gt;"Xp"))+((AG16&lt;&gt;"Xn"))=3,AG$3&amp;", ",AG$3&amp;IF((AG16&lt;&gt;"Xm"),"_m","")&amp;IF((AG16&lt;&gt;"Xp"),"_p","")&amp;IF((AG16&lt;&gt;"Xn"),"_n","")&amp;", ")))</f>
        <v>HU, </v>
      </c>
      <c r="BV16" s="8" t="str">
        <f>IF(0+(AH16="X")+(AH16="Gn")+(AH16="C")+(AH15="Gn")&gt;0,"",IF(0+((AH16&lt;&gt;"Xm"))+((AH16&lt;&gt;"Xp"))+((AH16&lt;&gt;"Xn"))=0,"",IF(0+((AH16&lt;&gt;"Xm"))+((AH16&lt;&gt;"Xp"))+((AH16&lt;&gt;"Xn"))=3,AH$3&amp;", ",AH$3&amp;IF((AH16&lt;&gt;"Xm"),"_m","")&amp;IF((AH16&lt;&gt;"Xp"),"_p","")&amp;IF((AH16&lt;&gt;"Xn"),"_n","")&amp;", ")))</f>
        <v>MARINI, </v>
      </c>
      <c r="BW16" s="8" t="str">
        <f>IF(0+(AI16="X")+(AI16="Gn")+(AI16="C")+(AI15="Gn")&gt;0,"",IF(0+((AI16&lt;&gt;"Xm"))+((AI16&lt;&gt;"Xp"))+((AI16&lt;&gt;"Xn"))=0,"",IF(0+((AI16&lt;&gt;"Xm"))+((AI16&lt;&gt;"Xp"))+((AI16&lt;&gt;"Xn"))=3,AI$3&amp;", ",AI$3&amp;IF((AI16&lt;&gt;"Xm"),"_m","")&amp;IF((AI16&lt;&gt;"Xp"),"_p","")&amp;IF((AI16&lt;&gt;"Xn"),"_n","")&amp;", ")))</f>
        <v>CONTI A, </v>
      </c>
      <c r="BX16" s="8" t="str">
        <f>IF(0+(AJ16="X")+(AJ16="Gn")+(AJ16="C")+(AJ15="Gn")&gt;0,"",IF(0+((AJ16&lt;&gt;"Xm"))+((AJ16&lt;&gt;"Xp"))+((AJ16&lt;&gt;"Xn"))=0,"",IF(0+((AJ16&lt;&gt;"Xm"))+((AJ16&lt;&gt;"Xp"))+((AJ16&lt;&gt;"Xn"))=3,AJ$3&amp;", ",AJ$3&amp;IF((AJ16&lt;&gt;"Xm"),"_m","")&amp;IF((AJ16&lt;&gt;"Xp"),"_p","")&amp;IF((AJ16&lt;&gt;"Xn"),"_n","")&amp;", ")))</f>
        <v>CONTI S, </v>
      </c>
      <c r="BY16" s="8" t="str">
        <f>IF(0+(AK16="X")+(AK16="Gn")+(AK16="C")+(AK15="Gn")&gt;0,"",IF(0+((AK16&lt;&gt;"Xm"))+((AK16&lt;&gt;"Xp"))+((AK16&lt;&gt;"Xn"))=0,"",IF(0+((AK16&lt;&gt;"Xm"))+((AK16&lt;&gt;"Xp"))+((AK16&lt;&gt;"Xn"))=3,AK$3&amp;", ",AK$3&amp;IF((AK16&lt;&gt;"Xm"),"_m","")&amp;IF((AK16&lt;&gt;"Xp"),"_p","")&amp;IF((AK16&lt;&gt;"Xn"),"_n","")&amp;", ")))</f>
        <v>FERRARI, </v>
      </c>
      <c r="BZ16" s="8" t="str">
        <f>IF(0+(AL16="X")+(AL16="Gn")+(AL16="C")+(AL15="Gn")&gt;0,"",IF(0+((AL16&lt;&gt;"Xm"))+((AL16&lt;&gt;"Xp"))+((AL16&lt;&gt;"Xn"))=0,"",IF(0+((AL16&lt;&gt;"Xm"))+((AL16&lt;&gt;"Xp"))+((AL16&lt;&gt;"Xn"))=3,AL$3&amp;", ",AL$3&amp;IF((AL16&lt;&gt;"Xm"),"_m","")&amp;IF((AL16&lt;&gt;"Xp"),"_p","")&amp;IF((AL16&lt;&gt;"Xn"),"_n","")&amp;", ")))</f>
        <v>GRECO, </v>
      </c>
      <c r="CA16" s="8" t="str">
        <f>IF(0+(AM16="X")+(AM16="Gn")+(AM16="C")+(AM15="Gn")&gt;0,"",IF(0+((AM16&lt;&gt;"Xm"))+((AM16&lt;&gt;"Xp"))+((AM16&lt;&gt;"Xn"))=0,"",IF(0+((AM16&lt;&gt;"Xm"))+((AM16&lt;&gt;"Xp"))+((AM16&lt;&gt;"Xn"))=3,AM$3&amp;", ",AM$3&amp;IF((AM16&lt;&gt;"Xm"),"_m","")&amp;IF((AM16&lt;&gt;"Xp"),"_p","")&amp;IF((AM16&lt;&gt;"Xn"),"_n","")&amp;", ")))</f>
        <v>SANNA, </v>
      </c>
      <c r="CB16" s="8" t="str">
        <f>IF(0+(AN16="X")+(AN16="Gn")+(AN16="C")+(AN15="Gn")&gt;0,"",IF(0+((AN16&lt;&gt;"Xm"))+((AN16&lt;&gt;"Xp"))+((AN16&lt;&gt;"Xn"))=0,"",IF(0+((AN16&lt;&gt;"Xm"))+((AN16&lt;&gt;"Xp"))+((AN16&lt;&gt;"Xn"))=3,AN$3&amp;", ",AN$3&amp;IF((AN16&lt;&gt;"Xm"),"_m","")&amp;IF((AN16&lt;&gt;"Xp"),"_p","")&amp;IF((AN16&lt;&gt;"Xn"),"_n","")&amp;", ")))</f>
        <v>LI, </v>
      </c>
      <c r="CC16" s="8" t="n"/>
      <c r="CD16" s="8" t="str">
        <f>IF(0+(AA16="X")+(AA16="Gn")+(AA16="C")+(AA15="Gn")&gt;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8" t="str">
        <f>IF(0+(AB16="X")+(AB16="Gn")+(AB16="C")+(AB15="Gn")&gt;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8" t="str">
        <f>IF(0+(AC16="X")+(AC16="Gn")+(AC16="C")+(AC15="Gn")&gt;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8" t="str">
        <f>IF(0+(AD16="X")+(AD16="Gn")+(AD16="C")+(AD15="Gn")&gt;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8" t="str">
        <f>IF(0+(AE16="X")+(AE16="Gn")+(AE16="C")+(AE15="Gn")&gt;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8" t="str">
        <f>IF(0+(AF16="X")+(AF16="Gn")+(AF16="C")+(AF15="Gn")&gt;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8" t="str">
        <f>IF(0+(AG16="X")+(AG16="Gn")+(AG16="C")+(AG15="Gn")&gt;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8" t="str">
        <f>IF(0+(AH16="X")+(AH16="Gn")+(AH16="C")+(AH15="Gn")&gt;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8" t="str">
        <f>IF(0+(AI16="X")+(AI16="Gn")+(AI16="C")+(AI15="Gn")&gt;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8" t="str">
        <f>IF(0+(AJ16="X")+(AJ16="Gn")+(AJ16="C")+(AJ15="Gn")&gt;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8" t="str">
        <f>IF(0+(AK16="X")+(AK16="Gn")+(AK16="C")+(AK15="Gn")&gt;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8" t="str">
        <f>IF(0+(AL16="X")+(AL16="Gn")+(AL16="C")+(AL15="Gn")&gt;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8" t="str">
        <f>IF(0+(AM16="X")+(AM16="Gn")+(AM16="C")+(AM15="Gn")&gt;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8" t="str">
        <f>IF(0+(AN16="X")+(AN16="Gn")+(AN16="C")+(AN15="Gn")&gt;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>
      <c r="A17" s="3" t="str">
        <f>CHOOSE(WEEKDAY(DATE($B$1,$A$2,B17),2),"lunedì","martedì","mercoledì","giovedì","venerdì","sabato","domenica")</f>
        <v>sabato</v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>
        <f>IF(SUMPRODUCT(($C$3:$P$3&lt;&gt;"")*($C17:$P17&lt;&gt;"")*(COUNTIFS($C17:$P17,$C17:$P17,$C$3:$P$3,$C$3:$P$3)&gt;1))&gt;0,"X","")</f>
      </c>
      <c r="S17" s="3" t="str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3" t="str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3" t="str">
        <f>A17</f>
        <v>sabato</v>
      </c>
      <c r="Z17" s="3">
        <f>B17</f>
        <v>14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 t="str">
        <f>AN$3</f>
        <v>LI</v>
      </c>
      <c r="AT17" s="6">
        <f>COUNTIF($C$4:$D$33,$AS17)</f>
        <v>0</v>
      </c>
      <c r="AU17" s="6">
        <f>COUNTIF($E$4:$F$33,$AS17)</f>
        <v>0</v>
      </c>
      <c r="AV17" s="6">
        <f>COUNTIF($G$4:$H$33,$AS17)</f>
        <v>0</v>
      </c>
      <c r="AW17" s="6">
        <f>COUNTIF($I$4:$J$33,$AS17)</f>
        <v>0</v>
      </c>
      <c r="AX17" s="6">
        <f>COUNTIF($K$4:$K$33,$AS17)</f>
        <v>0</v>
      </c>
      <c r="AY17" s="6">
        <f>COUNTIF($L$4:$L$33,$AS17)</f>
        <v>0</v>
      </c>
      <c r="AZ17" s="6">
        <f>COUNTIF($M$4:$M$33,$AS17)</f>
        <v>0</v>
      </c>
      <c r="BA17" s="6">
        <f>COUNTIF($N$4:$P$33,$AS17)</f>
        <v>0</v>
      </c>
      <c r="BB17" s="6">
        <f>COUNTIF($C$4:$P$33,$AS17)</f>
        <v>0</v>
      </c>
      <c r="BD17" s="7" t="str">
        <f>AN$3</f>
        <v>LI</v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 t="str">
        <f>IF(0+(AA17="X")+(AA17="Gn")+(AA17="C")+(AA16="Gn")&gt;0,"",IF(0+((AA17&lt;&gt;"Xm"))+((AA17&lt;&gt;"Xp"))+((AA17&lt;&gt;"Xn"))=0,"",IF(0+((AA17&lt;&gt;"Xm"))+((AA17&lt;&gt;"Xp"))+((AA17&lt;&gt;"Xn"))=3,AA$3&amp;", ",AA$3&amp;IF((AA17&lt;&gt;"Xm"),"_m","")&amp;IF((AA17&lt;&gt;"Xp"),"_p","")&amp;IF((AA17&lt;&gt;"Xn"),"_n","")&amp;", ")))</f>
        <v>LEONI, </v>
      </c>
      <c r="BP17" s="8" t="str">
        <f>IF(0+(AB17="X")+(AB17="Gn")+(AB17="C")+(AB16="Gn")&gt;0,"",IF(0+((AB17&lt;&gt;"Xm"))+((AB17&lt;&gt;"Xp"))+((AB17&lt;&gt;"Xn"))=0,"",IF(0+((AB17&lt;&gt;"Xm"))+((AB17&lt;&gt;"Xp"))+((AB17&lt;&gt;"Xn"))=3,AB$3&amp;", ",AB$3&amp;IF((AB17&lt;&gt;"Xm"),"_m","")&amp;IF((AB17&lt;&gt;"Xp"),"_p","")&amp;IF((AB17&lt;&gt;"Xn"),"_n","")&amp;", ")))</f>
        <v>ROSSI M, </v>
      </c>
      <c r="BQ17" s="8" t="str">
        <f>IF(0+(AC17="X")+(AC17="Gn")+(AC17="C")+(AC16="Gn")&gt;0,"",IF(0+((AC17&lt;&gt;"Xm"))+((AC17&lt;&gt;"Xp"))+((AC17&lt;&gt;"Xn"))=0,"",IF(0+((AC17&lt;&gt;"Xm"))+((AC17&lt;&gt;"Xp"))+((AC17&lt;&gt;"Xn"))=3,AC$3&amp;", ",AC$3&amp;IF((AC17&lt;&gt;"Xm"),"_m","")&amp;IF((AC17&lt;&gt;"Xp"),"_p","")&amp;IF((AC17&lt;&gt;"Xn"),"_n","")&amp;", ")))</f>
        <v>ROSSI L, </v>
      </c>
      <c r="BR17" s="8" t="str">
        <f>IF(0+(AD17="X")+(AD17="Gn")+(AD17="C")+(AD16="Gn")&gt;0,"",IF(0+((AD17&lt;&gt;"Xm"))+((AD17&lt;&gt;"Xp"))+((AD17&lt;&gt;"Xn"))=0,"",IF(0+((AD17&lt;&gt;"Xm"))+((AD17&lt;&gt;"Xp"))+((AD17&lt;&gt;"Xn"))=3,AD$3&amp;", ",AD$3&amp;IF((AD17&lt;&gt;"Xm"),"_m","")&amp;IF((AD17&lt;&gt;"Xp"),"_p","")&amp;IF((AD17&lt;&gt;"Xn"),"_n","")&amp;", ")))</f>
        <v>GALLINA, </v>
      </c>
      <c r="BS17" s="8" t="str">
        <f>IF(0+(AE17="X")+(AE17="Gn")+(AE17="C")+(AE16="Gn")&gt;0,"",IF(0+((AE17&lt;&gt;"Xm"))+((AE17&lt;&gt;"Xp"))+((AE17&lt;&gt;"Xn"))=0,"",IF(0+((AE17&lt;&gt;"Xm"))+((AE17&lt;&gt;"Xp"))+((AE17&lt;&gt;"Xn"))=3,AE$3&amp;", ",AE$3&amp;IF((AE17&lt;&gt;"Xm"),"_m","")&amp;IF((AE17&lt;&gt;"Xp"),"_p","")&amp;IF((AE17&lt;&gt;"Xn"),"_n","")&amp;", ")))</f>
        <v>RUSSO, </v>
      </c>
      <c r="BT17" s="8" t="str">
        <f>IF(0+(AF17="X")+(AF17="Gn")+(AF17="C")+(AF16="Gn")&gt;0,"",IF(0+((AF17&lt;&gt;"Xm"))+((AF17&lt;&gt;"Xp"))+((AF17&lt;&gt;"Xn"))=0,"",IF(0+((AF17&lt;&gt;"Xm"))+((AF17&lt;&gt;"Xp"))+((AF17&lt;&gt;"Xn"))=3,AF$3&amp;", ",AF$3&amp;IF((AF17&lt;&gt;"Xm"),"_m","")&amp;IF((AF17&lt;&gt;"Xp"),"_p","")&amp;IF((AF17&lt;&gt;"Xn"),"_n","")&amp;", ")))</f>
        <v>VERDI, </v>
      </c>
      <c r="BU17" s="8" t="str">
        <f>IF(0+(AG17="X")+(AG17="Gn")+(AG17="C")+(AG16="Gn")&gt;0,"",IF(0+((AG17&lt;&gt;"Xm"))+((AG17&lt;&gt;"Xp"))+((AG17&lt;&gt;"Xn"))=0,"",IF(0+((AG17&lt;&gt;"Xm"))+((AG17&lt;&gt;"Xp"))+((AG17&lt;&gt;"Xn"))=3,AG$3&amp;", ",AG$3&amp;IF((AG17&lt;&gt;"Xm"),"_m","")&amp;IF((AG17&lt;&gt;"Xp"),"_p","")&amp;IF((AG17&lt;&gt;"Xn"),"_n","")&amp;", ")))</f>
        <v>HU, </v>
      </c>
      <c r="BV17" s="8" t="str">
        <f>IF(0+(AH17="X")+(AH17="Gn")+(AH17="C")+(AH16="Gn")&gt;0,"",IF(0+((AH17&lt;&gt;"Xm"))+((AH17&lt;&gt;"Xp"))+((AH17&lt;&gt;"Xn"))=0,"",IF(0+((AH17&lt;&gt;"Xm"))+((AH17&lt;&gt;"Xp"))+((AH17&lt;&gt;"Xn"))=3,AH$3&amp;", ",AH$3&amp;IF((AH17&lt;&gt;"Xm"),"_m","")&amp;IF((AH17&lt;&gt;"Xp"),"_p","")&amp;IF((AH17&lt;&gt;"Xn"),"_n","")&amp;", ")))</f>
        <v>MARINI, </v>
      </c>
      <c r="BW17" s="8" t="str">
        <f>IF(0+(AI17="X")+(AI17="Gn")+(AI17="C")+(AI16="Gn")&gt;0,"",IF(0+((AI17&lt;&gt;"Xm"))+((AI17&lt;&gt;"Xp"))+((AI17&lt;&gt;"Xn"))=0,"",IF(0+((AI17&lt;&gt;"Xm"))+((AI17&lt;&gt;"Xp"))+((AI17&lt;&gt;"Xn"))=3,AI$3&amp;", ",AI$3&amp;IF((AI17&lt;&gt;"Xm"),"_m","")&amp;IF((AI17&lt;&gt;"Xp"),"_p","")&amp;IF((AI17&lt;&gt;"Xn"),"_n","")&amp;", ")))</f>
        <v>CONTI A, </v>
      </c>
      <c r="BX17" s="8" t="str">
        <f>IF(0+(AJ17="X")+(AJ17="Gn")+(AJ17="C")+(AJ16="Gn")&gt;0,"",IF(0+((AJ17&lt;&gt;"Xm"))+((AJ17&lt;&gt;"Xp"))+((AJ17&lt;&gt;"Xn"))=0,"",IF(0+((AJ17&lt;&gt;"Xm"))+((AJ17&lt;&gt;"Xp"))+((AJ17&lt;&gt;"Xn"))=3,AJ$3&amp;", ",AJ$3&amp;IF((AJ17&lt;&gt;"Xm"),"_m","")&amp;IF((AJ17&lt;&gt;"Xp"),"_p","")&amp;IF((AJ17&lt;&gt;"Xn"),"_n","")&amp;", ")))</f>
        <v>CONTI S, </v>
      </c>
      <c r="BY17" s="8" t="str">
        <f>IF(0+(AK17="X")+(AK17="Gn")+(AK17="C")+(AK16="Gn")&gt;0,"",IF(0+((AK17&lt;&gt;"Xm"))+((AK17&lt;&gt;"Xp"))+((AK17&lt;&gt;"Xn"))=0,"",IF(0+((AK17&lt;&gt;"Xm"))+((AK17&lt;&gt;"Xp"))+((AK17&lt;&gt;"Xn"))=3,AK$3&amp;", ",AK$3&amp;IF((AK17&lt;&gt;"Xm"),"_m","")&amp;IF((AK17&lt;&gt;"Xp"),"_p","")&amp;IF((AK17&lt;&gt;"Xn"),"_n","")&amp;", ")))</f>
        <v>FERRARI, </v>
      </c>
      <c r="BZ17" s="8" t="str">
        <f>IF(0+(AL17="X")+(AL17="Gn")+(AL17="C")+(AL16="Gn")&gt;0,"",IF(0+((AL17&lt;&gt;"Xm"))+((AL17&lt;&gt;"Xp"))+((AL17&lt;&gt;"Xn"))=0,"",IF(0+((AL17&lt;&gt;"Xm"))+((AL17&lt;&gt;"Xp"))+((AL17&lt;&gt;"Xn"))=3,AL$3&amp;", ",AL$3&amp;IF((AL17&lt;&gt;"Xm"),"_m","")&amp;IF((AL17&lt;&gt;"Xp"),"_p","")&amp;IF((AL17&lt;&gt;"Xn"),"_n","")&amp;", ")))</f>
        <v>GRECO, </v>
      </c>
      <c r="CA17" s="8" t="str">
        <f>IF(0+(AM17="X")+(AM17="Gn")+(AM17="C")+(AM16="Gn")&gt;0,"",IF(0+((AM17&lt;&gt;"Xm"))+((AM17&lt;&gt;"Xp"))+((AM17&lt;&gt;"Xn"))=0,"",IF(0+((AM17&lt;&gt;"Xm"))+((AM17&lt;&gt;"Xp"))+((AM17&lt;&gt;"Xn"))=3,AM$3&amp;", ",AM$3&amp;IF((AM17&lt;&gt;"Xm"),"_m","")&amp;IF((AM17&lt;&gt;"Xp"),"_p","")&amp;IF((AM17&lt;&gt;"Xn"),"_n","")&amp;", ")))</f>
        <v>SANNA, </v>
      </c>
      <c r="CB17" s="8" t="str">
        <f>IF(0+(AN17="X")+(AN17="Gn")+(AN17="C")+(AN16="Gn")&gt;0,"",IF(0+((AN17&lt;&gt;"Xm"))+((AN17&lt;&gt;"Xp"))+((AN17&lt;&gt;"Xn"))=0,"",IF(0+((AN17&lt;&gt;"Xm"))+((AN17&lt;&gt;"Xp"))+((AN17&lt;&gt;"Xn"))=3,AN$3&amp;", ",AN$3&amp;IF((AN17&lt;&gt;"Xm"),"_m","")&amp;IF((AN17&lt;&gt;"Xp"),"_p","")&amp;IF((AN17&lt;&gt;"Xn"),"_n","")&amp;", ")))</f>
        <v>LI, </v>
      </c>
      <c r="CC17" s="8" t="n"/>
      <c r="CD17" s="8" t="str">
        <f>IF(0+(AA17="X")+(AA17="Gn")+(AA17="C")+(AA16="Gn")&gt;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8" t="str">
        <f>IF(0+(AB17="X")+(AB17="Gn")+(AB17="C")+(AB16="Gn")&gt;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8" t="str">
        <f>IF(0+(AC17="X")+(AC17="Gn")+(AC17="C")+(AC16="Gn")&gt;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8" t="str">
        <f>IF(0+(AD17="X")+(AD17="Gn")+(AD17="C")+(AD16="Gn")&gt;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8" t="str">
        <f>IF(0+(AE17="X")+(AE17="Gn")+(AE17="C")+(AE16="Gn")&gt;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8" t="str">
        <f>IF(0+(AF17="X")+(AF17="Gn")+(AF17="C")+(AF16="Gn")&gt;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8" t="str">
        <f>IF(0+(AG17="X")+(AG17="Gn")+(AG17="C")+(AG16="Gn")&gt;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8" t="str">
        <f>IF(0+(AH17="X")+(AH17="Gn")+(AH17="C")+(AH16="Gn")&gt;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8" t="str">
        <f>IF(0+(AI17="X")+(AI17="Gn")+(AI17="C")+(AI16="Gn")&gt;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8" t="str">
        <f>IF(0+(AJ17="X")+(AJ17="Gn")+(AJ17="C")+(AJ16="Gn")&gt;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8" t="str">
        <f>IF(0+(AK17="X")+(AK17="Gn")+(AK17="C")+(AK16="Gn")&gt;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8" t="str">
        <f>IF(0+(AL17="X")+(AL17="Gn")+(AL17="C")+(AL16="Gn")&gt;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8" t="str">
        <f>IF(0+(AM17="X")+(AM17="Gn")+(AM17="C")+(AM16="Gn")&gt;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8" t="str">
        <f>IF(0+(AN17="X")+(AN17="Gn")+(AN17="C")+(AN16="Gn")&gt;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>
      <c r="A18" s="3" t="str">
        <f>CHOOSE(WEEKDAY(DATE($B$1,$A$2,B18),2),"lunedì","martedì","mercoledì","giovedì","venerdì","sabato","domenica")</f>
        <v>domenica</v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>
        <f>IF(SUMPRODUCT(($C$3:$P$3&lt;&gt;"")*($C18:$P18&lt;&gt;"")*(COUNTIFS($C18:$P18,$C18:$P18,$C$3:$P$3,$C$3:$P$3)&gt;1))&gt;0,"X","")</f>
      </c>
      <c r="S18" s="3" t="str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3" t="str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3" t="str">
        <f>A18</f>
        <v>domenica</v>
      </c>
      <c r="Z18" s="3">
        <f>B18</f>
        <v>15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  <v>0</v>
      </c>
      <c r="AU18" s="2">
        <f>SUM(AU4:AU17)</f>
        <v>0</v>
      </c>
      <c r="AV18" s="2">
        <f>SUM(AV4:AV17)</f>
        <v>0</v>
      </c>
      <c r="AW18" s="2">
        <f>SUM(AW4:AW17)</f>
        <v>0</v>
      </c>
      <c r="AX18" s="2">
        <f>SUM(AX4:AX17)</f>
        <v>0</v>
      </c>
      <c r="AY18" s="2">
        <f>SUM(AY4:AY17)</f>
        <v>0</v>
      </c>
      <c r="AZ18" s="2">
        <f>SUM(AZ4:AZ17)</f>
        <v>0</v>
      </c>
      <c r="BA18" s="2">
        <f>SUM(BA4:BA17)</f>
        <v>0</v>
      </c>
      <c r="BB18" s="2">
        <f>SUM(BB4:BB17)</f>
        <v>0</v>
      </c>
      <c r="BD18" s="2" t="inlineStr">
        <is>
          <t>TOTALE COMPLESSIVO</t>
        </is>
      </c>
      <c r="BE18" s="2">
        <f>SUM(BE4:BE17)</f>
        <v>0</v>
      </c>
      <c r="BF18" s="2">
        <f>SUM(BF4:BF17)</f>
        <v>0</v>
      </c>
      <c r="BG18" s="2">
        <f>SUM(BG4:BG17)</f>
        <v>0</v>
      </c>
      <c r="BH18" s="2">
        <f>SUM(BH4:BH17)</f>
        <v>0</v>
      </c>
      <c r="BI18" s="2">
        <f>SUM(BI4:BI17)</f>
        <v>0</v>
      </c>
      <c r="BJ18" s="2">
        <f>SUM(BJ4:BJ17)</f>
        <v>0</v>
      </c>
      <c r="BK18" s="2">
        <f>SUM(BK4:BK17)</f>
        <v>0</v>
      </c>
      <c r="BL18" s="2">
        <f>SUM(BL4:BL17)</f>
        <v>0</v>
      </c>
      <c r="BM18" s="2">
        <f>SUM(BM4:BM17)</f>
        <v>0</v>
      </c>
      <c r="BO18" s="8" t="str">
        <f>IF(0+(AA18="X")+(AA18="Gn")+(AA18="C")+(AA17="Gn")&gt;0,"",IF(0+((AA18&lt;&gt;"Xm"))+((AA18&lt;&gt;"Xp"))+((AA18&lt;&gt;"Xn"))=0,"",IF(0+((AA18&lt;&gt;"Xm"))+((AA18&lt;&gt;"Xp"))+((AA18&lt;&gt;"Xn"))=3,AA$3&amp;", ",AA$3&amp;IF((AA18&lt;&gt;"Xm"),"_m","")&amp;IF((AA18&lt;&gt;"Xp"),"_p","")&amp;IF((AA18&lt;&gt;"Xn"),"_n","")&amp;", ")))</f>
        <v>LEONI, </v>
      </c>
      <c r="BP18" s="8" t="str">
        <f>IF(0+(AB18="X")+(AB18="Gn")+(AB18="C")+(AB17="Gn")&gt;0,"",IF(0+((AB18&lt;&gt;"Xm"))+((AB18&lt;&gt;"Xp"))+((AB18&lt;&gt;"Xn"))=0,"",IF(0+((AB18&lt;&gt;"Xm"))+((AB18&lt;&gt;"Xp"))+((AB18&lt;&gt;"Xn"))=3,AB$3&amp;", ",AB$3&amp;IF((AB18&lt;&gt;"Xm"),"_m","")&amp;IF((AB18&lt;&gt;"Xp"),"_p","")&amp;IF((AB18&lt;&gt;"Xn"),"_n","")&amp;", ")))</f>
        <v>ROSSI M, </v>
      </c>
      <c r="BQ18" s="8" t="str">
        <f>IF(0+(AC18="X")+(AC18="Gn")+(AC18="C")+(AC17="Gn")&gt;0,"",IF(0+((AC18&lt;&gt;"Xm"))+((AC18&lt;&gt;"Xp"))+((AC18&lt;&gt;"Xn"))=0,"",IF(0+((AC18&lt;&gt;"Xm"))+((AC18&lt;&gt;"Xp"))+((AC18&lt;&gt;"Xn"))=3,AC$3&amp;", ",AC$3&amp;IF((AC18&lt;&gt;"Xm"),"_m","")&amp;IF((AC18&lt;&gt;"Xp"),"_p","")&amp;IF((AC18&lt;&gt;"Xn"),"_n","")&amp;", ")))</f>
        <v>ROSSI L, </v>
      </c>
      <c r="BR18" s="8" t="str">
        <f>IF(0+(AD18="X")+(AD18="Gn")+(AD18="C")+(AD17="Gn")&gt;0,"",IF(0+((AD18&lt;&gt;"Xm"))+((AD18&lt;&gt;"Xp"))+((AD18&lt;&gt;"Xn"))=0,"",IF(0+((AD18&lt;&gt;"Xm"))+((AD18&lt;&gt;"Xp"))+((AD18&lt;&gt;"Xn"))=3,AD$3&amp;", ",AD$3&amp;IF((AD18&lt;&gt;"Xm"),"_m","")&amp;IF((AD18&lt;&gt;"Xp"),"_p","")&amp;IF((AD18&lt;&gt;"Xn"),"_n","")&amp;", ")))</f>
        <v>GALLINA, </v>
      </c>
      <c r="BS18" s="8" t="str">
        <f>IF(0+(AE18="X")+(AE18="Gn")+(AE18="C")+(AE17="Gn")&gt;0,"",IF(0+((AE18&lt;&gt;"Xm"))+((AE18&lt;&gt;"Xp"))+((AE18&lt;&gt;"Xn"))=0,"",IF(0+((AE18&lt;&gt;"Xm"))+((AE18&lt;&gt;"Xp"))+((AE18&lt;&gt;"Xn"))=3,AE$3&amp;", ",AE$3&amp;IF((AE18&lt;&gt;"Xm"),"_m","")&amp;IF((AE18&lt;&gt;"Xp"),"_p","")&amp;IF((AE18&lt;&gt;"Xn"),"_n","")&amp;", ")))</f>
        <v>RUSSO, </v>
      </c>
      <c r="BT18" s="8" t="str">
        <f>IF(0+(AF18="X")+(AF18="Gn")+(AF18="C")+(AF17="Gn")&gt;0,"",IF(0+((AF18&lt;&gt;"Xm"))+((AF18&lt;&gt;"Xp"))+((AF18&lt;&gt;"Xn"))=0,"",IF(0+((AF18&lt;&gt;"Xm"))+((AF18&lt;&gt;"Xp"))+((AF18&lt;&gt;"Xn"))=3,AF$3&amp;", ",AF$3&amp;IF((AF18&lt;&gt;"Xm"),"_m","")&amp;IF((AF18&lt;&gt;"Xp"),"_p","")&amp;IF((AF18&lt;&gt;"Xn"),"_n","")&amp;", ")))</f>
        <v>VERDI, </v>
      </c>
      <c r="BU18" s="8" t="str">
        <f>IF(0+(AG18="X")+(AG18="Gn")+(AG18="C")+(AG17="Gn")&gt;0,"",IF(0+((AG18&lt;&gt;"Xm"))+((AG18&lt;&gt;"Xp"))+((AG18&lt;&gt;"Xn"))=0,"",IF(0+((AG18&lt;&gt;"Xm"))+((AG18&lt;&gt;"Xp"))+((AG18&lt;&gt;"Xn"))=3,AG$3&amp;", ",AG$3&amp;IF((AG18&lt;&gt;"Xm"),"_m","")&amp;IF((AG18&lt;&gt;"Xp"),"_p","")&amp;IF((AG18&lt;&gt;"Xn"),"_n","")&amp;", ")))</f>
        <v>HU, </v>
      </c>
      <c r="BV18" s="8" t="str">
        <f>IF(0+(AH18="X")+(AH18="Gn")+(AH18="C")+(AH17="Gn")&gt;0,"",IF(0+((AH18&lt;&gt;"Xm"))+((AH18&lt;&gt;"Xp"))+((AH18&lt;&gt;"Xn"))=0,"",IF(0+((AH18&lt;&gt;"Xm"))+((AH18&lt;&gt;"Xp"))+((AH18&lt;&gt;"Xn"))=3,AH$3&amp;", ",AH$3&amp;IF((AH18&lt;&gt;"Xm"),"_m","")&amp;IF((AH18&lt;&gt;"Xp"),"_p","")&amp;IF((AH18&lt;&gt;"Xn"),"_n","")&amp;", ")))</f>
        <v>MARINI, </v>
      </c>
      <c r="BW18" s="8" t="str">
        <f>IF(0+(AI18="X")+(AI18="Gn")+(AI18="C")+(AI17="Gn")&gt;0,"",IF(0+((AI18&lt;&gt;"Xm"))+((AI18&lt;&gt;"Xp"))+((AI18&lt;&gt;"Xn"))=0,"",IF(0+((AI18&lt;&gt;"Xm"))+((AI18&lt;&gt;"Xp"))+((AI18&lt;&gt;"Xn"))=3,AI$3&amp;", ",AI$3&amp;IF((AI18&lt;&gt;"Xm"),"_m","")&amp;IF((AI18&lt;&gt;"Xp"),"_p","")&amp;IF((AI18&lt;&gt;"Xn"),"_n","")&amp;", ")))</f>
        <v>CONTI A, </v>
      </c>
      <c r="BX18" s="8" t="str">
        <f>IF(0+(AJ18="X")+(AJ18="Gn")+(AJ18="C")+(AJ17="Gn")&gt;0,"",IF(0+((AJ18&lt;&gt;"Xm"))+((AJ18&lt;&gt;"Xp"))+((AJ18&lt;&gt;"Xn"))=0,"",IF(0+((AJ18&lt;&gt;"Xm"))+((AJ18&lt;&gt;"Xp"))+((AJ18&lt;&gt;"Xn"))=3,AJ$3&amp;", ",AJ$3&amp;IF((AJ18&lt;&gt;"Xm"),"_m","")&amp;IF((AJ18&lt;&gt;"Xp"),"_p","")&amp;IF((AJ18&lt;&gt;"Xn"),"_n","")&amp;", ")))</f>
        <v>CONTI S, </v>
      </c>
      <c r="BY18" s="8" t="str">
        <f>IF(0+(AK18="X")+(AK18="Gn")+(AK18="C")+(AK17="Gn")&gt;0,"",IF(0+((AK18&lt;&gt;"Xm"))+((AK18&lt;&gt;"Xp"))+((AK18&lt;&gt;"Xn"))=0,"",IF(0+((AK18&lt;&gt;"Xm"))+((AK18&lt;&gt;"Xp"))+((AK18&lt;&gt;"Xn"))=3,AK$3&amp;", ",AK$3&amp;IF((AK18&lt;&gt;"Xm"),"_m","")&amp;IF((AK18&lt;&gt;"Xp"),"_p","")&amp;IF((AK18&lt;&gt;"Xn"),"_n","")&amp;", ")))</f>
        <v>FERRARI, </v>
      </c>
      <c r="BZ18" s="8" t="str">
        <f>IF(0+(AL18="X")+(AL18="Gn")+(AL18="C")+(AL17="Gn")&gt;0,"",IF(0+((AL18&lt;&gt;"Xm"))+((AL18&lt;&gt;"Xp"))+((AL18&lt;&gt;"Xn"))=0,"",IF(0+((AL18&lt;&gt;"Xm"))+((AL18&lt;&gt;"Xp"))+((AL18&lt;&gt;"Xn"))=3,AL$3&amp;", ",AL$3&amp;IF((AL18&lt;&gt;"Xm"),"_m","")&amp;IF((AL18&lt;&gt;"Xp"),"_p","")&amp;IF((AL18&lt;&gt;"Xn"),"_n","")&amp;", ")))</f>
        <v>GRECO, </v>
      </c>
      <c r="CA18" s="8" t="str">
        <f>IF(0+(AM18="X")+(AM18="Gn")+(AM18="C")+(AM17="Gn")&gt;0,"",IF(0+((AM18&lt;&gt;"Xm"))+((AM18&lt;&gt;"Xp"))+((AM18&lt;&gt;"Xn"))=0,"",IF(0+((AM18&lt;&gt;"Xm"))+((AM18&lt;&gt;"Xp"))+((AM18&lt;&gt;"Xn"))=3,AM$3&amp;", ",AM$3&amp;IF((AM18&lt;&gt;"Xm"),"_m","")&amp;IF((AM18&lt;&gt;"Xp"),"_p","")&amp;IF((AM18&lt;&gt;"Xn"),"_n","")&amp;", ")))</f>
        <v>SANNA, </v>
      </c>
      <c r="CB18" s="8" t="str">
        <f>IF(0+(AN18="X")+(AN18="Gn")+(AN18="C")+(AN17="Gn")&gt;0,"",IF(0+((AN18&lt;&gt;"Xm"))+((AN18&lt;&gt;"Xp"))+((AN18&lt;&gt;"Xn"))=0,"",IF(0+((AN18&lt;&gt;"Xm"))+((AN18&lt;&gt;"Xp"))+((AN18&lt;&gt;"Xn"))=3,AN$3&amp;", ",AN$3&amp;IF((AN18&lt;&gt;"Xm"),"_m","")&amp;IF((AN18&lt;&gt;"Xp"),"_p","")&amp;IF((AN18&lt;&gt;"Xn"),"_n","")&amp;", ")))</f>
        <v>LI, </v>
      </c>
      <c r="CC18" s="8" t="n"/>
      <c r="CD18" s="8" t="str">
        <f>IF(0+(AA18="X")+(AA18="Gn")+(AA18="C")+(AA17="Gn")&gt;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8" t="str">
        <f>IF(0+(AB18="X")+(AB18="Gn")+(AB18="C")+(AB17="Gn")&gt;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8" t="str">
        <f>IF(0+(AC18="X")+(AC18="Gn")+(AC18="C")+(AC17="Gn")&gt;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8" t="str">
        <f>IF(0+(AD18="X")+(AD18="Gn")+(AD18="C")+(AD17="Gn")&gt;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8" t="str">
        <f>IF(0+(AE18="X")+(AE18="Gn")+(AE18="C")+(AE17="Gn")&gt;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8" t="str">
        <f>IF(0+(AF18="X")+(AF18="Gn")+(AF18="C")+(AF17="Gn")&gt;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8" t="str">
        <f>IF(0+(AG18="X")+(AG18="Gn")+(AG18="C")+(AG17="Gn")&gt;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8" t="str">
        <f>IF(0+(AH18="X")+(AH18="Gn")+(AH18="C")+(AH17="Gn")&gt;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8" t="str">
        <f>IF(0+(AI18="X")+(AI18="Gn")+(AI18="C")+(AI17="Gn")&gt;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8" t="str">
        <f>IF(0+(AJ18="X")+(AJ18="Gn")+(AJ18="C")+(AJ17="Gn")&gt;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8" t="str">
        <f>IF(0+(AK18="X")+(AK18="Gn")+(AK18="C")+(AK17="Gn")&gt;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8" t="str">
        <f>IF(0+(AL18="X")+(AL18="Gn")+(AL18="C")+(AL17="Gn")&gt;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8" t="str">
        <f>IF(0+(AM18="X")+(AM18="Gn")+(AM18="C")+(AM17="Gn")&gt;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8" t="str">
        <f>IF(0+(AN18="X")+(AN18="Gn")+(AN18="C")+(AN17="Gn")&gt;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IF(SUMPRODUCT(($C$3:$P$3&lt;&gt;"")*($C19:$P19&lt;&gt;"")*(COUNTIFS($C19:$P19,$C19:$P19,$C$3:$P$3,$C$3:$P$3)&gt;1))&gt;0,"X","")</f>
      </c>
      <c r="S19" s="10" t="str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0" t="str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9" t="str">
        <f>A19</f>
        <v>lunedì</v>
      </c>
      <c r="Z19" s="9">
        <f>B19</f>
        <v>16</v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 t="str">
        <f>IF(0+(AA19="X")+(AA19="Gn")+(AA19="C")+(AA18="Gn")&gt;0,"",IF(0+((AA19&lt;&gt;"Xm"))+((AA19&lt;&gt;"Xp"))+((AA19&lt;&gt;"Xn"))=0,"",IF(0+((AA19&lt;&gt;"Xm"))+((AA19&lt;&gt;"Xp"))+((AA19&lt;&gt;"Xn"))=3,AA$3&amp;", ",AA$3&amp;IF((AA19&lt;&gt;"Xm"),"_m","")&amp;IF((AA19&lt;&gt;"Xp"),"_p","")&amp;IF((AA19&lt;&gt;"Xn"),"_n","")&amp;", ")))</f>
        <v>LEONI, </v>
      </c>
      <c r="BP19" s="8" t="str">
        <f>IF(0+(AB19="X")+(AB19="Gn")+(AB19="C")+(AB18="Gn")&gt;0,"",IF(0+((AB19&lt;&gt;"Xm"))+((AB19&lt;&gt;"Xp"))+((AB19&lt;&gt;"Xn"))=0,"",IF(0+((AB19&lt;&gt;"Xm"))+((AB19&lt;&gt;"Xp"))+((AB19&lt;&gt;"Xn"))=3,AB$3&amp;", ",AB$3&amp;IF((AB19&lt;&gt;"Xm"),"_m","")&amp;IF((AB19&lt;&gt;"Xp"),"_p","")&amp;IF((AB19&lt;&gt;"Xn"),"_n","")&amp;", ")))</f>
        <v>ROSSI M, </v>
      </c>
      <c r="BQ19" s="8" t="str">
        <f>IF(0+(AC19="X")+(AC19="Gn")+(AC19="C")+(AC18="Gn")&gt;0,"",IF(0+((AC19&lt;&gt;"Xm"))+((AC19&lt;&gt;"Xp"))+((AC19&lt;&gt;"Xn"))=0,"",IF(0+((AC19&lt;&gt;"Xm"))+((AC19&lt;&gt;"Xp"))+((AC19&lt;&gt;"Xn"))=3,AC$3&amp;", ",AC$3&amp;IF((AC19&lt;&gt;"Xm"),"_m","")&amp;IF((AC19&lt;&gt;"Xp"),"_p","")&amp;IF((AC19&lt;&gt;"Xn"),"_n","")&amp;", ")))</f>
        <v>ROSSI L, </v>
      </c>
      <c r="BR19" s="8" t="str">
        <f>IF(0+(AD19="X")+(AD19="Gn")+(AD19="C")+(AD18="Gn")&gt;0,"",IF(0+((AD19&lt;&gt;"Xm"))+((AD19&lt;&gt;"Xp"))+((AD19&lt;&gt;"Xn"))=0,"",IF(0+((AD19&lt;&gt;"Xm"))+((AD19&lt;&gt;"Xp"))+((AD19&lt;&gt;"Xn"))=3,AD$3&amp;", ",AD$3&amp;IF((AD19&lt;&gt;"Xm"),"_m","")&amp;IF((AD19&lt;&gt;"Xp"),"_p","")&amp;IF((AD19&lt;&gt;"Xn"),"_n","")&amp;", ")))</f>
        <v>GALLINA, </v>
      </c>
      <c r="BS19" s="8" t="str">
        <f>IF(0+(AE19="X")+(AE19="Gn")+(AE19="C")+(AE18="Gn")&gt;0,"",IF(0+((AE19&lt;&gt;"Xm"))+((AE19&lt;&gt;"Xp"))+((AE19&lt;&gt;"Xn"))=0,"",IF(0+((AE19&lt;&gt;"Xm"))+((AE19&lt;&gt;"Xp"))+((AE19&lt;&gt;"Xn"))=3,AE$3&amp;", ",AE$3&amp;IF((AE19&lt;&gt;"Xm"),"_m","")&amp;IF((AE19&lt;&gt;"Xp"),"_p","")&amp;IF((AE19&lt;&gt;"Xn"),"_n","")&amp;", ")))</f>
        <v>RUSSO, </v>
      </c>
      <c r="BT19" s="8" t="str">
        <f>IF(0+(AF19="X")+(AF19="Gn")+(AF19="C")+(AF18="Gn")&gt;0,"",IF(0+((AF19&lt;&gt;"Xm"))+((AF19&lt;&gt;"Xp"))+((AF19&lt;&gt;"Xn"))=0,"",IF(0+((AF19&lt;&gt;"Xm"))+((AF19&lt;&gt;"Xp"))+((AF19&lt;&gt;"Xn"))=3,AF$3&amp;", ",AF$3&amp;IF((AF19&lt;&gt;"Xm"),"_m","")&amp;IF((AF19&lt;&gt;"Xp"),"_p","")&amp;IF((AF19&lt;&gt;"Xn"),"_n","")&amp;", ")))</f>
        <v>VERDI, </v>
      </c>
      <c r="BU19" s="8" t="str">
        <f>IF(0+(AG19="X")+(AG19="Gn")+(AG19="C")+(AG18="Gn")&gt;0,"",IF(0+((AG19&lt;&gt;"Xm"))+((AG19&lt;&gt;"Xp"))+((AG19&lt;&gt;"Xn"))=0,"",IF(0+((AG19&lt;&gt;"Xm"))+((AG19&lt;&gt;"Xp"))+((AG19&lt;&gt;"Xn"))=3,AG$3&amp;", ",AG$3&amp;IF((AG19&lt;&gt;"Xm"),"_m","")&amp;IF((AG19&lt;&gt;"Xp"),"_p","")&amp;IF((AG19&lt;&gt;"Xn"),"_n","")&amp;", ")))</f>
        <v>HU, </v>
      </c>
      <c r="BV19" s="8" t="str">
        <f>IF(0+(AH19="X")+(AH19="Gn")+(AH19="C")+(AH18="Gn")&gt;0,"",IF(0+((AH19&lt;&gt;"Xm"))+((AH19&lt;&gt;"Xp"))+((AH19&lt;&gt;"Xn"))=0,"",IF(0+((AH19&lt;&gt;"Xm"))+((AH19&lt;&gt;"Xp"))+((AH19&lt;&gt;"Xn"))=3,AH$3&amp;", ",AH$3&amp;IF((AH19&lt;&gt;"Xm"),"_m","")&amp;IF((AH19&lt;&gt;"Xp"),"_p","")&amp;IF((AH19&lt;&gt;"Xn"),"_n","")&amp;", ")))</f>
        <v>MARINI, </v>
      </c>
      <c r="BW19" s="8" t="str">
        <f>IF(0+(AI19="X")+(AI19="Gn")+(AI19="C")+(AI18="Gn")&gt;0,"",IF(0+((AI19&lt;&gt;"Xm"))+((AI19&lt;&gt;"Xp"))+((AI19&lt;&gt;"Xn"))=0,"",IF(0+((AI19&lt;&gt;"Xm"))+((AI19&lt;&gt;"Xp"))+((AI19&lt;&gt;"Xn"))=3,AI$3&amp;", ",AI$3&amp;IF((AI19&lt;&gt;"Xm"),"_m","")&amp;IF((AI19&lt;&gt;"Xp"),"_p","")&amp;IF((AI19&lt;&gt;"Xn"),"_n","")&amp;", ")))</f>
        <v>CONTI A, </v>
      </c>
      <c r="BX19" s="8" t="str">
        <f>IF(0+(AJ19="X")+(AJ19="Gn")+(AJ19="C")+(AJ18="Gn")&gt;0,"",IF(0+((AJ19&lt;&gt;"Xm"))+((AJ19&lt;&gt;"Xp"))+((AJ19&lt;&gt;"Xn"))=0,"",IF(0+((AJ19&lt;&gt;"Xm"))+((AJ19&lt;&gt;"Xp"))+((AJ19&lt;&gt;"Xn"))=3,AJ$3&amp;", ",AJ$3&amp;IF((AJ19&lt;&gt;"Xm"),"_m","")&amp;IF((AJ19&lt;&gt;"Xp"),"_p","")&amp;IF((AJ19&lt;&gt;"Xn"),"_n","")&amp;", ")))</f>
        <v>CONTI S, </v>
      </c>
      <c r="BY19" s="8" t="str">
        <f>IF(0+(AK19="X")+(AK19="Gn")+(AK19="C")+(AK18="Gn")&gt;0,"",IF(0+((AK19&lt;&gt;"Xm"))+((AK19&lt;&gt;"Xp"))+((AK19&lt;&gt;"Xn"))=0,"",IF(0+((AK19&lt;&gt;"Xm"))+((AK19&lt;&gt;"Xp"))+((AK19&lt;&gt;"Xn"))=3,AK$3&amp;", ",AK$3&amp;IF((AK19&lt;&gt;"Xm"),"_m","")&amp;IF((AK19&lt;&gt;"Xp"),"_p","")&amp;IF((AK19&lt;&gt;"Xn"),"_n","")&amp;", ")))</f>
        <v>FERRARI, </v>
      </c>
      <c r="BZ19" s="8" t="str">
        <f>IF(0+(AL19="X")+(AL19="Gn")+(AL19="C")+(AL18="Gn")&gt;0,"",IF(0+((AL19&lt;&gt;"Xm"))+((AL19&lt;&gt;"Xp"))+((AL19&lt;&gt;"Xn"))=0,"",IF(0+((AL19&lt;&gt;"Xm"))+((AL19&lt;&gt;"Xp"))+((AL19&lt;&gt;"Xn"))=3,AL$3&amp;", ",AL$3&amp;IF((AL19&lt;&gt;"Xm"),"_m","")&amp;IF((AL19&lt;&gt;"Xp"),"_p","")&amp;IF((AL19&lt;&gt;"Xn"),"_n","")&amp;", ")))</f>
        <v>GRECO, </v>
      </c>
      <c r="CA19" s="8" t="str">
        <f>IF(0+(AM19="X")+(AM19="Gn")+(AM19="C")+(AM18="Gn")&gt;0,"",IF(0+((AM19&lt;&gt;"Xm"))+((AM19&lt;&gt;"Xp"))+((AM19&lt;&gt;"Xn"))=0,"",IF(0+((AM19&lt;&gt;"Xm"))+((AM19&lt;&gt;"Xp"))+((AM19&lt;&gt;"Xn"))=3,AM$3&amp;", ",AM$3&amp;IF((AM19&lt;&gt;"Xm"),"_m","")&amp;IF((AM19&lt;&gt;"Xp"),"_p","")&amp;IF((AM19&lt;&gt;"Xn"),"_n","")&amp;", ")))</f>
        <v>SANNA, </v>
      </c>
      <c r="CB19" s="8" t="str">
        <f>IF(0+(AN19="X")+(AN19="Gn")+(AN19="C")+(AN18="Gn")&gt;0,"",IF(0+((AN19&lt;&gt;"Xm"))+((AN19&lt;&gt;"Xp"))+((AN19&lt;&gt;"Xn"))=0,"",IF(0+((AN19&lt;&gt;"Xm"))+((AN19&lt;&gt;"Xp"))+((AN19&lt;&gt;"Xn"))=3,AN$3&amp;", ",AN$3&amp;IF((AN19&lt;&gt;"Xm"),"_m","")&amp;IF((AN19&lt;&gt;"Xp"),"_p","")&amp;IF((AN19&lt;&gt;"Xn"),"_n","")&amp;", ")))</f>
        <v>LI, </v>
      </c>
      <c r="CC19" s="8" t="n"/>
      <c r="CD19" s="8" t="str">
        <f>IF(0+(AA19="X")+(AA19="Gn")+(AA19="C")+(AA18="Gn")&gt;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8" t="str">
        <f>IF(0+(AB19="X")+(AB19="Gn")+(AB19="C")+(AB18="Gn")&gt;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8" t="str">
        <f>IF(0+(AC19="X")+(AC19="Gn")+(AC19="C")+(AC18="Gn")&gt;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8" t="str">
        <f>IF(0+(AD19="X")+(AD19="Gn")+(AD19="C")+(AD18="Gn")&gt;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8" t="str">
        <f>IF(0+(AE19="X")+(AE19="Gn")+(AE19="C")+(AE18="Gn")&gt;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8" t="str">
        <f>IF(0+(AF19="X")+(AF19="Gn")+(AF19="C")+(AF18="Gn")&gt;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8" t="str">
        <f>IF(0+(AG19="X")+(AG19="Gn")+(AG19="C")+(AG18="Gn")&gt;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8" t="str">
        <f>IF(0+(AH19="X")+(AH19="Gn")+(AH19="C")+(AH18="Gn")&gt;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8" t="str">
        <f>IF(0+(AI19="X")+(AI19="Gn")+(AI19="C")+(AI18="Gn")&gt;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8" t="str">
        <f>IF(0+(AJ19="X")+(AJ19="Gn")+(AJ19="C")+(AJ18="Gn")&gt;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8" t="str">
        <f>IF(0+(AK19="X")+(AK19="Gn")+(AK19="C")+(AK18="Gn")&gt;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8" t="str">
        <f>IF(0+(AL19="X")+(AL19="Gn")+(AL19="C")+(AL18="Gn")&gt;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8" t="str">
        <f>IF(0+(AM19="X")+(AM19="Gn")+(AM19="C")+(AM18="Gn")&gt;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8" t="str">
        <f>IF(0+(AN19="X")+(AN19="Gn")+(AN19="C")+(AN18="Gn")&gt;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IF(SUMPRODUCT(($C$3:$P$3&lt;&gt;"")*($C20:$P20&lt;&gt;"")*(COUNTIFS($C20:$P20,$C20:$P20,$C$3:$P$3,$C$3:$P$3)&gt;1))&gt;0,"X","")</f>
      </c>
      <c r="S20" s="10" t="str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0" t="str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9" t="str">
        <f>A20</f>
        <v>martedì</v>
      </c>
      <c r="Z20" s="9">
        <f>B20</f>
        <v>17</v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 t="str">
        <f>IF(0+(AA20="X")+(AA20="Gn")+(AA20="C")+(AA19="Gn")&gt;0,"",IF(0+((AA20&lt;&gt;"Xm"))+((AA20&lt;&gt;"Xp"))+((AA20&lt;&gt;"Xn"))=0,"",IF(0+((AA20&lt;&gt;"Xm"))+((AA20&lt;&gt;"Xp"))+((AA20&lt;&gt;"Xn"))=3,AA$3&amp;", ",AA$3&amp;IF((AA20&lt;&gt;"Xm"),"_m","")&amp;IF((AA20&lt;&gt;"Xp"),"_p","")&amp;IF((AA20&lt;&gt;"Xn"),"_n","")&amp;", ")))</f>
        <v>LEONI, </v>
      </c>
      <c r="BP20" s="8" t="str">
        <f>IF(0+(AB20="X")+(AB20="Gn")+(AB20="C")+(AB19="Gn")&gt;0,"",IF(0+((AB20&lt;&gt;"Xm"))+((AB20&lt;&gt;"Xp"))+((AB20&lt;&gt;"Xn"))=0,"",IF(0+((AB20&lt;&gt;"Xm"))+((AB20&lt;&gt;"Xp"))+((AB20&lt;&gt;"Xn"))=3,AB$3&amp;", ",AB$3&amp;IF((AB20&lt;&gt;"Xm"),"_m","")&amp;IF((AB20&lt;&gt;"Xp"),"_p","")&amp;IF((AB20&lt;&gt;"Xn"),"_n","")&amp;", ")))</f>
        <v>ROSSI M, </v>
      </c>
      <c r="BQ20" s="8" t="str">
        <f>IF(0+(AC20="X")+(AC20="Gn")+(AC20="C")+(AC19="Gn")&gt;0,"",IF(0+((AC20&lt;&gt;"Xm"))+((AC20&lt;&gt;"Xp"))+((AC20&lt;&gt;"Xn"))=0,"",IF(0+((AC20&lt;&gt;"Xm"))+((AC20&lt;&gt;"Xp"))+((AC20&lt;&gt;"Xn"))=3,AC$3&amp;", ",AC$3&amp;IF((AC20&lt;&gt;"Xm"),"_m","")&amp;IF((AC20&lt;&gt;"Xp"),"_p","")&amp;IF((AC20&lt;&gt;"Xn"),"_n","")&amp;", ")))</f>
        <v>ROSSI L, </v>
      </c>
      <c r="BR20" s="8" t="str">
        <f>IF(0+(AD20="X")+(AD20="Gn")+(AD20="C")+(AD19="Gn")&gt;0,"",IF(0+((AD20&lt;&gt;"Xm"))+((AD20&lt;&gt;"Xp"))+((AD20&lt;&gt;"Xn"))=0,"",IF(0+((AD20&lt;&gt;"Xm"))+((AD20&lt;&gt;"Xp"))+((AD20&lt;&gt;"Xn"))=3,AD$3&amp;", ",AD$3&amp;IF((AD20&lt;&gt;"Xm"),"_m","")&amp;IF((AD20&lt;&gt;"Xp"),"_p","")&amp;IF((AD20&lt;&gt;"Xn"),"_n","")&amp;", ")))</f>
        <v>GALLINA, </v>
      </c>
      <c r="BS20" s="8" t="str">
        <f>IF(0+(AE20="X")+(AE20="Gn")+(AE20="C")+(AE19="Gn")&gt;0,"",IF(0+((AE20&lt;&gt;"Xm"))+((AE20&lt;&gt;"Xp"))+((AE20&lt;&gt;"Xn"))=0,"",IF(0+((AE20&lt;&gt;"Xm"))+((AE20&lt;&gt;"Xp"))+((AE20&lt;&gt;"Xn"))=3,AE$3&amp;", ",AE$3&amp;IF((AE20&lt;&gt;"Xm"),"_m","")&amp;IF((AE20&lt;&gt;"Xp"),"_p","")&amp;IF((AE20&lt;&gt;"Xn"),"_n","")&amp;", ")))</f>
        <v>RUSSO, </v>
      </c>
      <c r="BT20" s="8" t="str">
        <f>IF(0+(AF20="X")+(AF20="Gn")+(AF20="C")+(AF19="Gn")&gt;0,"",IF(0+((AF20&lt;&gt;"Xm"))+((AF20&lt;&gt;"Xp"))+((AF20&lt;&gt;"Xn"))=0,"",IF(0+((AF20&lt;&gt;"Xm"))+((AF20&lt;&gt;"Xp"))+((AF20&lt;&gt;"Xn"))=3,AF$3&amp;", ",AF$3&amp;IF((AF20&lt;&gt;"Xm"),"_m","")&amp;IF((AF20&lt;&gt;"Xp"),"_p","")&amp;IF((AF20&lt;&gt;"Xn"),"_n","")&amp;", ")))</f>
        <v>VERDI, </v>
      </c>
      <c r="BU20" s="8" t="str">
        <f>IF(0+(AG20="X")+(AG20="Gn")+(AG20="C")+(AG19="Gn")&gt;0,"",IF(0+((AG20&lt;&gt;"Xm"))+((AG20&lt;&gt;"Xp"))+((AG20&lt;&gt;"Xn"))=0,"",IF(0+((AG20&lt;&gt;"Xm"))+((AG20&lt;&gt;"Xp"))+((AG20&lt;&gt;"Xn"))=3,AG$3&amp;", ",AG$3&amp;IF((AG20&lt;&gt;"Xm"),"_m","")&amp;IF((AG20&lt;&gt;"Xp"),"_p","")&amp;IF((AG20&lt;&gt;"Xn"),"_n","")&amp;", ")))</f>
        <v>HU, </v>
      </c>
      <c r="BV20" s="8" t="str">
        <f>IF(0+(AH20="X")+(AH20="Gn")+(AH20="C")+(AH19="Gn")&gt;0,"",IF(0+((AH20&lt;&gt;"Xm"))+((AH20&lt;&gt;"Xp"))+((AH20&lt;&gt;"Xn"))=0,"",IF(0+((AH20&lt;&gt;"Xm"))+((AH20&lt;&gt;"Xp"))+((AH20&lt;&gt;"Xn"))=3,AH$3&amp;", ",AH$3&amp;IF((AH20&lt;&gt;"Xm"),"_m","")&amp;IF((AH20&lt;&gt;"Xp"),"_p","")&amp;IF((AH20&lt;&gt;"Xn"),"_n","")&amp;", ")))</f>
        <v>MARINI, </v>
      </c>
      <c r="BW20" s="8" t="str">
        <f>IF(0+(AI20="X")+(AI20="Gn")+(AI20="C")+(AI19="Gn")&gt;0,"",IF(0+((AI20&lt;&gt;"Xm"))+((AI20&lt;&gt;"Xp"))+((AI20&lt;&gt;"Xn"))=0,"",IF(0+((AI20&lt;&gt;"Xm"))+((AI20&lt;&gt;"Xp"))+((AI20&lt;&gt;"Xn"))=3,AI$3&amp;", ",AI$3&amp;IF((AI20&lt;&gt;"Xm"),"_m","")&amp;IF((AI20&lt;&gt;"Xp"),"_p","")&amp;IF((AI20&lt;&gt;"Xn"),"_n","")&amp;", ")))</f>
        <v>CONTI A, </v>
      </c>
      <c r="BX20" s="8" t="str">
        <f>IF(0+(AJ20="X")+(AJ20="Gn")+(AJ20="C")+(AJ19="Gn")&gt;0,"",IF(0+((AJ20&lt;&gt;"Xm"))+((AJ20&lt;&gt;"Xp"))+((AJ20&lt;&gt;"Xn"))=0,"",IF(0+((AJ20&lt;&gt;"Xm"))+((AJ20&lt;&gt;"Xp"))+((AJ20&lt;&gt;"Xn"))=3,AJ$3&amp;", ",AJ$3&amp;IF((AJ20&lt;&gt;"Xm"),"_m","")&amp;IF((AJ20&lt;&gt;"Xp"),"_p","")&amp;IF((AJ20&lt;&gt;"Xn"),"_n","")&amp;", ")))</f>
        <v>CONTI S, </v>
      </c>
      <c r="BY20" s="8" t="str">
        <f>IF(0+(AK20="X")+(AK20="Gn")+(AK20="C")+(AK19="Gn")&gt;0,"",IF(0+((AK20&lt;&gt;"Xm"))+((AK20&lt;&gt;"Xp"))+((AK20&lt;&gt;"Xn"))=0,"",IF(0+((AK20&lt;&gt;"Xm"))+((AK20&lt;&gt;"Xp"))+((AK20&lt;&gt;"Xn"))=3,AK$3&amp;", ",AK$3&amp;IF((AK20&lt;&gt;"Xm"),"_m","")&amp;IF((AK20&lt;&gt;"Xp"),"_p","")&amp;IF((AK20&lt;&gt;"Xn"),"_n","")&amp;", ")))</f>
        <v>FERRARI, </v>
      </c>
      <c r="BZ20" s="8" t="str">
        <f>IF(0+(AL20="X")+(AL20="Gn")+(AL20="C")+(AL19="Gn")&gt;0,"",IF(0+((AL20&lt;&gt;"Xm"))+((AL20&lt;&gt;"Xp"))+((AL20&lt;&gt;"Xn"))=0,"",IF(0+((AL20&lt;&gt;"Xm"))+((AL20&lt;&gt;"Xp"))+((AL20&lt;&gt;"Xn"))=3,AL$3&amp;", ",AL$3&amp;IF((AL20&lt;&gt;"Xm"),"_m","")&amp;IF((AL20&lt;&gt;"Xp"),"_p","")&amp;IF((AL20&lt;&gt;"Xn"),"_n","")&amp;", ")))</f>
        <v>GRECO, </v>
      </c>
      <c r="CA20" s="8" t="str">
        <f>IF(0+(AM20="X")+(AM20="Gn")+(AM20="C")+(AM19="Gn")&gt;0,"",IF(0+((AM20&lt;&gt;"Xm"))+((AM20&lt;&gt;"Xp"))+((AM20&lt;&gt;"Xn"))=0,"",IF(0+((AM20&lt;&gt;"Xm"))+((AM20&lt;&gt;"Xp"))+((AM20&lt;&gt;"Xn"))=3,AM$3&amp;", ",AM$3&amp;IF((AM20&lt;&gt;"Xm"),"_m","")&amp;IF((AM20&lt;&gt;"Xp"),"_p","")&amp;IF((AM20&lt;&gt;"Xn"),"_n","")&amp;", ")))</f>
        <v>SANNA, </v>
      </c>
      <c r="CB20" s="8" t="str">
        <f>IF(0+(AN20="X")+(AN20="Gn")+(AN20="C")+(AN19="Gn")&gt;0,"",IF(0+((AN20&lt;&gt;"Xm"))+((AN20&lt;&gt;"Xp"))+((AN20&lt;&gt;"Xn"))=0,"",IF(0+((AN20&lt;&gt;"Xm"))+((AN20&lt;&gt;"Xp"))+((AN20&lt;&gt;"Xn"))=3,AN$3&amp;", ",AN$3&amp;IF((AN20&lt;&gt;"Xm"),"_m","")&amp;IF((AN20&lt;&gt;"Xp"),"_p","")&amp;IF((AN20&lt;&gt;"Xn"),"_n","")&amp;", ")))</f>
        <v>LI, </v>
      </c>
      <c r="CC20" s="8" t="n"/>
      <c r="CD20" s="8" t="str">
        <f>IF(0+(AA20="X")+(AA20="Gn")+(AA20="C")+(AA19="Gn")&gt;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8" t="str">
        <f>IF(0+(AB20="X")+(AB20="Gn")+(AB20="C")+(AB19="Gn")&gt;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8" t="str">
        <f>IF(0+(AC20="X")+(AC20="Gn")+(AC20="C")+(AC19="Gn")&gt;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8" t="str">
        <f>IF(0+(AD20="X")+(AD20="Gn")+(AD20="C")+(AD19="Gn")&gt;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8" t="str">
        <f>IF(0+(AE20="X")+(AE20="Gn")+(AE20="C")+(AE19="Gn")&gt;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8" t="str">
        <f>IF(0+(AF20="X")+(AF20="Gn")+(AF20="C")+(AF19="Gn")&gt;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8" t="str">
        <f>IF(0+(AG20="X")+(AG20="Gn")+(AG20="C")+(AG19="Gn")&gt;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8" t="str">
        <f>IF(0+(AH20="X")+(AH20="Gn")+(AH20="C")+(AH19="Gn")&gt;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8" t="str">
        <f>IF(0+(AI20="X")+(AI20="Gn")+(AI20="C")+(AI19="Gn")&gt;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8" t="str">
        <f>IF(0+(AJ20="X")+(AJ20="Gn")+(AJ20="C")+(AJ19="Gn")&gt;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8" t="str">
        <f>IF(0+(AK20="X")+(AK20="Gn")+(AK20="C")+(AK19="Gn")&gt;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8" t="str">
        <f>IF(0+(AL20="X")+(AL20="Gn")+(AL20="C")+(AL19="Gn")&gt;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8" t="str">
        <f>IF(0+(AM20="X")+(AM20="Gn")+(AM20="C")+(AM19="Gn")&gt;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8" t="str">
        <f>IF(0+(AN20="X")+(AN20="Gn")+(AN20="C")+(AN19="Gn")&gt;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IF(SUMPRODUCT(($C$3:$P$3&lt;&gt;"")*($C21:$P21&lt;&gt;"")*(COUNTIFS($C21:$P21,$C21:$P21,$C$3:$P$3,$C$3:$P$3)&gt;1))&gt;0,"X","")</f>
      </c>
      <c r="S21" s="10" t="str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0" t="str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9" t="str">
        <f>A21</f>
        <v>mercoledì</v>
      </c>
      <c r="Z21" s="9">
        <f>B21</f>
        <v>18</v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 t="str">
        <f>IF(0+(AA21="X")+(AA21="Gn")+(AA21="C")+(AA20="Gn")&gt;0,"",IF(0+((AA21&lt;&gt;"Xm"))+((AA21&lt;&gt;"Xp"))+((AA21&lt;&gt;"Xn"))=0,"",IF(0+((AA21&lt;&gt;"Xm"))+((AA21&lt;&gt;"Xp"))+((AA21&lt;&gt;"Xn"))=3,AA$3&amp;", ",AA$3&amp;IF((AA21&lt;&gt;"Xm"),"_m","")&amp;IF((AA21&lt;&gt;"Xp"),"_p","")&amp;IF((AA21&lt;&gt;"Xn"),"_n","")&amp;", ")))</f>
        <v>LEONI, </v>
      </c>
      <c r="BP21" s="8" t="str">
        <f>IF(0+(AB21="X")+(AB21="Gn")+(AB21="C")+(AB20="Gn")&gt;0,"",IF(0+((AB21&lt;&gt;"Xm"))+((AB21&lt;&gt;"Xp"))+((AB21&lt;&gt;"Xn"))=0,"",IF(0+((AB21&lt;&gt;"Xm"))+((AB21&lt;&gt;"Xp"))+((AB21&lt;&gt;"Xn"))=3,AB$3&amp;", ",AB$3&amp;IF((AB21&lt;&gt;"Xm"),"_m","")&amp;IF((AB21&lt;&gt;"Xp"),"_p","")&amp;IF((AB21&lt;&gt;"Xn"),"_n","")&amp;", ")))</f>
        <v>ROSSI M, </v>
      </c>
      <c r="BQ21" s="8" t="str">
        <f>IF(0+(AC21="X")+(AC21="Gn")+(AC21="C")+(AC20="Gn")&gt;0,"",IF(0+((AC21&lt;&gt;"Xm"))+((AC21&lt;&gt;"Xp"))+((AC21&lt;&gt;"Xn"))=0,"",IF(0+((AC21&lt;&gt;"Xm"))+((AC21&lt;&gt;"Xp"))+((AC21&lt;&gt;"Xn"))=3,AC$3&amp;", ",AC$3&amp;IF((AC21&lt;&gt;"Xm"),"_m","")&amp;IF((AC21&lt;&gt;"Xp"),"_p","")&amp;IF((AC21&lt;&gt;"Xn"),"_n","")&amp;", ")))</f>
        <v>ROSSI L, </v>
      </c>
      <c r="BR21" s="8" t="str">
        <f>IF(0+(AD21="X")+(AD21="Gn")+(AD21="C")+(AD20="Gn")&gt;0,"",IF(0+((AD21&lt;&gt;"Xm"))+((AD21&lt;&gt;"Xp"))+((AD21&lt;&gt;"Xn"))=0,"",IF(0+((AD21&lt;&gt;"Xm"))+((AD21&lt;&gt;"Xp"))+((AD21&lt;&gt;"Xn"))=3,AD$3&amp;", ",AD$3&amp;IF((AD21&lt;&gt;"Xm"),"_m","")&amp;IF((AD21&lt;&gt;"Xp"),"_p","")&amp;IF((AD21&lt;&gt;"Xn"),"_n","")&amp;", ")))</f>
        <v>GALLINA, </v>
      </c>
      <c r="BS21" s="8" t="str">
        <f>IF(0+(AE21="X")+(AE21="Gn")+(AE21="C")+(AE20="Gn")&gt;0,"",IF(0+((AE21&lt;&gt;"Xm"))+((AE21&lt;&gt;"Xp"))+((AE21&lt;&gt;"Xn"))=0,"",IF(0+((AE21&lt;&gt;"Xm"))+((AE21&lt;&gt;"Xp"))+((AE21&lt;&gt;"Xn"))=3,AE$3&amp;", ",AE$3&amp;IF((AE21&lt;&gt;"Xm"),"_m","")&amp;IF((AE21&lt;&gt;"Xp"),"_p","")&amp;IF((AE21&lt;&gt;"Xn"),"_n","")&amp;", ")))</f>
        <v>RUSSO, </v>
      </c>
      <c r="BT21" s="8" t="str">
        <f>IF(0+(AF21="X")+(AF21="Gn")+(AF21="C")+(AF20="Gn")&gt;0,"",IF(0+((AF21&lt;&gt;"Xm"))+((AF21&lt;&gt;"Xp"))+((AF21&lt;&gt;"Xn"))=0,"",IF(0+((AF21&lt;&gt;"Xm"))+((AF21&lt;&gt;"Xp"))+((AF21&lt;&gt;"Xn"))=3,AF$3&amp;", ",AF$3&amp;IF((AF21&lt;&gt;"Xm"),"_m","")&amp;IF((AF21&lt;&gt;"Xp"),"_p","")&amp;IF((AF21&lt;&gt;"Xn"),"_n","")&amp;", ")))</f>
        <v>VERDI, </v>
      </c>
      <c r="BU21" s="8" t="str">
        <f>IF(0+(AG21="X")+(AG21="Gn")+(AG21="C")+(AG20="Gn")&gt;0,"",IF(0+((AG21&lt;&gt;"Xm"))+((AG21&lt;&gt;"Xp"))+((AG21&lt;&gt;"Xn"))=0,"",IF(0+((AG21&lt;&gt;"Xm"))+((AG21&lt;&gt;"Xp"))+((AG21&lt;&gt;"Xn"))=3,AG$3&amp;", ",AG$3&amp;IF((AG21&lt;&gt;"Xm"),"_m","")&amp;IF((AG21&lt;&gt;"Xp"),"_p","")&amp;IF((AG21&lt;&gt;"Xn"),"_n","")&amp;", ")))</f>
        <v>HU, </v>
      </c>
      <c r="BV21" s="8" t="str">
        <f>IF(0+(AH21="X")+(AH21="Gn")+(AH21="C")+(AH20="Gn")&gt;0,"",IF(0+((AH21&lt;&gt;"Xm"))+((AH21&lt;&gt;"Xp"))+((AH21&lt;&gt;"Xn"))=0,"",IF(0+((AH21&lt;&gt;"Xm"))+((AH21&lt;&gt;"Xp"))+((AH21&lt;&gt;"Xn"))=3,AH$3&amp;", ",AH$3&amp;IF((AH21&lt;&gt;"Xm"),"_m","")&amp;IF((AH21&lt;&gt;"Xp"),"_p","")&amp;IF((AH21&lt;&gt;"Xn"),"_n","")&amp;", ")))</f>
        <v>MARINI, </v>
      </c>
      <c r="BW21" s="8" t="str">
        <f>IF(0+(AI21="X")+(AI21="Gn")+(AI21="C")+(AI20="Gn")&gt;0,"",IF(0+((AI21&lt;&gt;"Xm"))+((AI21&lt;&gt;"Xp"))+((AI21&lt;&gt;"Xn"))=0,"",IF(0+((AI21&lt;&gt;"Xm"))+((AI21&lt;&gt;"Xp"))+((AI21&lt;&gt;"Xn"))=3,AI$3&amp;", ",AI$3&amp;IF((AI21&lt;&gt;"Xm"),"_m","")&amp;IF((AI21&lt;&gt;"Xp"),"_p","")&amp;IF((AI21&lt;&gt;"Xn"),"_n","")&amp;", ")))</f>
        <v>CONTI A, </v>
      </c>
      <c r="BX21" s="8" t="str">
        <f>IF(0+(AJ21="X")+(AJ21="Gn")+(AJ21="C")+(AJ20="Gn")&gt;0,"",IF(0+((AJ21&lt;&gt;"Xm"))+((AJ21&lt;&gt;"Xp"))+((AJ21&lt;&gt;"Xn"))=0,"",IF(0+((AJ21&lt;&gt;"Xm"))+((AJ21&lt;&gt;"Xp"))+((AJ21&lt;&gt;"Xn"))=3,AJ$3&amp;", ",AJ$3&amp;IF((AJ21&lt;&gt;"Xm"),"_m","")&amp;IF((AJ21&lt;&gt;"Xp"),"_p","")&amp;IF((AJ21&lt;&gt;"Xn"),"_n","")&amp;", ")))</f>
        <v>CONTI S, </v>
      </c>
      <c r="BY21" s="8" t="str">
        <f>IF(0+(AK21="X")+(AK21="Gn")+(AK21="C")+(AK20="Gn")&gt;0,"",IF(0+((AK21&lt;&gt;"Xm"))+((AK21&lt;&gt;"Xp"))+((AK21&lt;&gt;"Xn"))=0,"",IF(0+((AK21&lt;&gt;"Xm"))+((AK21&lt;&gt;"Xp"))+((AK21&lt;&gt;"Xn"))=3,AK$3&amp;", ",AK$3&amp;IF((AK21&lt;&gt;"Xm"),"_m","")&amp;IF((AK21&lt;&gt;"Xp"),"_p","")&amp;IF((AK21&lt;&gt;"Xn"),"_n","")&amp;", ")))</f>
        <v>FERRARI, </v>
      </c>
      <c r="BZ21" s="8" t="str">
        <f>IF(0+(AL21="X")+(AL21="Gn")+(AL21="C")+(AL20="Gn")&gt;0,"",IF(0+((AL21&lt;&gt;"Xm"))+((AL21&lt;&gt;"Xp"))+((AL21&lt;&gt;"Xn"))=0,"",IF(0+((AL21&lt;&gt;"Xm"))+((AL21&lt;&gt;"Xp"))+((AL21&lt;&gt;"Xn"))=3,AL$3&amp;", ",AL$3&amp;IF((AL21&lt;&gt;"Xm"),"_m","")&amp;IF((AL21&lt;&gt;"Xp"),"_p","")&amp;IF((AL21&lt;&gt;"Xn"),"_n","")&amp;", ")))</f>
        <v>GRECO, </v>
      </c>
      <c r="CA21" s="8" t="str">
        <f>IF(0+(AM21="X")+(AM21="Gn")+(AM21="C")+(AM20="Gn")&gt;0,"",IF(0+((AM21&lt;&gt;"Xm"))+((AM21&lt;&gt;"Xp"))+((AM21&lt;&gt;"Xn"))=0,"",IF(0+((AM21&lt;&gt;"Xm"))+((AM21&lt;&gt;"Xp"))+((AM21&lt;&gt;"Xn"))=3,AM$3&amp;", ",AM$3&amp;IF((AM21&lt;&gt;"Xm"),"_m","")&amp;IF((AM21&lt;&gt;"Xp"),"_p","")&amp;IF((AM21&lt;&gt;"Xn"),"_n","")&amp;", ")))</f>
        <v>SANNA, </v>
      </c>
      <c r="CB21" s="8" t="str">
        <f>IF(0+(AN21="X")+(AN21="Gn")+(AN21="C")+(AN20="Gn")&gt;0,"",IF(0+((AN21&lt;&gt;"Xm"))+((AN21&lt;&gt;"Xp"))+((AN21&lt;&gt;"Xn"))=0,"",IF(0+((AN21&lt;&gt;"Xm"))+((AN21&lt;&gt;"Xp"))+((AN21&lt;&gt;"Xn"))=3,AN$3&amp;", ",AN$3&amp;IF((AN21&lt;&gt;"Xm"),"_m","")&amp;IF((AN21&lt;&gt;"Xp"),"_p","")&amp;IF((AN21&lt;&gt;"Xn"),"_n","")&amp;", ")))</f>
        <v>LI, </v>
      </c>
      <c r="CC21" s="8" t="n"/>
      <c r="CD21" s="8" t="str">
        <f>IF(0+(AA21="X")+(AA21="Gn")+(AA21="C")+(AA20="Gn")&gt;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8" t="str">
        <f>IF(0+(AB21="X")+(AB21="Gn")+(AB21="C")+(AB20="Gn")&gt;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8" t="str">
        <f>IF(0+(AC21="X")+(AC21="Gn")+(AC21="C")+(AC20="Gn")&gt;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8" t="str">
        <f>IF(0+(AD21="X")+(AD21="Gn")+(AD21="C")+(AD20="Gn")&gt;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8" t="str">
        <f>IF(0+(AE21="X")+(AE21="Gn")+(AE21="C")+(AE20="Gn")&gt;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8" t="str">
        <f>IF(0+(AF21="X")+(AF21="Gn")+(AF21="C")+(AF20="Gn")&gt;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8" t="str">
        <f>IF(0+(AG21="X")+(AG21="Gn")+(AG21="C")+(AG20="Gn")&gt;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8" t="str">
        <f>IF(0+(AH21="X")+(AH21="Gn")+(AH21="C")+(AH20="Gn")&gt;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8" t="str">
        <f>IF(0+(AI21="X")+(AI21="Gn")+(AI21="C")+(AI20="Gn")&gt;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8" t="str">
        <f>IF(0+(AJ21="X")+(AJ21="Gn")+(AJ21="C")+(AJ20="Gn")&gt;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8" t="str">
        <f>IF(0+(AK21="X")+(AK21="Gn")+(AK21="C")+(AK20="Gn")&gt;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8" t="str">
        <f>IF(0+(AL21="X")+(AL21="Gn")+(AL21="C")+(AL20="Gn")&gt;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8" t="str">
        <f>IF(0+(AM21="X")+(AM21="Gn")+(AM21="C")+(AM20="Gn")&gt;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8" t="str">
        <f>IF(0+(AN21="X")+(AN21="Gn")+(AN21="C")+(AN20="Gn")&gt;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IF(SUMPRODUCT(($C$3:$P$3&lt;&gt;"")*($C22:$P22&lt;&gt;"")*(COUNTIFS($C22:$P22,$C22:$P22,$C$3:$P$3,$C$3:$P$3)&gt;1))&gt;0,"X","")</f>
      </c>
      <c r="S22" s="10" t="str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0" t="str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9" t="str">
        <f>A22</f>
        <v>giovedì</v>
      </c>
      <c r="Z22" s="9">
        <f>B22</f>
        <v>19</v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 t="str">
        <f>IF(0+(AA22="X")+(AA22="Gn")+(AA22="C")+(AA21="Gn")&gt;0,"",IF(0+((AA22&lt;&gt;"Xm"))+((AA22&lt;&gt;"Xp"))+((AA22&lt;&gt;"Xn"))=0,"",IF(0+((AA22&lt;&gt;"Xm"))+((AA22&lt;&gt;"Xp"))+((AA22&lt;&gt;"Xn"))=3,AA$3&amp;", ",AA$3&amp;IF((AA22&lt;&gt;"Xm"),"_m","")&amp;IF((AA22&lt;&gt;"Xp"),"_p","")&amp;IF((AA22&lt;&gt;"Xn"),"_n","")&amp;", ")))</f>
        <v>LEONI, </v>
      </c>
      <c r="BP22" s="8" t="str">
        <f>IF(0+(AB22="X")+(AB22="Gn")+(AB22="C")+(AB21="Gn")&gt;0,"",IF(0+((AB22&lt;&gt;"Xm"))+((AB22&lt;&gt;"Xp"))+((AB22&lt;&gt;"Xn"))=0,"",IF(0+((AB22&lt;&gt;"Xm"))+((AB22&lt;&gt;"Xp"))+((AB22&lt;&gt;"Xn"))=3,AB$3&amp;", ",AB$3&amp;IF((AB22&lt;&gt;"Xm"),"_m","")&amp;IF((AB22&lt;&gt;"Xp"),"_p","")&amp;IF((AB22&lt;&gt;"Xn"),"_n","")&amp;", ")))</f>
        <v>ROSSI M, </v>
      </c>
      <c r="BQ22" s="8" t="str">
        <f>IF(0+(AC22="X")+(AC22="Gn")+(AC22="C")+(AC21="Gn")&gt;0,"",IF(0+((AC22&lt;&gt;"Xm"))+((AC22&lt;&gt;"Xp"))+((AC22&lt;&gt;"Xn"))=0,"",IF(0+((AC22&lt;&gt;"Xm"))+((AC22&lt;&gt;"Xp"))+((AC22&lt;&gt;"Xn"))=3,AC$3&amp;", ",AC$3&amp;IF((AC22&lt;&gt;"Xm"),"_m","")&amp;IF((AC22&lt;&gt;"Xp"),"_p","")&amp;IF((AC22&lt;&gt;"Xn"),"_n","")&amp;", ")))</f>
        <v>ROSSI L, </v>
      </c>
      <c r="BR22" s="8" t="str">
        <f>IF(0+(AD22="X")+(AD22="Gn")+(AD22="C")+(AD21="Gn")&gt;0,"",IF(0+((AD22&lt;&gt;"Xm"))+((AD22&lt;&gt;"Xp"))+((AD22&lt;&gt;"Xn"))=0,"",IF(0+((AD22&lt;&gt;"Xm"))+((AD22&lt;&gt;"Xp"))+((AD22&lt;&gt;"Xn"))=3,AD$3&amp;", ",AD$3&amp;IF((AD22&lt;&gt;"Xm"),"_m","")&amp;IF((AD22&lt;&gt;"Xp"),"_p","")&amp;IF((AD22&lt;&gt;"Xn"),"_n","")&amp;", ")))</f>
        <v>GALLINA, </v>
      </c>
      <c r="BS22" s="8" t="str">
        <f>IF(0+(AE22="X")+(AE22="Gn")+(AE22="C")+(AE21="Gn")&gt;0,"",IF(0+((AE22&lt;&gt;"Xm"))+((AE22&lt;&gt;"Xp"))+((AE22&lt;&gt;"Xn"))=0,"",IF(0+((AE22&lt;&gt;"Xm"))+((AE22&lt;&gt;"Xp"))+((AE22&lt;&gt;"Xn"))=3,AE$3&amp;", ",AE$3&amp;IF((AE22&lt;&gt;"Xm"),"_m","")&amp;IF((AE22&lt;&gt;"Xp"),"_p","")&amp;IF((AE22&lt;&gt;"Xn"),"_n","")&amp;", ")))</f>
        <v>RUSSO, </v>
      </c>
      <c r="BT22" s="8" t="str">
        <f>IF(0+(AF22="X")+(AF22="Gn")+(AF22="C")+(AF21="Gn")&gt;0,"",IF(0+((AF22&lt;&gt;"Xm"))+((AF22&lt;&gt;"Xp"))+((AF22&lt;&gt;"Xn"))=0,"",IF(0+((AF22&lt;&gt;"Xm"))+((AF22&lt;&gt;"Xp"))+((AF22&lt;&gt;"Xn"))=3,AF$3&amp;", ",AF$3&amp;IF((AF22&lt;&gt;"Xm"),"_m","")&amp;IF((AF22&lt;&gt;"Xp"),"_p","")&amp;IF((AF22&lt;&gt;"Xn"),"_n","")&amp;", ")))</f>
        <v>VERDI, </v>
      </c>
      <c r="BU22" s="8" t="str">
        <f>IF(0+(AG22="X")+(AG22="Gn")+(AG22="C")+(AG21="Gn")&gt;0,"",IF(0+((AG22&lt;&gt;"Xm"))+((AG22&lt;&gt;"Xp"))+((AG22&lt;&gt;"Xn"))=0,"",IF(0+((AG22&lt;&gt;"Xm"))+((AG22&lt;&gt;"Xp"))+((AG22&lt;&gt;"Xn"))=3,AG$3&amp;", ",AG$3&amp;IF((AG22&lt;&gt;"Xm"),"_m","")&amp;IF((AG22&lt;&gt;"Xp"),"_p","")&amp;IF((AG22&lt;&gt;"Xn"),"_n","")&amp;", ")))</f>
        <v>HU, </v>
      </c>
      <c r="BV22" s="8" t="str">
        <f>IF(0+(AH22="X")+(AH22="Gn")+(AH22="C")+(AH21="Gn")&gt;0,"",IF(0+((AH22&lt;&gt;"Xm"))+((AH22&lt;&gt;"Xp"))+((AH22&lt;&gt;"Xn"))=0,"",IF(0+((AH22&lt;&gt;"Xm"))+((AH22&lt;&gt;"Xp"))+((AH22&lt;&gt;"Xn"))=3,AH$3&amp;", ",AH$3&amp;IF((AH22&lt;&gt;"Xm"),"_m","")&amp;IF((AH22&lt;&gt;"Xp"),"_p","")&amp;IF((AH22&lt;&gt;"Xn"),"_n","")&amp;", ")))</f>
        <v>MARINI, </v>
      </c>
      <c r="BW22" s="8" t="str">
        <f>IF(0+(AI22="X")+(AI22="Gn")+(AI22="C")+(AI21="Gn")&gt;0,"",IF(0+((AI22&lt;&gt;"Xm"))+((AI22&lt;&gt;"Xp"))+((AI22&lt;&gt;"Xn"))=0,"",IF(0+((AI22&lt;&gt;"Xm"))+((AI22&lt;&gt;"Xp"))+((AI22&lt;&gt;"Xn"))=3,AI$3&amp;", ",AI$3&amp;IF((AI22&lt;&gt;"Xm"),"_m","")&amp;IF((AI22&lt;&gt;"Xp"),"_p","")&amp;IF((AI22&lt;&gt;"Xn"),"_n","")&amp;", ")))</f>
        <v>CONTI A, </v>
      </c>
      <c r="BX22" s="8" t="str">
        <f>IF(0+(AJ22="X")+(AJ22="Gn")+(AJ22="C")+(AJ21="Gn")&gt;0,"",IF(0+((AJ22&lt;&gt;"Xm"))+((AJ22&lt;&gt;"Xp"))+((AJ22&lt;&gt;"Xn"))=0,"",IF(0+((AJ22&lt;&gt;"Xm"))+((AJ22&lt;&gt;"Xp"))+((AJ22&lt;&gt;"Xn"))=3,AJ$3&amp;", ",AJ$3&amp;IF((AJ22&lt;&gt;"Xm"),"_m","")&amp;IF((AJ22&lt;&gt;"Xp"),"_p","")&amp;IF((AJ22&lt;&gt;"Xn"),"_n","")&amp;", ")))</f>
        <v>CONTI S, </v>
      </c>
      <c r="BY22" s="8" t="str">
        <f>IF(0+(AK22="X")+(AK22="Gn")+(AK22="C")+(AK21="Gn")&gt;0,"",IF(0+((AK22&lt;&gt;"Xm"))+((AK22&lt;&gt;"Xp"))+((AK22&lt;&gt;"Xn"))=0,"",IF(0+((AK22&lt;&gt;"Xm"))+((AK22&lt;&gt;"Xp"))+((AK22&lt;&gt;"Xn"))=3,AK$3&amp;", ",AK$3&amp;IF((AK22&lt;&gt;"Xm"),"_m","")&amp;IF((AK22&lt;&gt;"Xp"),"_p","")&amp;IF((AK22&lt;&gt;"Xn"),"_n","")&amp;", ")))</f>
        <v>FERRARI, </v>
      </c>
      <c r="BZ22" s="8" t="str">
        <f>IF(0+(AL22="X")+(AL22="Gn")+(AL22="C")+(AL21="Gn")&gt;0,"",IF(0+((AL22&lt;&gt;"Xm"))+((AL22&lt;&gt;"Xp"))+((AL22&lt;&gt;"Xn"))=0,"",IF(0+((AL22&lt;&gt;"Xm"))+((AL22&lt;&gt;"Xp"))+((AL22&lt;&gt;"Xn"))=3,AL$3&amp;", ",AL$3&amp;IF((AL22&lt;&gt;"Xm"),"_m","")&amp;IF((AL22&lt;&gt;"Xp"),"_p","")&amp;IF((AL22&lt;&gt;"Xn"),"_n","")&amp;", ")))</f>
        <v>GRECO, </v>
      </c>
      <c r="CA22" s="8" t="str">
        <f>IF(0+(AM22="X")+(AM22="Gn")+(AM22="C")+(AM21="Gn")&gt;0,"",IF(0+((AM22&lt;&gt;"Xm"))+((AM22&lt;&gt;"Xp"))+((AM22&lt;&gt;"Xn"))=0,"",IF(0+((AM22&lt;&gt;"Xm"))+((AM22&lt;&gt;"Xp"))+((AM22&lt;&gt;"Xn"))=3,AM$3&amp;", ",AM$3&amp;IF((AM22&lt;&gt;"Xm"),"_m","")&amp;IF((AM22&lt;&gt;"Xp"),"_p","")&amp;IF((AM22&lt;&gt;"Xn"),"_n","")&amp;", ")))</f>
        <v>SANNA, </v>
      </c>
      <c r="CB22" s="8" t="str">
        <f>IF(0+(AN22="X")+(AN22="Gn")+(AN22="C")+(AN21="Gn")&gt;0,"",IF(0+((AN22&lt;&gt;"Xm"))+((AN22&lt;&gt;"Xp"))+((AN22&lt;&gt;"Xn"))=0,"",IF(0+((AN22&lt;&gt;"Xm"))+((AN22&lt;&gt;"Xp"))+((AN22&lt;&gt;"Xn"))=3,AN$3&amp;", ",AN$3&amp;IF((AN22&lt;&gt;"Xm"),"_m","")&amp;IF((AN22&lt;&gt;"Xp"),"_p","")&amp;IF((AN22&lt;&gt;"Xn"),"_n","")&amp;", ")))</f>
        <v>LI, </v>
      </c>
      <c r="CC22" s="8" t="n"/>
      <c r="CD22" s="8" t="str">
        <f>IF(0+(AA22="X")+(AA22="Gn")+(AA22="C")+(AA21="Gn")&gt;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8" t="str">
        <f>IF(0+(AB22="X")+(AB22="Gn")+(AB22="C")+(AB21="Gn")&gt;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8" t="str">
        <f>IF(0+(AC22="X")+(AC22="Gn")+(AC22="C")+(AC21="Gn")&gt;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8" t="str">
        <f>IF(0+(AD22="X")+(AD22="Gn")+(AD22="C")+(AD21="Gn")&gt;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8" t="str">
        <f>IF(0+(AE22="X")+(AE22="Gn")+(AE22="C")+(AE21="Gn")&gt;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8" t="str">
        <f>IF(0+(AF22="X")+(AF22="Gn")+(AF22="C")+(AF21="Gn")&gt;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8" t="str">
        <f>IF(0+(AG22="X")+(AG22="Gn")+(AG22="C")+(AG21="Gn")&gt;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8" t="str">
        <f>IF(0+(AH22="X")+(AH22="Gn")+(AH22="C")+(AH21="Gn")&gt;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8" t="str">
        <f>IF(0+(AI22="X")+(AI22="Gn")+(AI22="C")+(AI21="Gn")&gt;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8" t="str">
        <f>IF(0+(AJ22="X")+(AJ22="Gn")+(AJ22="C")+(AJ21="Gn")&gt;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8" t="str">
        <f>IF(0+(AK22="X")+(AK22="Gn")+(AK22="C")+(AK21="Gn")&gt;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8" t="str">
        <f>IF(0+(AL22="X")+(AL22="Gn")+(AL22="C")+(AL21="Gn")&gt;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8" t="str">
        <f>IF(0+(AM22="X")+(AM22="Gn")+(AM22="C")+(AM21="Gn")&gt;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8" t="str">
        <f>IF(0+(AN22="X")+(AN22="Gn")+(AN22="C")+(AN21="Gn")&gt;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IF(SUMPRODUCT(($C$3:$P$3&lt;&gt;"")*($C23:$P23&lt;&gt;"")*(COUNTIFS($C23:$P23,$C23:$P23,$C$3:$P$3,$C$3:$P$3)&gt;1))&gt;0,"X","")</f>
      </c>
      <c r="S23" s="10" t="str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0" t="str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9" t="str">
        <f>A23</f>
        <v>venerdì</v>
      </c>
      <c r="Z23" s="9">
        <f>B23</f>
        <v>20</v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 t="str">
        <f>IF(0+(AA23="X")+(AA23="Gn")+(AA23="C")+(AA22="Gn")&gt;0,"",IF(0+((AA23&lt;&gt;"Xm"))+((AA23&lt;&gt;"Xp"))+((AA23&lt;&gt;"Xn"))=0,"",IF(0+((AA23&lt;&gt;"Xm"))+((AA23&lt;&gt;"Xp"))+((AA23&lt;&gt;"Xn"))=3,AA$3&amp;", ",AA$3&amp;IF((AA23&lt;&gt;"Xm"),"_m","")&amp;IF((AA23&lt;&gt;"Xp"),"_p","")&amp;IF((AA23&lt;&gt;"Xn"),"_n","")&amp;", ")))</f>
        <v>LEONI, </v>
      </c>
      <c r="BP23" s="8" t="str">
        <f>IF(0+(AB23="X")+(AB23="Gn")+(AB23="C")+(AB22="Gn")&gt;0,"",IF(0+((AB23&lt;&gt;"Xm"))+((AB23&lt;&gt;"Xp"))+((AB23&lt;&gt;"Xn"))=0,"",IF(0+((AB23&lt;&gt;"Xm"))+((AB23&lt;&gt;"Xp"))+((AB23&lt;&gt;"Xn"))=3,AB$3&amp;", ",AB$3&amp;IF((AB23&lt;&gt;"Xm"),"_m","")&amp;IF((AB23&lt;&gt;"Xp"),"_p","")&amp;IF((AB23&lt;&gt;"Xn"),"_n","")&amp;", ")))</f>
        <v>ROSSI M, </v>
      </c>
      <c r="BQ23" s="8" t="str">
        <f>IF(0+(AC23="X")+(AC23="Gn")+(AC23="C")+(AC22="Gn")&gt;0,"",IF(0+((AC23&lt;&gt;"Xm"))+((AC23&lt;&gt;"Xp"))+((AC23&lt;&gt;"Xn"))=0,"",IF(0+((AC23&lt;&gt;"Xm"))+((AC23&lt;&gt;"Xp"))+((AC23&lt;&gt;"Xn"))=3,AC$3&amp;", ",AC$3&amp;IF((AC23&lt;&gt;"Xm"),"_m","")&amp;IF((AC23&lt;&gt;"Xp"),"_p","")&amp;IF((AC23&lt;&gt;"Xn"),"_n","")&amp;", ")))</f>
        <v>ROSSI L, </v>
      </c>
      <c r="BR23" s="8" t="str">
        <f>IF(0+(AD23="X")+(AD23="Gn")+(AD23="C")+(AD22="Gn")&gt;0,"",IF(0+((AD23&lt;&gt;"Xm"))+((AD23&lt;&gt;"Xp"))+((AD23&lt;&gt;"Xn"))=0,"",IF(0+((AD23&lt;&gt;"Xm"))+((AD23&lt;&gt;"Xp"))+((AD23&lt;&gt;"Xn"))=3,AD$3&amp;", ",AD$3&amp;IF((AD23&lt;&gt;"Xm"),"_m","")&amp;IF((AD23&lt;&gt;"Xp"),"_p","")&amp;IF((AD23&lt;&gt;"Xn"),"_n","")&amp;", ")))</f>
        <v>GALLINA, </v>
      </c>
      <c r="BS23" s="8" t="str">
        <f>IF(0+(AE23="X")+(AE23="Gn")+(AE23="C")+(AE22="Gn")&gt;0,"",IF(0+((AE23&lt;&gt;"Xm"))+((AE23&lt;&gt;"Xp"))+((AE23&lt;&gt;"Xn"))=0,"",IF(0+((AE23&lt;&gt;"Xm"))+((AE23&lt;&gt;"Xp"))+((AE23&lt;&gt;"Xn"))=3,AE$3&amp;", ",AE$3&amp;IF((AE23&lt;&gt;"Xm"),"_m","")&amp;IF((AE23&lt;&gt;"Xp"),"_p","")&amp;IF((AE23&lt;&gt;"Xn"),"_n","")&amp;", ")))</f>
        <v>RUSSO, </v>
      </c>
      <c r="BT23" s="8" t="str">
        <f>IF(0+(AF23="X")+(AF23="Gn")+(AF23="C")+(AF22="Gn")&gt;0,"",IF(0+((AF23&lt;&gt;"Xm"))+((AF23&lt;&gt;"Xp"))+((AF23&lt;&gt;"Xn"))=0,"",IF(0+((AF23&lt;&gt;"Xm"))+((AF23&lt;&gt;"Xp"))+((AF23&lt;&gt;"Xn"))=3,AF$3&amp;", ",AF$3&amp;IF((AF23&lt;&gt;"Xm"),"_m","")&amp;IF((AF23&lt;&gt;"Xp"),"_p","")&amp;IF((AF23&lt;&gt;"Xn"),"_n","")&amp;", ")))</f>
        <v>VERDI, </v>
      </c>
      <c r="BU23" s="8" t="str">
        <f>IF(0+(AG23="X")+(AG23="Gn")+(AG23="C")+(AG22="Gn")&gt;0,"",IF(0+((AG23&lt;&gt;"Xm"))+((AG23&lt;&gt;"Xp"))+((AG23&lt;&gt;"Xn"))=0,"",IF(0+((AG23&lt;&gt;"Xm"))+((AG23&lt;&gt;"Xp"))+((AG23&lt;&gt;"Xn"))=3,AG$3&amp;", ",AG$3&amp;IF((AG23&lt;&gt;"Xm"),"_m","")&amp;IF((AG23&lt;&gt;"Xp"),"_p","")&amp;IF((AG23&lt;&gt;"Xn"),"_n","")&amp;", ")))</f>
        <v>HU, </v>
      </c>
      <c r="BV23" s="8" t="str">
        <f>IF(0+(AH23="X")+(AH23="Gn")+(AH23="C")+(AH22="Gn")&gt;0,"",IF(0+((AH23&lt;&gt;"Xm"))+((AH23&lt;&gt;"Xp"))+((AH23&lt;&gt;"Xn"))=0,"",IF(0+((AH23&lt;&gt;"Xm"))+((AH23&lt;&gt;"Xp"))+((AH23&lt;&gt;"Xn"))=3,AH$3&amp;", ",AH$3&amp;IF((AH23&lt;&gt;"Xm"),"_m","")&amp;IF((AH23&lt;&gt;"Xp"),"_p","")&amp;IF((AH23&lt;&gt;"Xn"),"_n","")&amp;", ")))</f>
        <v>MARINI, </v>
      </c>
      <c r="BW23" s="8" t="str">
        <f>IF(0+(AI23="X")+(AI23="Gn")+(AI23="C")+(AI22="Gn")&gt;0,"",IF(0+((AI23&lt;&gt;"Xm"))+((AI23&lt;&gt;"Xp"))+((AI23&lt;&gt;"Xn"))=0,"",IF(0+((AI23&lt;&gt;"Xm"))+((AI23&lt;&gt;"Xp"))+((AI23&lt;&gt;"Xn"))=3,AI$3&amp;", ",AI$3&amp;IF((AI23&lt;&gt;"Xm"),"_m","")&amp;IF((AI23&lt;&gt;"Xp"),"_p","")&amp;IF((AI23&lt;&gt;"Xn"),"_n","")&amp;", ")))</f>
        <v>CONTI A, </v>
      </c>
      <c r="BX23" s="8" t="str">
        <f>IF(0+(AJ23="X")+(AJ23="Gn")+(AJ23="C")+(AJ22="Gn")&gt;0,"",IF(0+((AJ23&lt;&gt;"Xm"))+((AJ23&lt;&gt;"Xp"))+((AJ23&lt;&gt;"Xn"))=0,"",IF(0+((AJ23&lt;&gt;"Xm"))+((AJ23&lt;&gt;"Xp"))+((AJ23&lt;&gt;"Xn"))=3,AJ$3&amp;", ",AJ$3&amp;IF((AJ23&lt;&gt;"Xm"),"_m","")&amp;IF((AJ23&lt;&gt;"Xp"),"_p","")&amp;IF((AJ23&lt;&gt;"Xn"),"_n","")&amp;", ")))</f>
        <v>CONTI S, </v>
      </c>
      <c r="BY23" s="8" t="str">
        <f>IF(0+(AK23="X")+(AK23="Gn")+(AK23="C")+(AK22="Gn")&gt;0,"",IF(0+((AK23&lt;&gt;"Xm"))+((AK23&lt;&gt;"Xp"))+((AK23&lt;&gt;"Xn"))=0,"",IF(0+((AK23&lt;&gt;"Xm"))+((AK23&lt;&gt;"Xp"))+((AK23&lt;&gt;"Xn"))=3,AK$3&amp;", ",AK$3&amp;IF((AK23&lt;&gt;"Xm"),"_m","")&amp;IF((AK23&lt;&gt;"Xp"),"_p","")&amp;IF((AK23&lt;&gt;"Xn"),"_n","")&amp;", ")))</f>
        <v>FERRARI, </v>
      </c>
      <c r="BZ23" s="8" t="str">
        <f>IF(0+(AL23="X")+(AL23="Gn")+(AL23="C")+(AL22="Gn")&gt;0,"",IF(0+((AL23&lt;&gt;"Xm"))+((AL23&lt;&gt;"Xp"))+((AL23&lt;&gt;"Xn"))=0,"",IF(0+((AL23&lt;&gt;"Xm"))+((AL23&lt;&gt;"Xp"))+((AL23&lt;&gt;"Xn"))=3,AL$3&amp;", ",AL$3&amp;IF((AL23&lt;&gt;"Xm"),"_m","")&amp;IF((AL23&lt;&gt;"Xp"),"_p","")&amp;IF((AL23&lt;&gt;"Xn"),"_n","")&amp;", ")))</f>
        <v>GRECO, </v>
      </c>
      <c r="CA23" s="8" t="str">
        <f>IF(0+(AM23="X")+(AM23="Gn")+(AM23="C")+(AM22="Gn")&gt;0,"",IF(0+((AM23&lt;&gt;"Xm"))+((AM23&lt;&gt;"Xp"))+((AM23&lt;&gt;"Xn"))=0,"",IF(0+((AM23&lt;&gt;"Xm"))+((AM23&lt;&gt;"Xp"))+((AM23&lt;&gt;"Xn"))=3,AM$3&amp;", ",AM$3&amp;IF((AM23&lt;&gt;"Xm"),"_m","")&amp;IF((AM23&lt;&gt;"Xp"),"_p","")&amp;IF((AM23&lt;&gt;"Xn"),"_n","")&amp;", ")))</f>
        <v>SANNA, </v>
      </c>
      <c r="CB23" s="8" t="str">
        <f>IF(0+(AN23="X")+(AN23="Gn")+(AN23="C")+(AN22="Gn")&gt;0,"",IF(0+((AN23&lt;&gt;"Xm"))+((AN23&lt;&gt;"Xp"))+((AN23&lt;&gt;"Xn"))=0,"",IF(0+((AN23&lt;&gt;"Xm"))+((AN23&lt;&gt;"Xp"))+((AN23&lt;&gt;"Xn"))=3,AN$3&amp;", ",AN$3&amp;IF((AN23&lt;&gt;"Xm"),"_m","")&amp;IF((AN23&lt;&gt;"Xp"),"_p","")&amp;IF((AN23&lt;&gt;"Xn"),"_n","")&amp;", ")))</f>
        <v>LI, </v>
      </c>
      <c r="CC23" s="8" t="n"/>
      <c r="CD23" s="8" t="str">
        <f>IF(0+(AA23="X")+(AA23="Gn")+(AA23="C")+(AA22="Gn")&gt;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8" t="str">
        <f>IF(0+(AB23="X")+(AB23="Gn")+(AB23="C")+(AB22="Gn")&gt;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8" t="str">
        <f>IF(0+(AC23="X")+(AC23="Gn")+(AC23="C")+(AC22="Gn")&gt;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8" t="str">
        <f>IF(0+(AD23="X")+(AD23="Gn")+(AD23="C")+(AD22="Gn")&gt;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8" t="str">
        <f>IF(0+(AE23="X")+(AE23="Gn")+(AE23="C")+(AE22="Gn")&gt;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8" t="str">
        <f>IF(0+(AF23="X")+(AF23="Gn")+(AF23="C")+(AF22="Gn")&gt;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8" t="str">
        <f>IF(0+(AG23="X")+(AG23="Gn")+(AG23="C")+(AG22="Gn")&gt;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8" t="str">
        <f>IF(0+(AH23="X")+(AH23="Gn")+(AH23="C")+(AH22="Gn")&gt;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8" t="str">
        <f>IF(0+(AI23="X")+(AI23="Gn")+(AI23="C")+(AI22="Gn")&gt;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8" t="str">
        <f>IF(0+(AJ23="X")+(AJ23="Gn")+(AJ23="C")+(AJ22="Gn")&gt;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8" t="str">
        <f>IF(0+(AK23="X")+(AK23="Gn")+(AK23="C")+(AK22="Gn")&gt;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8" t="str">
        <f>IF(0+(AL23="X")+(AL23="Gn")+(AL23="C")+(AL22="Gn")&gt;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8" t="str">
        <f>IF(0+(AM23="X")+(AM23="Gn")+(AM23="C")+(AM22="Gn")&gt;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8" t="str">
        <f>IF(0+(AN23="X")+(AN23="Gn")+(AN23="C")+(AN22="Gn")&gt;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>
      <c r="A24" s="3" t="str">
        <f>CHOOSE(WEEKDAY(DATE($B$1,$A$2,B24),2),"lunedì","martedì","mercoledì","giovedì","venerdì","sabato","domenica")</f>
        <v>sabato</v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>
        <f>IF(SUMPRODUCT(($C$3:$P$3&lt;&gt;"")*($C24:$P24&lt;&gt;"")*(COUNTIFS($C24:$P24,$C24:$P24,$C$3:$P$3,$C$3:$P$3)&gt;1))&gt;0,"X","")</f>
      </c>
      <c r="S24" s="3" t="str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3" t="str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3" t="str">
        <f>A24</f>
        <v>sabato</v>
      </c>
      <c r="Z24" s="3">
        <f>B24</f>
        <v>21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 t="str">
        <f>IF(0+(AA24="X")+(AA24="Gn")+(AA24="C")+(AA23="Gn")&gt;0,"",IF(0+((AA24&lt;&gt;"Xm"))+((AA24&lt;&gt;"Xp"))+((AA24&lt;&gt;"Xn"))=0,"",IF(0+((AA24&lt;&gt;"Xm"))+((AA24&lt;&gt;"Xp"))+((AA24&lt;&gt;"Xn"))=3,AA$3&amp;", ",AA$3&amp;IF((AA24&lt;&gt;"Xm"),"_m","")&amp;IF((AA24&lt;&gt;"Xp"),"_p","")&amp;IF((AA24&lt;&gt;"Xn"),"_n","")&amp;", ")))</f>
        <v>LEONI, </v>
      </c>
      <c r="BP24" s="8" t="str">
        <f>IF(0+(AB24="X")+(AB24="Gn")+(AB24="C")+(AB23="Gn")&gt;0,"",IF(0+((AB24&lt;&gt;"Xm"))+((AB24&lt;&gt;"Xp"))+((AB24&lt;&gt;"Xn"))=0,"",IF(0+((AB24&lt;&gt;"Xm"))+((AB24&lt;&gt;"Xp"))+((AB24&lt;&gt;"Xn"))=3,AB$3&amp;", ",AB$3&amp;IF((AB24&lt;&gt;"Xm"),"_m","")&amp;IF((AB24&lt;&gt;"Xp"),"_p","")&amp;IF((AB24&lt;&gt;"Xn"),"_n","")&amp;", ")))</f>
        <v>ROSSI M, </v>
      </c>
      <c r="BQ24" s="8" t="str">
        <f>IF(0+(AC24="X")+(AC24="Gn")+(AC24="C")+(AC23="Gn")&gt;0,"",IF(0+((AC24&lt;&gt;"Xm"))+((AC24&lt;&gt;"Xp"))+((AC24&lt;&gt;"Xn"))=0,"",IF(0+((AC24&lt;&gt;"Xm"))+((AC24&lt;&gt;"Xp"))+((AC24&lt;&gt;"Xn"))=3,AC$3&amp;", ",AC$3&amp;IF((AC24&lt;&gt;"Xm"),"_m","")&amp;IF((AC24&lt;&gt;"Xp"),"_p","")&amp;IF((AC24&lt;&gt;"Xn"),"_n","")&amp;", ")))</f>
        <v>ROSSI L, </v>
      </c>
      <c r="BR24" s="8" t="str">
        <f>IF(0+(AD24="X")+(AD24="Gn")+(AD24="C")+(AD23="Gn")&gt;0,"",IF(0+((AD24&lt;&gt;"Xm"))+((AD24&lt;&gt;"Xp"))+((AD24&lt;&gt;"Xn"))=0,"",IF(0+((AD24&lt;&gt;"Xm"))+((AD24&lt;&gt;"Xp"))+((AD24&lt;&gt;"Xn"))=3,AD$3&amp;", ",AD$3&amp;IF((AD24&lt;&gt;"Xm"),"_m","")&amp;IF((AD24&lt;&gt;"Xp"),"_p","")&amp;IF((AD24&lt;&gt;"Xn"),"_n","")&amp;", ")))</f>
        <v>GALLINA, </v>
      </c>
      <c r="BS24" s="8" t="str">
        <f>IF(0+(AE24="X")+(AE24="Gn")+(AE24="C")+(AE23="Gn")&gt;0,"",IF(0+((AE24&lt;&gt;"Xm"))+((AE24&lt;&gt;"Xp"))+((AE24&lt;&gt;"Xn"))=0,"",IF(0+((AE24&lt;&gt;"Xm"))+((AE24&lt;&gt;"Xp"))+((AE24&lt;&gt;"Xn"))=3,AE$3&amp;", ",AE$3&amp;IF((AE24&lt;&gt;"Xm"),"_m","")&amp;IF((AE24&lt;&gt;"Xp"),"_p","")&amp;IF((AE24&lt;&gt;"Xn"),"_n","")&amp;", ")))</f>
        <v>RUSSO, </v>
      </c>
      <c r="BT24" s="8" t="str">
        <f>IF(0+(AF24="X")+(AF24="Gn")+(AF24="C")+(AF23="Gn")&gt;0,"",IF(0+((AF24&lt;&gt;"Xm"))+((AF24&lt;&gt;"Xp"))+((AF24&lt;&gt;"Xn"))=0,"",IF(0+((AF24&lt;&gt;"Xm"))+((AF24&lt;&gt;"Xp"))+((AF24&lt;&gt;"Xn"))=3,AF$3&amp;", ",AF$3&amp;IF((AF24&lt;&gt;"Xm"),"_m","")&amp;IF((AF24&lt;&gt;"Xp"),"_p","")&amp;IF((AF24&lt;&gt;"Xn"),"_n","")&amp;", ")))</f>
        <v>VERDI, </v>
      </c>
      <c r="BU24" s="8" t="str">
        <f>IF(0+(AG24="X")+(AG24="Gn")+(AG24="C")+(AG23="Gn")&gt;0,"",IF(0+((AG24&lt;&gt;"Xm"))+((AG24&lt;&gt;"Xp"))+((AG24&lt;&gt;"Xn"))=0,"",IF(0+((AG24&lt;&gt;"Xm"))+((AG24&lt;&gt;"Xp"))+((AG24&lt;&gt;"Xn"))=3,AG$3&amp;", ",AG$3&amp;IF((AG24&lt;&gt;"Xm"),"_m","")&amp;IF((AG24&lt;&gt;"Xp"),"_p","")&amp;IF((AG24&lt;&gt;"Xn"),"_n","")&amp;", ")))</f>
        <v>HU, </v>
      </c>
      <c r="BV24" s="8" t="str">
        <f>IF(0+(AH24="X")+(AH24="Gn")+(AH24="C")+(AH23="Gn")&gt;0,"",IF(0+((AH24&lt;&gt;"Xm"))+((AH24&lt;&gt;"Xp"))+((AH24&lt;&gt;"Xn"))=0,"",IF(0+((AH24&lt;&gt;"Xm"))+((AH24&lt;&gt;"Xp"))+((AH24&lt;&gt;"Xn"))=3,AH$3&amp;", ",AH$3&amp;IF((AH24&lt;&gt;"Xm"),"_m","")&amp;IF((AH24&lt;&gt;"Xp"),"_p","")&amp;IF((AH24&lt;&gt;"Xn"),"_n","")&amp;", ")))</f>
        <v>MARINI, </v>
      </c>
      <c r="BW24" s="8" t="str">
        <f>IF(0+(AI24="X")+(AI24="Gn")+(AI24="C")+(AI23="Gn")&gt;0,"",IF(0+((AI24&lt;&gt;"Xm"))+((AI24&lt;&gt;"Xp"))+((AI24&lt;&gt;"Xn"))=0,"",IF(0+((AI24&lt;&gt;"Xm"))+((AI24&lt;&gt;"Xp"))+((AI24&lt;&gt;"Xn"))=3,AI$3&amp;", ",AI$3&amp;IF((AI24&lt;&gt;"Xm"),"_m","")&amp;IF((AI24&lt;&gt;"Xp"),"_p","")&amp;IF((AI24&lt;&gt;"Xn"),"_n","")&amp;", ")))</f>
        <v>CONTI A, </v>
      </c>
      <c r="BX24" s="8" t="str">
        <f>IF(0+(AJ24="X")+(AJ24="Gn")+(AJ24="C")+(AJ23="Gn")&gt;0,"",IF(0+((AJ24&lt;&gt;"Xm"))+((AJ24&lt;&gt;"Xp"))+((AJ24&lt;&gt;"Xn"))=0,"",IF(0+((AJ24&lt;&gt;"Xm"))+((AJ24&lt;&gt;"Xp"))+((AJ24&lt;&gt;"Xn"))=3,AJ$3&amp;", ",AJ$3&amp;IF((AJ24&lt;&gt;"Xm"),"_m","")&amp;IF((AJ24&lt;&gt;"Xp"),"_p","")&amp;IF((AJ24&lt;&gt;"Xn"),"_n","")&amp;", ")))</f>
        <v>CONTI S, </v>
      </c>
      <c r="BY24" s="8" t="str">
        <f>IF(0+(AK24="X")+(AK24="Gn")+(AK24="C")+(AK23="Gn")&gt;0,"",IF(0+((AK24&lt;&gt;"Xm"))+((AK24&lt;&gt;"Xp"))+((AK24&lt;&gt;"Xn"))=0,"",IF(0+((AK24&lt;&gt;"Xm"))+((AK24&lt;&gt;"Xp"))+((AK24&lt;&gt;"Xn"))=3,AK$3&amp;", ",AK$3&amp;IF((AK24&lt;&gt;"Xm"),"_m","")&amp;IF((AK24&lt;&gt;"Xp"),"_p","")&amp;IF((AK24&lt;&gt;"Xn"),"_n","")&amp;", ")))</f>
        <v>FERRARI, </v>
      </c>
      <c r="BZ24" s="8" t="str">
        <f>IF(0+(AL24="X")+(AL24="Gn")+(AL24="C")+(AL23="Gn")&gt;0,"",IF(0+((AL24&lt;&gt;"Xm"))+((AL24&lt;&gt;"Xp"))+((AL24&lt;&gt;"Xn"))=0,"",IF(0+((AL24&lt;&gt;"Xm"))+((AL24&lt;&gt;"Xp"))+((AL24&lt;&gt;"Xn"))=3,AL$3&amp;", ",AL$3&amp;IF((AL24&lt;&gt;"Xm"),"_m","")&amp;IF((AL24&lt;&gt;"Xp"),"_p","")&amp;IF((AL24&lt;&gt;"Xn"),"_n","")&amp;", ")))</f>
        <v>GRECO, </v>
      </c>
      <c r="CA24" s="8" t="str">
        <f>IF(0+(AM24="X")+(AM24="Gn")+(AM24="C")+(AM23="Gn")&gt;0,"",IF(0+((AM24&lt;&gt;"Xm"))+((AM24&lt;&gt;"Xp"))+((AM24&lt;&gt;"Xn"))=0,"",IF(0+((AM24&lt;&gt;"Xm"))+((AM24&lt;&gt;"Xp"))+((AM24&lt;&gt;"Xn"))=3,AM$3&amp;", ",AM$3&amp;IF((AM24&lt;&gt;"Xm"),"_m","")&amp;IF((AM24&lt;&gt;"Xp"),"_p","")&amp;IF((AM24&lt;&gt;"Xn"),"_n","")&amp;", ")))</f>
        <v>SANNA, </v>
      </c>
      <c r="CB24" s="8" t="str">
        <f>IF(0+(AN24="X")+(AN24="Gn")+(AN24="C")+(AN23="Gn")&gt;0,"",IF(0+((AN24&lt;&gt;"Xm"))+((AN24&lt;&gt;"Xp"))+((AN24&lt;&gt;"Xn"))=0,"",IF(0+((AN24&lt;&gt;"Xm"))+((AN24&lt;&gt;"Xp"))+((AN24&lt;&gt;"Xn"))=3,AN$3&amp;", ",AN$3&amp;IF((AN24&lt;&gt;"Xm"),"_m","")&amp;IF((AN24&lt;&gt;"Xp"),"_p","")&amp;IF((AN24&lt;&gt;"Xn"),"_n","")&amp;", ")))</f>
        <v>LI, </v>
      </c>
      <c r="CC24" s="8" t="n"/>
      <c r="CD24" s="8" t="str">
        <f>IF(0+(AA24="X")+(AA24="Gn")+(AA24="C")+(AA23="Gn")&gt;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8" t="str">
        <f>IF(0+(AB24="X")+(AB24="Gn")+(AB24="C")+(AB23="Gn")&gt;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8" t="str">
        <f>IF(0+(AC24="X")+(AC24="Gn")+(AC24="C")+(AC23="Gn")&gt;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8" t="str">
        <f>IF(0+(AD24="X")+(AD24="Gn")+(AD24="C")+(AD23="Gn")&gt;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8" t="str">
        <f>IF(0+(AE24="X")+(AE24="Gn")+(AE24="C")+(AE23="Gn")&gt;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8" t="str">
        <f>IF(0+(AF24="X")+(AF24="Gn")+(AF24="C")+(AF23="Gn")&gt;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8" t="str">
        <f>IF(0+(AG24="X")+(AG24="Gn")+(AG24="C")+(AG23="Gn")&gt;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8" t="str">
        <f>IF(0+(AH24="X")+(AH24="Gn")+(AH24="C")+(AH23="Gn")&gt;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8" t="str">
        <f>IF(0+(AI24="X")+(AI24="Gn")+(AI24="C")+(AI23="Gn")&gt;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8" t="str">
        <f>IF(0+(AJ24="X")+(AJ24="Gn")+(AJ24="C")+(AJ23="Gn")&gt;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8" t="str">
        <f>IF(0+(AK24="X")+(AK24="Gn")+(AK24="C")+(AK23="Gn")&gt;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8" t="str">
        <f>IF(0+(AL24="X")+(AL24="Gn")+(AL24="C")+(AL23="Gn")&gt;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8" t="str">
        <f>IF(0+(AM24="X")+(AM24="Gn")+(AM24="C")+(AM23="Gn")&gt;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8" t="str">
        <f>IF(0+(AN24="X")+(AN24="Gn")+(AN24="C")+(AN23="Gn")&gt;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>
      <c r="A25" s="3" t="str">
        <f>CHOOSE(WEEKDAY(DATE($B$1,$A$2,B25),2),"lunedì","martedì","mercoledì","giovedì","venerdì","sabato","domenica")</f>
        <v>domenica</v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>
        <f>IF(SUMPRODUCT(($C$3:$P$3&lt;&gt;"")*($C25:$P25&lt;&gt;"")*(COUNTIFS($C25:$P25,$C25:$P25,$C$3:$P$3,$C$3:$P$3)&gt;1))&gt;0,"X","")</f>
      </c>
      <c r="S25" s="3" t="str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3" t="str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3" t="str">
        <f>A25</f>
        <v>domenica</v>
      </c>
      <c r="Z25" s="3">
        <f>B25</f>
        <v>22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 t="str">
        <f>IF(0+(AA25="X")+(AA25="Gn")+(AA25="C")+(AA24="Gn")&gt;0,"",IF(0+((AA25&lt;&gt;"Xm"))+((AA25&lt;&gt;"Xp"))+((AA25&lt;&gt;"Xn"))=0,"",IF(0+((AA25&lt;&gt;"Xm"))+((AA25&lt;&gt;"Xp"))+((AA25&lt;&gt;"Xn"))=3,AA$3&amp;", ",AA$3&amp;IF((AA25&lt;&gt;"Xm"),"_m","")&amp;IF((AA25&lt;&gt;"Xp"),"_p","")&amp;IF((AA25&lt;&gt;"Xn"),"_n","")&amp;", ")))</f>
        <v>LEONI, </v>
      </c>
      <c r="BP25" s="8" t="str">
        <f>IF(0+(AB25="X")+(AB25="Gn")+(AB25="C")+(AB24="Gn")&gt;0,"",IF(0+((AB25&lt;&gt;"Xm"))+((AB25&lt;&gt;"Xp"))+((AB25&lt;&gt;"Xn"))=0,"",IF(0+((AB25&lt;&gt;"Xm"))+((AB25&lt;&gt;"Xp"))+((AB25&lt;&gt;"Xn"))=3,AB$3&amp;", ",AB$3&amp;IF((AB25&lt;&gt;"Xm"),"_m","")&amp;IF((AB25&lt;&gt;"Xp"),"_p","")&amp;IF((AB25&lt;&gt;"Xn"),"_n","")&amp;", ")))</f>
        <v>ROSSI M, </v>
      </c>
      <c r="BQ25" s="8" t="str">
        <f>IF(0+(AC25="X")+(AC25="Gn")+(AC25="C")+(AC24="Gn")&gt;0,"",IF(0+((AC25&lt;&gt;"Xm"))+((AC25&lt;&gt;"Xp"))+((AC25&lt;&gt;"Xn"))=0,"",IF(0+((AC25&lt;&gt;"Xm"))+((AC25&lt;&gt;"Xp"))+((AC25&lt;&gt;"Xn"))=3,AC$3&amp;", ",AC$3&amp;IF((AC25&lt;&gt;"Xm"),"_m","")&amp;IF((AC25&lt;&gt;"Xp"),"_p","")&amp;IF((AC25&lt;&gt;"Xn"),"_n","")&amp;", ")))</f>
        <v>ROSSI L, </v>
      </c>
      <c r="BR25" s="8" t="str">
        <f>IF(0+(AD25="X")+(AD25="Gn")+(AD25="C")+(AD24="Gn")&gt;0,"",IF(0+((AD25&lt;&gt;"Xm"))+((AD25&lt;&gt;"Xp"))+((AD25&lt;&gt;"Xn"))=0,"",IF(0+((AD25&lt;&gt;"Xm"))+((AD25&lt;&gt;"Xp"))+((AD25&lt;&gt;"Xn"))=3,AD$3&amp;", ",AD$3&amp;IF((AD25&lt;&gt;"Xm"),"_m","")&amp;IF((AD25&lt;&gt;"Xp"),"_p","")&amp;IF((AD25&lt;&gt;"Xn"),"_n","")&amp;", ")))</f>
        <v>GALLINA, </v>
      </c>
      <c r="BS25" s="8" t="str">
        <f>IF(0+(AE25="X")+(AE25="Gn")+(AE25="C")+(AE24="Gn")&gt;0,"",IF(0+((AE25&lt;&gt;"Xm"))+((AE25&lt;&gt;"Xp"))+((AE25&lt;&gt;"Xn"))=0,"",IF(0+((AE25&lt;&gt;"Xm"))+((AE25&lt;&gt;"Xp"))+((AE25&lt;&gt;"Xn"))=3,AE$3&amp;", ",AE$3&amp;IF((AE25&lt;&gt;"Xm"),"_m","")&amp;IF((AE25&lt;&gt;"Xp"),"_p","")&amp;IF((AE25&lt;&gt;"Xn"),"_n","")&amp;", ")))</f>
        <v>RUSSO, </v>
      </c>
      <c r="BT25" s="8" t="str">
        <f>IF(0+(AF25="X")+(AF25="Gn")+(AF25="C")+(AF24="Gn")&gt;0,"",IF(0+((AF25&lt;&gt;"Xm"))+((AF25&lt;&gt;"Xp"))+((AF25&lt;&gt;"Xn"))=0,"",IF(0+((AF25&lt;&gt;"Xm"))+((AF25&lt;&gt;"Xp"))+((AF25&lt;&gt;"Xn"))=3,AF$3&amp;", ",AF$3&amp;IF((AF25&lt;&gt;"Xm"),"_m","")&amp;IF((AF25&lt;&gt;"Xp"),"_p","")&amp;IF((AF25&lt;&gt;"Xn"),"_n","")&amp;", ")))</f>
        <v>VERDI, </v>
      </c>
      <c r="BU25" s="8" t="str">
        <f>IF(0+(AG25="X")+(AG25="Gn")+(AG25="C")+(AG24="Gn")&gt;0,"",IF(0+((AG25&lt;&gt;"Xm"))+((AG25&lt;&gt;"Xp"))+((AG25&lt;&gt;"Xn"))=0,"",IF(0+((AG25&lt;&gt;"Xm"))+((AG25&lt;&gt;"Xp"))+((AG25&lt;&gt;"Xn"))=3,AG$3&amp;", ",AG$3&amp;IF((AG25&lt;&gt;"Xm"),"_m","")&amp;IF((AG25&lt;&gt;"Xp"),"_p","")&amp;IF((AG25&lt;&gt;"Xn"),"_n","")&amp;", ")))</f>
        <v>HU, </v>
      </c>
      <c r="BV25" s="8" t="str">
        <f>IF(0+(AH25="X")+(AH25="Gn")+(AH25="C")+(AH24="Gn")&gt;0,"",IF(0+((AH25&lt;&gt;"Xm"))+((AH25&lt;&gt;"Xp"))+((AH25&lt;&gt;"Xn"))=0,"",IF(0+((AH25&lt;&gt;"Xm"))+((AH25&lt;&gt;"Xp"))+((AH25&lt;&gt;"Xn"))=3,AH$3&amp;", ",AH$3&amp;IF((AH25&lt;&gt;"Xm"),"_m","")&amp;IF((AH25&lt;&gt;"Xp"),"_p","")&amp;IF((AH25&lt;&gt;"Xn"),"_n","")&amp;", ")))</f>
        <v>MARINI, </v>
      </c>
      <c r="BW25" s="8" t="str">
        <f>IF(0+(AI25="X")+(AI25="Gn")+(AI25="C")+(AI24="Gn")&gt;0,"",IF(0+((AI25&lt;&gt;"Xm"))+((AI25&lt;&gt;"Xp"))+((AI25&lt;&gt;"Xn"))=0,"",IF(0+((AI25&lt;&gt;"Xm"))+((AI25&lt;&gt;"Xp"))+((AI25&lt;&gt;"Xn"))=3,AI$3&amp;", ",AI$3&amp;IF((AI25&lt;&gt;"Xm"),"_m","")&amp;IF((AI25&lt;&gt;"Xp"),"_p","")&amp;IF((AI25&lt;&gt;"Xn"),"_n","")&amp;", ")))</f>
        <v>CONTI A, </v>
      </c>
      <c r="BX25" s="8" t="str">
        <f>IF(0+(AJ25="X")+(AJ25="Gn")+(AJ25="C")+(AJ24="Gn")&gt;0,"",IF(0+((AJ25&lt;&gt;"Xm"))+((AJ25&lt;&gt;"Xp"))+((AJ25&lt;&gt;"Xn"))=0,"",IF(0+((AJ25&lt;&gt;"Xm"))+((AJ25&lt;&gt;"Xp"))+((AJ25&lt;&gt;"Xn"))=3,AJ$3&amp;", ",AJ$3&amp;IF((AJ25&lt;&gt;"Xm"),"_m","")&amp;IF((AJ25&lt;&gt;"Xp"),"_p","")&amp;IF((AJ25&lt;&gt;"Xn"),"_n","")&amp;", ")))</f>
        <v>CONTI S, </v>
      </c>
      <c r="BY25" s="8" t="str">
        <f>IF(0+(AK25="X")+(AK25="Gn")+(AK25="C")+(AK24="Gn")&gt;0,"",IF(0+((AK25&lt;&gt;"Xm"))+((AK25&lt;&gt;"Xp"))+((AK25&lt;&gt;"Xn"))=0,"",IF(0+((AK25&lt;&gt;"Xm"))+((AK25&lt;&gt;"Xp"))+((AK25&lt;&gt;"Xn"))=3,AK$3&amp;", ",AK$3&amp;IF((AK25&lt;&gt;"Xm"),"_m","")&amp;IF((AK25&lt;&gt;"Xp"),"_p","")&amp;IF((AK25&lt;&gt;"Xn"),"_n","")&amp;", ")))</f>
        <v>FERRARI, </v>
      </c>
      <c r="BZ25" s="8" t="str">
        <f>IF(0+(AL25="X")+(AL25="Gn")+(AL25="C")+(AL24="Gn")&gt;0,"",IF(0+((AL25&lt;&gt;"Xm"))+((AL25&lt;&gt;"Xp"))+((AL25&lt;&gt;"Xn"))=0,"",IF(0+((AL25&lt;&gt;"Xm"))+((AL25&lt;&gt;"Xp"))+((AL25&lt;&gt;"Xn"))=3,AL$3&amp;", ",AL$3&amp;IF((AL25&lt;&gt;"Xm"),"_m","")&amp;IF((AL25&lt;&gt;"Xp"),"_p","")&amp;IF((AL25&lt;&gt;"Xn"),"_n","")&amp;", ")))</f>
        <v>GRECO, </v>
      </c>
      <c r="CA25" s="8" t="str">
        <f>IF(0+(AM25="X")+(AM25="Gn")+(AM25="C")+(AM24="Gn")&gt;0,"",IF(0+((AM25&lt;&gt;"Xm"))+((AM25&lt;&gt;"Xp"))+((AM25&lt;&gt;"Xn"))=0,"",IF(0+((AM25&lt;&gt;"Xm"))+((AM25&lt;&gt;"Xp"))+((AM25&lt;&gt;"Xn"))=3,AM$3&amp;", ",AM$3&amp;IF((AM25&lt;&gt;"Xm"),"_m","")&amp;IF((AM25&lt;&gt;"Xp"),"_p","")&amp;IF((AM25&lt;&gt;"Xn"),"_n","")&amp;", ")))</f>
        <v>SANNA, </v>
      </c>
      <c r="CB25" s="8" t="str">
        <f>IF(0+(AN25="X")+(AN25="Gn")+(AN25="C")+(AN24="Gn")&gt;0,"",IF(0+((AN25&lt;&gt;"Xm"))+((AN25&lt;&gt;"Xp"))+((AN25&lt;&gt;"Xn"))=0,"",IF(0+((AN25&lt;&gt;"Xm"))+((AN25&lt;&gt;"Xp"))+((AN25&lt;&gt;"Xn"))=3,AN$3&amp;", ",AN$3&amp;IF((AN25&lt;&gt;"Xm"),"_m","")&amp;IF((AN25&lt;&gt;"Xp"),"_p","")&amp;IF((AN25&lt;&gt;"Xn"),"_n","")&amp;", ")))</f>
        <v>LI, </v>
      </c>
      <c r="CC25" s="8" t="n"/>
      <c r="CD25" s="8" t="str">
        <f>IF(0+(AA25="X")+(AA25="Gn")+(AA25="C")+(AA24="Gn")&gt;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8" t="str">
        <f>IF(0+(AB25="X")+(AB25="Gn")+(AB25="C")+(AB24="Gn")&gt;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8" t="str">
        <f>IF(0+(AC25="X")+(AC25="Gn")+(AC25="C")+(AC24="Gn")&gt;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8" t="str">
        <f>IF(0+(AD25="X")+(AD25="Gn")+(AD25="C")+(AD24="Gn")&gt;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8" t="str">
        <f>IF(0+(AE25="X")+(AE25="Gn")+(AE25="C")+(AE24="Gn")&gt;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8" t="str">
        <f>IF(0+(AF25="X")+(AF25="Gn")+(AF25="C")+(AF24="Gn")&gt;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8" t="str">
        <f>IF(0+(AG25="X")+(AG25="Gn")+(AG25="C")+(AG24="Gn")&gt;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8" t="str">
        <f>IF(0+(AH25="X")+(AH25="Gn")+(AH25="C")+(AH24="Gn")&gt;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8" t="str">
        <f>IF(0+(AI25="X")+(AI25="Gn")+(AI25="C")+(AI24="Gn")&gt;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8" t="str">
        <f>IF(0+(AJ25="X")+(AJ25="Gn")+(AJ25="C")+(AJ24="Gn")&gt;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8" t="str">
        <f>IF(0+(AK25="X")+(AK25="Gn")+(AK25="C")+(AK24="Gn")&gt;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8" t="str">
        <f>IF(0+(AL25="X")+(AL25="Gn")+(AL25="C")+(AL24="Gn")&gt;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8" t="str">
        <f>IF(0+(AM25="X")+(AM25="Gn")+(AM25="C")+(AM24="Gn")&gt;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8" t="str">
        <f>IF(0+(AN25="X")+(AN25="Gn")+(AN25="C")+(AN24="Gn")&gt;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IF(SUMPRODUCT(($C$3:$P$3&lt;&gt;"")*($C26:$P26&lt;&gt;"")*(COUNTIFS($C26:$P26,$C26:$P26,$C$3:$P$3,$C$3:$P$3)&gt;1))&gt;0,"X","")</f>
      </c>
      <c r="S26" s="10" t="str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0" t="str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9" t="str">
        <f>A26</f>
        <v>lunedì</v>
      </c>
      <c r="Z26" s="9">
        <f>B26</f>
        <v>23</v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 t="str">
        <f>IF(0+(AA26="X")+(AA26="Gn")+(AA26="C")+(AA25="Gn")&gt;0,"",IF(0+((AA26&lt;&gt;"Xm"))+((AA26&lt;&gt;"Xp"))+((AA26&lt;&gt;"Xn"))=0,"",IF(0+((AA26&lt;&gt;"Xm"))+((AA26&lt;&gt;"Xp"))+((AA26&lt;&gt;"Xn"))=3,AA$3&amp;", ",AA$3&amp;IF((AA26&lt;&gt;"Xm"),"_m","")&amp;IF((AA26&lt;&gt;"Xp"),"_p","")&amp;IF((AA26&lt;&gt;"Xn"),"_n","")&amp;", ")))</f>
        <v>LEONI, </v>
      </c>
      <c r="BP26" s="8" t="str">
        <f>IF(0+(AB26="X")+(AB26="Gn")+(AB26="C")+(AB25="Gn")&gt;0,"",IF(0+((AB26&lt;&gt;"Xm"))+((AB26&lt;&gt;"Xp"))+((AB26&lt;&gt;"Xn"))=0,"",IF(0+((AB26&lt;&gt;"Xm"))+((AB26&lt;&gt;"Xp"))+((AB26&lt;&gt;"Xn"))=3,AB$3&amp;", ",AB$3&amp;IF((AB26&lt;&gt;"Xm"),"_m","")&amp;IF((AB26&lt;&gt;"Xp"),"_p","")&amp;IF((AB26&lt;&gt;"Xn"),"_n","")&amp;", ")))</f>
        <v>ROSSI M, </v>
      </c>
      <c r="BQ26" s="8" t="str">
        <f>IF(0+(AC26="X")+(AC26="Gn")+(AC26="C")+(AC25="Gn")&gt;0,"",IF(0+((AC26&lt;&gt;"Xm"))+((AC26&lt;&gt;"Xp"))+((AC26&lt;&gt;"Xn"))=0,"",IF(0+((AC26&lt;&gt;"Xm"))+((AC26&lt;&gt;"Xp"))+((AC26&lt;&gt;"Xn"))=3,AC$3&amp;", ",AC$3&amp;IF((AC26&lt;&gt;"Xm"),"_m","")&amp;IF((AC26&lt;&gt;"Xp"),"_p","")&amp;IF((AC26&lt;&gt;"Xn"),"_n","")&amp;", ")))</f>
        <v>ROSSI L, </v>
      </c>
      <c r="BR26" s="8" t="str">
        <f>IF(0+(AD26="X")+(AD26="Gn")+(AD26="C")+(AD25="Gn")&gt;0,"",IF(0+((AD26&lt;&gt;"Xm"))+((AD26&lt;&gt;"Xp"))+((AD26&lt;&gt;"Xn"))=0,"",IF(0+((AD26&lt;&gt;"Xm"))+((AD26&lt;&gt;"Xp"))+((AD26&lt;&gt;"Xn"))=3,AD$3&amp;", ",AD$3&amp;IF((AD26&lt;&gt;"Xm"),"_m","")&amp;IF((AD26&lt;&gt;"Xp"),"_p","")&amp;IF((AD26&lt;&gt;"Xn"),"_n","")&amp;", ")))</f>
        <v>GALLINA, </v>
      </c>
      <c r="BS26" s="8" t="str">
        <f>IF(0+(AE26="X")+(AE26="Gn")+(AE26="C")+(AE25="Gn")&gt;0,"",IF(0+((AE26&lt;&gt;"Xm"))+((AE26&lt;&gt;"Xp"))+((AE26&lt;&gt;"Xn"))=0,"",IF(0+((AE26&lt;&gt;"Xm"))+((AE26&lt;&gt;"Xp"))+((AE26&lt;&gt;"Xn"))=3,AE$3&amp;", ",AE$3&amp;IF((AE26&lt;&gt;"Xm"),"_m","")&amp;IF((AE26&lt;&gt;"Xp"),"_p","")&amp;IF((AE26&lt;&gt;"Xn"),"_n","")&amp;", ")))</f>
        <v>RUSSO, </v>
      </c>
      <c r="BT26" s="8" t="str">
        <f>IF(0+(AF26="X")+(AF26="Gn")+(AF26="C")+(AF25="Gn")&gt;0,"",IF(0+((AF26&lt;&gt;"Xm"))+((AF26&lt;&gt;"Xp"))+((AF26&lt;&gt;"Xn"))=0,"",IF(0+((AF26&lt;&gt;"Xm"))+((AF26&lt;&gt;"Xp"))+((AF26&lt;&gt;"Xn"))=3,AF$3&amp;", ",AF$3&amp;IF((AF26&lt;&gt;"Xm"),"_m","")&amp;IF((AF26&lt;&gt;"Xp"),"_p","")&amp;IF((AF26&lt;&gt;"Xn"),"_n","")&amp;", ")))</f>
        <v>VERDI, </v>
      </c>
      <c r="BU26" s="8" t="str">
        <f>IF(0+(AG26="X")+(AG26="Gn")+(AG26="C")+(AG25="Gn")&gt;0,"",IF(0+((AG26&lt;&gt;"Xm"))+((AG26&lt;&gt;"Xp"))+((AG26&lt;&gt;"Xn"))=0,"",IF(0+((AG26&lt;&gt;"Xm"))+((AG26&lt;&gt;"Xp"))+((AG26&lt;&gt;"Xn"))=3,AG$3&amp;", ",AG$3&amp;IF((AG26&lt;&gt;"Xm"),"_m","")&amp;IF((AG26&lt;&gt;"Xp"),"_p","")&amp;IF((AG26&lt;&gt;"Xn"),"_n","")&amp;", ")))</f>
        <v>HU, </v>
      </c>
      <c r="BV26" s="8" t="str">
        <f>IF(0+(AH26="X")+(AH26="Gn")+(AH26="C")+(AH25="Gn")&gt;0,"",IF(0+((AH26&lt;&gt;"Xm"))+((AH26&lt;&gt;"Xp"))+((AH26&lt;&gt;"Xn"))=0,"",IF(0+((AH26&lt;&gt;"Xm"))+((AH26&lt;&gt;"Xp"))+((AH26&lt;&gt;"Xn"))=3,AH$3&amp;", ",AH$3&amp;IF((AH26&lt;&gt;"Xm"),"_m","")&amp;IF((AH26&lt;&gt;"Xp"),"_p","")&amp;IF((AH26&lt;&gt;"Xn"),"_n","")&amp;", ")))</f>
        <v>MARINI, </v>
      </c>
      <c r="BW26" s="8" t="str">
        <f>IF(0+(AI26="X")+(AI26="Gn")+(AI26="C")+(AI25="Gn")&gt;0,"",IF(0+((AI26&lt;&gt;"Xm"))+((AI26&lt;&gt;"Xp"))+((AI26&lt;&gt;"Xn"))=0,"",IF(0+((AI26&lt;&gt;"Xm"))+((AI26&lt;&gt;"Xp"))+((AI26&lt;&gt;"Xn"))=3,AI$3&amp;", ",AI$3&amp;IF((AI26&lt;&gt;"Xm"),"_m","")&amp;IF((AI26&lt;&gt;"Xp"),"_p","")&amp;IF((AI26&lt;&gt;"Xn"),"_n","")&amp;", ")))</f>
        <v>CONTI A, </v>
      </c>
      <c r="BX26" s="8" t="str">
        <f>IF(0+(AJ26="X")+(AJ26="Gn")+(AJ26="C")+(AJ25="Gn")&gt;0,"",IF(0+((AJ26&lt;&gt;"Xm"))+((AJ26&lt;&gt;"Xp"))+((AJ26&lt;&gt;"Xn"))=0,"",IF(0+((AJ26&lt;&gt;"Xm"))+((AJ26&lt;&gt;"Xp"))+((AJ26&lt;&gt;"Xn"))=3,AJ$3&amp;", ",AJ$3&amp;IF((AJ26&lt;&gt;"Xm"),"_m","")&amp;IF((AJ26&lt;&gt;"Xp"),"_p","")&amp;IF((AJ26&lt;&gt;"Xn"),"_n","")&amp;", ")))</f>
        <v>CONTI S, </v>
      </c>
      <c r="BY26" s="8" t="str">
        <f>IF(0+(AK26="X")+(AK26="Gn")+(AK26="C")+(AK25="Gn")&gt;0,"",IF(0+((AK26&lt;&gt;"Xm"))+((AK26&lt;&gt;"Xp"))+((AK26&lt;&gt;"Xn"))=0,"",IF(0+((AK26&lt;&gt;"Xm"))+((AK26&lt;&gt;"Xp"))+((AK26&lt;&gt;"Xn"))=3,AK$3&amp;", ",AK$3&amp;IF((AK26&lt;&gt;"Xm"),"_m","")&amp;IF((AK26&lt;&gt;"Xp"),"_p","")&amp;IF((AK26&lt;&gt;"Xn"),"_n","")&amp;", ")))</f>
        <v>FERRARI, </v>
      </c>
      <c r="BZ26" s="8" t="str">
        <f>IF(0+(AL26="X")+(AL26="Gn")+(AL26="C")+(AL25="Gn")&gt;0,"",IF(0+((AL26&lt;&gt;"Xm"))+((AL26&lt;&gt;"Xp"))+((AL26&lt;&gt;"Xn"))=0,"",IF(0+((AL26&lt;&gt;"Xm"))+((AL26&lt;&gt;"Xp"))+((AL26&lt;&gt;"Xn"))=3,AL$3&amp;", ",AL$3&amp;IF((AL26&lt;&gt;"Xm"),"_m","")&amp;IF((AL26&lt;&gt;"Xp"),"_p","")&amp;IF((AL26&lt;&gt;"Xn"),"_n","")&amp;", ")))</f>
        <v>GRECO, </v>
      </c>
      <c r="CA26" s="8" t="str">
        <f>IF(0+(AM26="X")+(AM26="Gn")+(AM26="C")+(AM25="Gn")&gt;0,"",IF(0+((AM26&lt;&gt;"Xm"))+((AM26&lt;&gt;"Xp"))+((AM26&lt;&gt;"Xn"))=0,"",IF(0+((AM26&lt;&gt;"Xm"))+((AM26&lt;&gt;"Xp"))+((AM26&lt;&gt;"Xn"))=3,AM$3&amp;", ",AM$3&amp;IF((AM26&lt;&gt;"Xm"),"_m","")&amp;IF((AM26&lt;&gt;"Xp"),"_p","")&amp;IF((AM26&lt;&gt;"Xn"),"_n","")&amp;", ")))</f>
        <v>SANNA, </v>
      </c>
      <c r="CB26" s="8" t="str">
        <f>IF(0+(AN26="X")+(AN26="Gn")+(AN26="C")+(AN25="Gn")&gt;0,"",IF(0+((AN26&lt;&gt;"Xm"))+((AN26&lt;&gt;"Xp"))+((AN26&lt;&gt;"Xn"))=0,"",IF(0+((AN26&lt;&gt;"Xm"))+((AN26&lt;&gt;"Xp"))+((AN26&lt;&gt;"Xn"))=3,AN$3&amp;", ",AN$3&amp;IF((AN26&lt;&gt;"Xm"),"_m","")&amp;IF((AN26&lt;&gt;"Xp"),"_p","")&amp;IF((AN26&lt;&gt;"Xn"),"_n","")&amp;", ")))</f>
        <v>LI, </v>
      </c>
      <c r="CC26" s="8" t="n"/>
      <c r="CD26" s="8" t="str">
        <f>IF(0+(AA26="X")+(AA26="Gn")+(AA26="C")+(AA25="Gn")&gt;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8" t="str">
        <f>IF(0+(AB26="X")+(AB26="Gn")+(AB26="C")+(AB25="Gn")&gt;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8" t="str">
        <f>IF(0+(AC26="X")+(AC26="Gn")+(AC26="C")+(AC25="Gn")&gt;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8" t="str">
        <f>IF(0+(AD26="X")+(AD26="Gn")+(AD26="C")+(AD25="Gn")&gt;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8" t="str">
        <f>IF(0+(AE26="X")+(AE26="Gn")+(AE26="C")+(AE25="Gn")&gt;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8" t="str">
        <f>IF(0+(AF26="X")+(AF26="Gn")+(AF26="C")+(AF25="Gn")&gt;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8" t="str">
        <f>IF(0+(AG26="X")+(AG26="Gn")+(AG26="C")+(AG25="Gn")&gt;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8" t="str">
        <f>IF(0+(AH26="X")+(AH26="Gn")+(AH26="C")+(AH25="Gn")&gt;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8" t="str">
        <f>IF(0+(AI26="X")+(AI26="Gn")+(AI26="C")+(AI25="Gn")&gt;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8" t="str">
        <f>IF(0+(AJ26="X")+(AJ26="Gn")+(AJ26="C")+(AJ25="Gn")&gt;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8" t="str">
        <f>IF(0+(AK26="X")+(AK26="Gn")+(AK26="C")+(AK25="Gn")&gt;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8" t="str">
        <f>IF(0+(AL26="X")+(AL26="Gn")+(AL26="C")+(AL25="Gn")&gt;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8" t="str">
        <f>IF(0+(AM26="X")+(AM26="Gn")+(AM26="C")+(AM25="Gn")&gt;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8" t="str">
        <f>IF(0+(AN26="X")+(AN26="Gn")+(AN26="C")+(AN25="Gn")&gt;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IF(SUMPRODUCT(($C$3:$P$3&lt;&gt;"")*($C27:$P27&lt;&gt;"")*(COUNTIFS($C27:$P27,$C27:$P27,$C$3:$P$3,$C$3:$P$3)&gt;1))&gt;0,"X","")</f>
      </c>
      <c r="S27" s="10" t="str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0" t="str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9" t="str">
        <f>A27</f>
        <v>martedì</v>
      </c>
      <c r="Z27" s="9">
        <f>B27</f>
        <v>24</v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 t="str">
        <f>IF(0+(AA27="X")+(AA27="Gn")+(AA27="C")+(AA26="Gn")&gt;0,"",IF(0+((AA27&lt;&gt;"Xm"))+((AA27&lt;&gt;"Xp"))+((AA27&lt;&gt;"Xn"))=0,"",IF(0+((AA27&lt;&gt;"Xm"))+((AA27&lt;&gt;"Xp"))+((AA27&lt;&gt;"Xn"))=3,AA$3&amp;", ",AA$3&amp;IF((AA27&lt;&gt;"Xm"),"_m","")&amp;IF((AA27&lt;&gt;"Xp"),"_p","")&amp;IF((AA27&lt;&gt;"Xn"),"_n","")&amp;", ")))</f>
        <v>LEONI, </v>
      </c>
      <c r="BP27" s="8" t="str">
        <f>IF(0+(AB27="X")+(AB27="Gn")+(AB27="C")+(AB26="Gn")&gt;0,"",IF(0+((AB27&lt;&gt;"Xm"))+((AB27&lt;&gt;"Xp"))+((AB27&lt;&gt;"Xn"))=0,"",IF(0+((AB27&lt;&gt;"Xm"))+((AB27&lt;&gt;"Xp"))+((AB27&lt;&gt;"Xn"))=3,AB$3&amp;", ",AB$3&amp;IF((AB27&lt;&gt;"Xm"),"_m","")&amp;IF((AB27&lt;&gt;"Xp"),"_p","")&amp;IF((AB27&lt;&gt;"Xn"),"_n","")&amp;", ")))</f>
        <v>ROSSI M, </v>
      </c>
      <c r="BQ27" s="8" t="str">
        <f>IF(0+(AC27="X")+(AC27="Gn")+(AC27="C")+(AC26="Gn")&gt;0,"",IF(0+((AC27&lt;&gt;"Xm"))+((AC27&lt;&gt;"Xp"))+((AC27&lt;&gt;"Xn"))=0,"",IF(0+((AC27&lt;&gt;"Xm"))+((AC27&lt;&gt;"Xp"))+((AC27&lt;&gt;"Xn"))=3,AC$3&amp;", ",AC$3&amp;IF((AC27&lt;&gt;"Xm"),"_m","")&amp;IF((AC27&lt;&gt;"Xp"),"_p","")&amp;IF((AC27&lt;&gt;"Xn"),"_n","")&amp;", ")))</f>
        <v>ROSSI L, </v>
      </c>
      <c r="BR27" s="8" t="str">
        <f>IF(0+(AD27="X")+(AD27="Gn")+(AD27="C")+(AD26="Gn")&gt;0,"",IF(0+((AD27&lt;&gt;"Xm"))+((AD27&lt;&gt;"Xp"))+((AD27&lt;&gt;"Xn"))=0,"",IF(0+((AD27&lt;&gt;"Xm"))+((AD27&lt;&gt;"Xp"))+((AD27&lt;&gt;"Xn"))=3,AD$3&amp;", ",AD$3&amp;IF((AD27&lt;&gt;"Xm"),"_m","")&amp;IF((AD27&lt;&gt;"Xp"),"_p","")&amp;IF((AD27&lt;&gt;"Xn"),"_n","")&amp;", ")))</f>
        <v>GALLINA, </v>
      </c>
      <c r="BS27" s="8" t="str">
        <f>IF(0+(AE27="X")+(AE27="Gn")+(AE27="C")+(AE26="Gn")&gt;0,"",IF(0+((AE27&lt;&gt;"Xm"))+((AE27&lt;&gt;"Xp"))+((AE27&lt;&gt;"Xn"))=0,"",IF(0+((AE27&lt;&gt;"Xm"))+((AE27&lt;&gt;"Xp"))+((AE27&lt;&gt;"Xn"))=3,AE$3&amp;", ",AE$3&amp;IF((AE27&lt;&gt;"Xm"),"_m","")&amp;IF((AE27&lt;&gt;"Xp"),"_p","")&amp;IF((AE27&lt;&gt;"Xn"),"_n","")&amp;", ")))</f>
        <v>RUSSO, </v>
      </c>
      <c r="BT27" s="8" t="str">
        <f>IF(0+(AF27="X")+(AF27="Gn")+(AF27="C")+(AF26="Gn")&gt;0,"",IF(0+((AF27&lt;&gt;"Xm"))+((AF27&lt;&gt;"Xp"))+((AF27&lt;&gt;"Xn"))=0,"",IF(0+((AF27&lt;&gt;"Xm"))+((AF27&lt;&gt;"Xp"))+((AF27&lt;&gt;"Xn"))=3,AF$3&amp;", ",AF$3&amp;IF((AF27&lt;&gt;"Xm"),"_m","")&amp;IF((AF27&lt;&gt;"Xp"),"_p","")&amp;IF((AF27&lt;&gt;"Xn"),"_n","")&amp;", ")))</f>
        <v>VERDI, </v>
      </c>
      <c r="BU27" s="8" t="str">
        <f>IF(0+(AG27="X")+(AG27="Gn")+(AG27="C")+(AG26="Gn")&gt;0,"",IF(0+((AG27&lt;&gt;"Xm"))+((AG27&lt;&gt;"Xp"))+((AG27&lt;&gt;"Xn"))=0,"",IF(0+((AG27&lt;&gt;"Xm"))+((AG27&lt;&gt;"Xp"))+((AG27&lt;&gt;"Xn"))=3,AG$3&amp;", ",AG$3&amp;IF((AG27&lt;&gt;"Xm"),"_m","")&amp;IF((AG27&lt;&gt;"Xp"),"_p","")&amp;IF((AG27&lt;&gt;"Xn"),"_n","")&amp;", ")))</f>
        <v>HU, </v>
      </c>
      <c r="BV27" s="8" t="str">
        <f>IF(0+(AH27="X")+(AH27="Gn")+(AH27="C")+(AH26="Gn")&gt;0,"",IF(0+((AH27&lt;&gt;"Xm"))+((AH27&lt;&gt;"Xp"))+((AH27&lt;&gt;"Xn"))=0,"",IF(0+((AH27&lt;&gt;"Xm"))+((AH27&lt;&gt;"Xp"))+((AH27&lt;&gt;"Xn"))=3,AH$3&amp;", ",AH$3&amp;IF((AH27&lt;&gt;"Xm"),"_m","")&amp;IF((AH27&lt;&gt;"Xp"),"_p","")&amp;IF((AH27&lt;&gt;"Xn"),"_n","")&amp;", ")))</f>
        <v>MARINI, </v>
      </c>
      <c r="BW27" s="8" t="str">
        <f>IF(0+(AI27="X")+(AI27="Gn")+(AI27="C")+(AI26="Gn")&gt;0,"",IF(0+((AI27&lt;&gt;"Xm"))+((AI27&lt;&gt;"Xp"))+((AI27&lt;&gt;"Xn"))=0,"",IF(0+((AI27&lt;&gt;"Xm"))+((AI27&lt;&gt;"Xp"))+((AI27&lt;&gt;"Xn"))=3,AI$3&amp;", ",AI$3&amp;IF((AI27&lt;&gt;"Xm"),"_m","")&amp;IF((AI27&lt;&gt;"Xp"),"_p","")&amp;IF((AI27&lt;&gt;"Xn"),"_n","")&amp;", ")))</f>
        <v>CONTI A, </v>
      </c>
      <c r="BX27" s="8" t="str">
        <f>IF(0+(AJ27="X")+(AJ27="Gn")+(AJ27="C")+(AJ26="Gn")&gt;0,"",IF(0+((AJ27&lt;&gt;"Xm"))+((AJ27&lt;&gt;"Xp"))+((AJ27&lt;&gt;"Xn"))=0,"",IF(0+((AJ27&lt;&gt;"Xm"))+((AJ27&lt;&gt;"Xp"))+((AJ27&lt;&gt;"Xn"))=3,AJ$3&amp;", ",AJ$3&amp;IF((AJ27&lt;&gt;"Xm"),"_m","")&amp;IF((AJ27&lt;&gt;"Xp"),"_p","")&amp;IF((AJ27&lt;&gt;"Xn"),"_n","")&amp;", ")))</f>
        <v>CONTI S, </v>
      </c>
      <c r="BY27" s="8" t="str">
        <f>IF(0+(AK27="X")+(AK27="Gn")+(AK27="C")+(AK26="Gn")&gt;0,"",IF(0+((AK27&lt;&gt;"Xm"))+((AK27&lt;&gt;"Xp"))+((AK27&lt;&gt;"Xn"))=0,"",IF(0+((AK27&lt;&gt;"Xm"))+((AK27&lt;&gt;"Xp"))+((AK27&lt;&gt;"Xn"))=3,AK$3&amp;", ",AK$3&amp;IF((AK27&lt;&gt;"Xm"),"_m","")&amp;IF((AK27&lt;&gt;"Xp"),"_p","")&amp;IF((AK27&lt;&gt;"Xn"),"_n","")&amp;", ")))</f>
        <v>FERRARI, </v>
      </c>
      <c r="BZ27" s="8" t="str">
        <f>IF(0+(AL27="X")+(AL27="Gn")+(AL27="C")+(AL26="Gn")&gt;0,"",IF(0+((AL27&lt;&gt;"Xm"))+((AL27&lt;&gt;"Xp"))+((AL27&lt;&gt;"Xn"))=0,"",IF(0+((AL27&lt;&gt;"Xm"))+((AL27&lt;&gt;"Xp"))+((AL27&lt;&gt;"Xn"))=3,AL$3&amp;", ",AL$3&amp;IF((AL27&lt;&gt;"Xm"),"_m","")&amp;IF((AL27&lt;&gt;"Xp"),"_p","")&amp;IF((AL27&lt;&gt;"Xn"),"_n","")&amp;", ")))</f>
        <v>GRECO, </v>
      </c>
      <c r="CA27" s="8" t="str">
        <f>IF(0+(AM27="X")+(AM27="Gn")+(AM27="C")+(AM26="Gn")&gt;0,"",IF(0+((AM27&lt;&gt;"Xm"))+((AM27&lt;&gt;"Xp"))+((AM27&lt;&gt;"Xn"))=0,"",IF(0+((AM27&lt;&gt;"Xm"))+((AM27&lt;&gt;"Xp"))+((AM27&lt;&gt;"Xn"))=3,AM$3&amp;", ",AM$3&amp;IF((AM27&lt;&gt;"Xm"),"_m","")&amp;IF((AM27&lt;&gt;"Xp"),"_p","")&amp;IF((AM27&lt;&gt;"Xn"),"_n","")&amp;", ")))</f>
        <v>SANNA, </v>
      </c>
      <c r="CB27" s="8" t="str">
        <f>IF(0+(AN27="X")+(AN27="Gn")+(AN27="C")+(AN26="Gn")&gt;0,"",IF(0+((AN27&lt;&gt;"Xm"))+((AN27&lt;&gt;"Xp"))+((AN27&lt;&gt;"Xn"))=0,"",IF(0+((AN27&lt;&gt;"Xm"))+((AN27&lt;&gt;"Xp"))+((AN27&lt;&gt;"Xn"))=3,AN$3&amp;", ",AN$3&amp;IF((AN27&lt;&gt;"Xm"),"_m","")&amp;IF((AN27&lt;&gt;"Xp"),"_p","")&amp;IF((AN27&lt;&gt;"Xn"),"_n","")&amp;", ")))</f>
        <v>LI, </v>
      </c>
      <c r="CC27" s="8" t="n"/>
      <c r="CD27" s="8" t="str">
        <f>IF(0+(AA27="X")+(AA27="Gn")+(AA27="C")+(AA26="Gn")&gt;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8" t="str">
        <f>IF(0+(AB27="X")+(AB27="Gn")+(AB27="C")+(AB26="Gn")&gt;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8" t="str">
        <f>IF(0+(AC27="X")+(AC27="Gn")+(AC27="C")+(AC26="Gn")&gt;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8" t="str">
        <f>IF(0+(AD27="X")+(AD27="Gn")+(AD27="C")+(AD26="Gn")&gt;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8" t="str">
        <f>IF(0+(AE27="X")+(AE27="Gn")+(AE27="C")+(AE26="Gn")&gt;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8" t="str">
        <f>IF(0+(AF27="X")+(AF27="Gn")+(AF27="C")+(AF26="Gn")&gt;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8" t="str">
        <f>IF(0+(AG27="X")+(AG27="Gn")+(AG27="C")+(AG26="Gn")&gt;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8" t="str">
        <f>IF(0+(AH27="X")+(AH27="Gn")+(AH27="C")+(AH26="Gn")&gt;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8" t="str">
        <f>IF(0+(AI27="X")+(AI27="Gn")+(AI27="C")+(AI26="Gn")&gt;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8" t="str">
        <f>IF(0+(AJ27="X")+(AJ27="Gn")+(AJ27="C")+(AJ26="Gn")&gt;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8" t="str">
        <f>IF(0+(AK27="X")+(AK27="Gn")+(AK27="C")+(AK26="Gn")&gt;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8" t="str">
        <f>IF(0+(AL27="X")+(AL27="Gn")+(AL27="C")+(AL26="Gn")&gt;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8" t="str">
        <f>IF(0+(AM27="X")+(AM27="Gn")+(AM27="C")+(AM26="Gn")&gt;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8" t="str">
        <f>IF(0+(AN27="X")+(AN27="Gn")+(AN27="C")+(AN26="Gn")&gt;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IF(SUMPRODUCT(($C$3:$P$3&lt;&gt;"")*($C28:$P28&lt;&gt;"")*(COUNTIFS($C28:$P28,$C28:$P28,$C$3:$P$3,$C$3:$P$3)&gt;1))&gt;0,"X","")</f>
      </c>
      <c r="S28" s="10" t="str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0" t="str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9" t="str">
        <f>A28</f>
        <v>mercoledì</v>
      </c>
      <c r="Z28" s="9">
        <f>B28</f>
        <v>25</v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 t="str">
        <f>IF(0+(AA28="X")+(AA28="Gn")+(AA28="C")+(AA27="Gn")&gt;0,"",IF(0+((AA28&lt;&gt;"Xm"))+((AA28&lt;&gt;"Xp"))+((AA28&lt;&gt;"Xn"))=0,"",IF(0+((AA28&lt;&gt;"Xm"))+((AA28&lt;&gt;"Xp"))+((AA28&lt;&gt;"Xn"))=3,AA$3&amp;", ",AA$3&amp;IF((AA28&lt;&gt;"Xm"),"_m","")&amp;IF((AA28&lt;&gt;"Xp"),"_p","")&amp;IF((AA28&lt;&gt;"Xn"),"_n","")&amp;", ")))</f>
        <v>LEONI, </v>
      </c>
      <c r="BP28" s="8" t="str">
        <f>IF(0+(AB28="X")+(AB28="Gn")+(AB28="C")+(AB27="Gn")&gt;0,"",IF(0+((AB28&lt;&gt;"Xm"))+((AB28&lt;&gt;"Xp"))+((AB28&lt;&gt;"Xn"))=0,"",IF(0+((AB28&lt;&gt;"Xm"))+((AB28&lt;&gt;"Xp"))+((AB28&lt;&gt;"Xn"))=3,AB$3&amp;", ",AB$3&amp;IF((AB28&lt;&gt;"Xm"),"_m","")&amp;IF((AB28&lt;&gt;"Xp"),"_p","")&amp;IF((AB28&lt;&gt;"Xn"),"_n","")&amp;", ")))</f>
        <v>ROSSI M, </v>
      </c>
      <c r="BQ28" s="8" t="str">
        <f>IF(0+(AC28="X")+(AC28="Gn")+(AC28="C")+(AC27="Gn")&gt;0,"",IF(0+((AC28&lt;&gt;"Xm"))+((AC28&lt;&gt;"Xp"))+((AC28&lt;&gt;"Xn"))=0,"",IF(0+((AC28&lt;&gt;"Xm"))+((AC28&lt;&gt;"Xp"))+((AC28&lt;&gt;"Xn"))=3,AC$3&amp;", ",AC$3&amp;IF((AC28&lt;&gt;"Xm"),"_m","")&amp;IF((AC28&lt;&gt;"Xp"),"_p","")&amp;IF((AC28&lt;&gt;"Xn"),"_n","")&amp;", ")))</f>
        <v>ROSSI L, </v>
      </c>
      <c r="BR28" s="8" t="str">
        <f>IF(0+(AD28="X")+(AD28="Gn")+(AD28="C")+(AD27="Gn")&gt;0,"",IF(0+((AD28&lt;&gt;"Xm"))+((AD28&lt;&gt;"Xp"))+((AD28&lt;&gt;"Xn"))=0,"",IF(0+((AD28&lt;&gt;"Xm"))+((AD28&lt;&gt;"Xp"))+((AD28&lt;&gt;"Xn"))=3,AD$3&amp;", ",AD$3&amp;IF((AD28&lt;&gt;"Xm"),"_m","")&amp;IF((AD28&lt;&gt;"Xp"),"_p","")&amp;IF((AD28&lt;&gt;"Xn"),"_n","")&amp;", ")))</f>
        <v>GALLINA, </v>
      </c>
      <c r="BS28" s="8" t="str">
        <f>IF(0+(AE28="X")+(AE28="Gn")+(AE28="C")+(AE27="Gn")&gt;0,"",IF(0+((AE28&lt;&gt;"Xm"))+((AE28&lt;&gt;"Xp"))+((AE28&lt;&gt;"Xn"))=0,"",IF(0+((AE28&lt;&gt;"Xm"))+((AE28&lt;&gt;"Xp"))+((AE28&lt;&gt;"Xn"))=3,AE$3&amp;", ",AE$3&amp;IF((AE28&lt;&gt;"Xm"),"_m","")&amp;IF((AE28&lt;&gt;"Xp"),"_p","")&amp;IF((AE28&lt;&gt;"Xn"),"_n","")&amp;", ")))</f>
        <v>RUSSO, </v>
      </c>
      <c r="BT28" s="8" t="str">
        <f>IF(0+(AF28="X")+(AF28="Gn")+(AF28="C")+(AF27="Gn")&gt;0,"",IF(0+((AF28&lt;&gt;"Xm"))+((AF28&lt;&gt;"Xp"))+((AF28&lt;&gt;"Xn"))=0,"",IF(0+((AF28&lt;&gt;"Xm"))+((AF28&lt;&gt;"Xp"))+((AF28&lt;&gt;"Xn"))=3,AF$3&amp;", ",AF$3&amp;IF((AF28&lt;&gt;"Xm"),"_m","")&amp;IF((AF28&lt;&gt;"Xp"),"_p","")&amp;IF((AF28&lt;&gt;"Xn"),"_n","")&amp;", ")))</f>
        <v>VERDI, </v>
      </c>
      <c r="BU28" s="8" t="str">
        <f>IF(0+(AG28="X")+(AG28="Gn")+(AG28="C")+(AG27="Gn")&gt;0,"",IF(0+((AG28&lt;&gt;"Xm"))+((AG28&lt;&gt;"Xp"))+((AG28&lt;&gt;"Xn"))=0,"",IF(0+((AG28&lt;&gt;"Xm"))+((AG28&lt;&gt;"Xp"))+((AG28&lt;&gt;"Xn"))=3,AG$3&amp;", ",AG$3&amp;IF((AG28&lt;&gt;"Xm"),"_m","")&amp;IF((AG28&lt;&gt;"Xp"),"_p","")&amp;IF((AG28&lt;&gt;"Xn"),"_n","")&amp;", ")))</f>
        <v>HU, </v>
      </c>
      <c r="BV28" s="8" t="str">
        <f>IF(0+(AH28="X")+(AH28="Gn")+(AH28="C")+(AH27="Gn")&gt;0,"",IF(0+((AH28&lt;&gt;"Xm"))+((AH28&lt;&gt;"Xp"))+((AH28&lt;&gt;"Xn"))=0,"",IF(0+((AH28&lt;&gt;"Xm"))+((AH28&lt;&gt;"Xp"))+((AH28&lt;&gt;"Xn"))=3,AH$3&amp;", ",AH$3&amp;IF((AH28&lt;&gt;"Xm"),"_m","")&amp;IF((AH28&lt;&gt;"Xp"),"_p","")&amp;IF((AH28&lt;&gt;"Xn"),"_n","")&amp;", ")))</f>
        <v>MARINI, </v>
      </c>
      <c r="BW28" s="8" t="str">
        <f>IF(0+(AI28="X")+(AI28="Gn")+(AI28="C")+(AI27="Gn")&gt;0,"",IF(0+((AI28&lt;&gt;"Xm"))+((AI28&lt;&gt;"Xp"))+((AI28&lt;&gt;"Xn"))=0,"",IF(0+((AI28&lt;&gt;"Xm"))+((AI28&lt;&gt;"Xp"))+((AI28&lt;&gt;"Xn"))=3,AI$3&amp;", ",AI$3&amp;IF((AI28&lt;&gt;"Xm"),"_m","")&amp;IF((AI28&lt;&gt;"Xp"),"_p","")&amp;IF((AI28&lt;&gt;"Xn"),"_n","")&amp;", ")))</f>
        <v>CONTI A, </v>
      </c>
      <c r="BX28" s="8" t="str">
        <f>IF(0+(AJ28="X")+(AJ28="Gn")+(AJ28="C")+(AJ27="Gn")&gt;0,"",IF(0+((AJ28&lt;&gt;"Xm"))+((AJ28&lt;&gt;"Xp"))+((AJ28&lt;&gt;"Xn"))=0,"",IF(0+((AJ28&lt;&gt;"Xm"))+((AJ28&lt;&gt;"Xp"))+((AJ28&lt;&gt;"Xn"))=3,AJ$3&amp;", ",AJ$3&amp;IF((AJ28&lt;&gt;"Xm"),"_m","")&amp;IF((AJ28&lt;&gt;"Xp"),"_p","")&amp;IF((AJ28&lt;&gt;"Xn"),"_n","")&amp;", ")))</f>
        <v>CONTI S, </v>
      </c>
      <c r="BY28" s="8" t="str">
        <f>IF(0+(AK28="X")+(AK28="Gn")+(AK28="C")+(AK27="Gn")&gt;0,"",IF(0+((AK28&lt;&gt;"Xm"))+((AK28&lt;&gt;"Xp"))+((AK28&lt;&gt;"Xn"))=0,"",IF(0+((AK28&lt;&gt;"Xm"))+((AK28&lt;&gt;"Xp"))+((AK28&lt;&gt;"Xn"))=3,AK$3&amp;", ",AK$3&amp;IF((AK28&lt;&gt;"Xm"),"_m","")&amp;IF((AK28&lt;&gt;"Xp"),"_p","")&amp;IF((AK28&lt;&gt;"Xn"),"_n","")&amp;", ")))</f>
        <v>FERRARI, </v>
      </c>
      <c r="BZ28" s="8" t="str">
        <f>IF(0+(AL28="X")+(AL28="Gn")+(AL28="C")+(AL27="Gn")&gt;0,"",IF(0+((AL28&lt;&gt;"Xm"))+((AL28&lt;&gt;"Xp"))+((AL28&lt;&gt;"Xn"))=0,"",IF(0+((AL28&lt;&gt;"Xm"))+((AL28&lt;&gt;"Xp"))+((AL28&lt;&gt;"Xn"))=3,AL$3&amp;", ",AL$3&amp;IF((AL28&lt;&gt;"Xm"),"_m","")&amp;IF((AL28&lt;&gt;"Xp"),"_p","")&amp;IF((AL28&lt;&gt;"Xn"),"_n","")&amp;", ")))</f>
        <v>GRECO, </v>
      </c>
      <c r="CA28" s="8" t="str">
        <f>IF(0+(AM28="X")+(AM28="Gn")+(AM28="C")+(AM27="Gn")&gt;0,"",IF(0+((AM28&lt;&gt;"Xm"))+((AM28&lt;&gt;"Xp"))+((AM28&lt;&gt;"Xn"))=0,"",IF(0+((AM28&lt;&gt;"Xm"))+((AM28&lt;&gt;"Xp"))+((AM28&lt;&gt;"Xn"))=3,AM$3&amp;", ",AM$3&amp;IF((AM28&lt;&gt;"Xm"),"_m","")&amp;IF((AM28&lt;&gt;"Xp"),"_p","")&amp;IF((AM28&lt;&gt;"Xn"),"_n","")&amp;", ")))</f>
        <v>SANNA, </v>
      </c>
      <c r="CB28" s="8" t="str">
        <f>IF(0+(AN28="X")+(AN28="Gn")+(AN28="C")+(AN27="Gn")&gt;0,"",IF(0+((AN28&lt;&gt;"Xm"))+((AN28&lt;&gt;"Xp"))+((AN28&lt;&gt;"Xn"))=0,"",IF(0+((AN28&lt;&gt;"Xm"))+((AN28&lt;&gt;"Xp"))+((AN28&lt;&gt;"Xn"))=3,AN$3&amp;", ",AN$3&amp;IF((AN28&lt;&gt;"Xm"),"_m","")&amp;IF((AN28&lt;&gt;"Xp"),"_p","")&amp;IF((AN28&lt;&gt;"Xn"),"_n","")&amp;", ")))</f>
        <v>LI, </v>
      </c>
      <c r="CC28" s="8" t="n"/>
      <c r="CD28" s="8" t="str">
        <f>IF(0+(AA28="X")+(AA28="Gn")+(AA28="C")+(AA27="Gn")&gt;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8" t="str">
        <f>IF(0+(AB28="X")+(AB28="Gn")+(AB28="C")+(AB27="Gn")&gt;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8" t="str">
        <f>IF(0+(AC28="X")+(AC28="Gn")+(AC28="C")+(AC27="Gn")&gt;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8" t="str">
        <f>IF(0+(AD28="X")+(AD28="Gn")+(AD28="C")+(AD27="Gn")&gt;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8" t="str">
        <f>IF(0+(AE28="X")+(AE28="Gn")+(AE28="C")+(AE27="Gn")&gt;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8" t="str">
        <f>IF(0+(AF28="X")+(AF28="Gn")+(AF28="C")+(AF27="Gn")&gt;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8" t="str">
        <f>IF(0+(AG28="X")+(AG28="Gn")+(AG28="C")+(AG27="Gn")&gt;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8" t="str">
        <f>IF(0+(AH28="X")+(AH28="Gn")+(AH28="C")+(AH27="Gn")&gt;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8" t="str">
        <f>IF(0+(AI28="X")+(AI28="Gn")+(AI28="C")+(AI27="Gn")&gt;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8" t="str">
        <f>IF(0+(AJ28="X")+(AJ28="Gn")+(AJ28="C")+(AJ27="Gn")&gt;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8" t="str">
        <f>IF(0+(AK28="X")+(AK28="Gn")+(AK28="C")+(AK27="Gn")&gt;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8" t="str">
        <f>IF(0+(AL28="X")+(AL28="Gn")+(AL28="C")+(AL27="Gn")&gt;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8" t="str">
        <f>IF(0+(AM28="X")+(AM28="Gn")+(AM28="C")+(AM27="Gn")&gt;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8" t="str">
        <f>IF(0+(AN28="X")+(AN28="Gn")+(AN28="C")+(AN27="Gn")&gt;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IF(SUMPRODUCT(($C$3:$P$3&lt;&gt;"")*($C29:$P29&lt;&gt;"")*(COUNTIFS($C29:$P29,$C29:$P29,$C$3:$P$3,$C$3:$P$3)&gt;1))&gt;0,"X","")</f>
      </c>
      <c r="S29" s="10" t="str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0" t="str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9" t="str">
        <f>A29</f>
        <v>giovedì</v>
      </c>
      <c r="Z29" s="9">
        <f>B29</f>
        <v>26</v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 t="str">
        <f>IF(0+(AA29="X")+(AA29="Gn")+(AA29="C")+(AA28="Gn")&gt;0,"",IF(0+((AA29&lt;&gt;"Xm"))+((AA29&lt;&gt;"Xp"))+((AA29&lt;&gt;"Xn"))=0,"",IF(0+((AA29&lt;&gt;"Xm"))+((AA29&lt;&gt;"Xp"))+((AA29&lt;&gt;"Xn"))=3,AA$3&amp;", ",AA$3&amp;IF((AA29&lt;&gt;"Xm"),"_m","")&amp;IF((AA29&lt;&gt;"Xp"),"_p","")&amp;IF((AA29&lt;&gt;"Xn"),"_n","")&amp;", ")))</f>
        <v>LEONI, </v>
      </c>
      <c r="BP29" s="8" t="str">
        <f>IF(0+(AB29="X")+(AB29="Gn")+(AB29="C")+(AB28="Gn")&gt;0,"",IF(0+((AB29&lt;&gt;"Xm"))+((AB29&lt;&gt;"Xp"))+((AB29&lt;&gt;"Xn"))=0,"",IF(0+((AB29&lt;&gt;"Xm"))+((AB29&lt;&gt;"Xp"))+((AB29&lt;&gt;"Xn"))=3,AB$3&amp;", ",AB$3&amp;IF((AB29&lt;&gt;"Xm"),"_m","")&amp;IF((AB29&lt;&gt;"Xp"),"_p","")&amp;IF((AB29&lt;&gt;"Xn"),"_n","")&amp;", ")))</f>
        <v>ROSSI M, </v>
      </c>
      <c r="BQ29" s="8" t="str">
        <f>IF(0+(AC29="X")+(AC29="Gn")+(AC29="C")+(AC28="Gn")&gt;0,"",IF(0+((AC29&lt;&gt;"Xm"))+((AC29&lt;&gt;"Xp"))+((AC29&lt;&gt;"Xn"))=0,"",IF(0+((AC29&lt;&gt;"Xm"))+((AC29&lt;&gt;"Xp"))+((AC29&lt;&gt;"Xn"))=3,AC$3&amp;", ",AC$3&amp;IF((AC29&lt;&gt;"Xm"),"_m","")&amp;IF((AC29&lt;&gt;"Xp"),"_p","")&amp;IF((AC29&lt;&gt;"Xn"),"_n","")&amp;", ")))</f>
        <v>ROSSI L, </v>
      </c>
      <c r="BR29" s="8" t="str">
        <f>IF(0+(AD29="X")+(AD29="Gn")+(AD29="C")+(AD28="Gn")&gt;0,"",IF(0+((AD29&lt;&gt;"Xm"))+((AD29&lt;&gt;"Xp"))+((AD29&lt;&gt;"Xn"))=0,"",IF(0+((AD29&lt;&gt;"Xm"))+((AD29&lt;&gt;"Xp"))+((AD29&lt;&gt;"Xn"))=3,AD$3&amp;", ",AD$3&amp;IF((AD29&lt;&gt;"Xm"),"_m","")&amp;IF((AD29&lt;&gt;"Xp"),"_p","")&amp;IF((AD29&lt;&gt;"Xn"),"_n","")&amp;", ")))</f>
        <v>GALLINA, </v>
      </c>
      <c r="BS29" s="8" t="str">
        <f>IF(0+(AE29="X")+(AE29="Gn")+(AE29="C")+(AE28="Gn")&gt;0,"",IF(0+((AE29&lt;&gt;"Xm"))+((AE29&lt;&gt;"Xp"))+((AE29&lt;&gt;"Xn"))=0,"",IF(0+((AE29&lt;&gt;"Xm"))+((AE29&lt;&gt;"Xp"))+((AE29&lt;&gt;"Xn"))=3,AE$3&amp;", ",AE$3&amp;IF((AE29&lt;&gt;"Xm"),"_m","")&amp;IF((AE29&lt;&gt;"Xp"),"_p","")&amp;IF((AE29&lt;&gt;"Xn"),"_n","")&amp;", ")))</f>
        <v>RUSSO, </v>
      </c>
      <c r="BT29" s="8" t="str">
        <f>IF(0+(AF29="X")+(AF29="Gn")+(AF29="C")+(AF28="Gn")&gt;0,"",IF(0+((AF29&lt;&gt;"Xm"))+((AF29&lt;&gt;"Xp"))+((AF29&lt;&gt;"Xn"))=0,"",IF(0+((AF29&lt;&gt;"Xm"))+((AF29&lt;&gt;"Xp"))+((AF29&lt;&gt;"Xn"))=3,AF$3&amp;", ",AF$3&amp;IF((AF29&lt;&gt;"Xm"),"_m","")&amp;IF((AF29&lt;&gt;"Xp"),"_p","")&amp;IF((AF29&lt;&gt;"Xn"),"_n","")&amp;", ")))</f>
        <v>VERDI, </v>
      </c>
      <c r="BU29" s="8" t="str">
        <f>IF(0+(AG29="X")+(AG29="Gn")+(AG29="C")+(AG28="Gn")&gt;0,"",IF(0+((AG29&lt;&gt;"Xm"))+((AG29&lt;&gt;"Xp"))+((AG29&lt;&gt;"Xn"))=0,"",IF(0+((AG29&lt;&gt;"Xm"))+((AG29&lt;&gt;"Xp"))+((AG29&lt;&gt;"Xn"))=3,AG$3&amp;", ",AG$3&amp;IF((AG29&lt;&gt;"Xm"),"_m","")&amp;IF((AG29&lt;&gt;"Xp"),"_p","")&amp;IF((AG29&lt;&gt;"Xn"),"_n","")&amp;", ")))</f>
        <v>HU, </v>
      </c>
      <c r="BV29" s="8" t="str">
        <f>IF(0+(AH29="X")+(AH29="Gn")+(AH29="C")+(AH28="Gn")&gt;0,"",IF(0+((AH29&lt;&gt;"Xm"))+((AH29&lt;&gt;"Xp"))+((AH29&lt;&gt;"Xn"))=0,"",IF(0+((AH29&lt;&gt;"Xm"))+((AH29&lt;&gt;"Xp"))+((AH29&lt;&gt;"Xn"))=3,AH$3&amp;", ",AH$3&amp;IF((AH29&lt;&gt;"Xm"),"_m","")&amp;IF((AH29&lt;&gt;"Xp"),"_p","")&amp;IF((AH29&lt;&gt;"Xn"),"_n","")&amp;", ")))</f>
        <v>MARINI, </v>
      </c>
      <c r="BW29" s="8" t="str">
        <f>IF(0+(AI29="X")+(AI29="Gn")+(AI29="C")+(AI28="Gn")&gt;0,"",IF(0+((AI29&lt;&gt;"Xm"))+((AI29&lt;&gt;"Xp"))+((AI29&lt;&gt;"Xn"))=0,"",IF(0+((AI29&lt;&gt;"Xm"))+((AI29&lt;&gt;"Xp"))+((AI29&lt;&gt;"Xn"))=3,AI$3&amp;", ",AI$3&amp;IF((AI29&lt;&gt;"Xm"),"_m","")&amp;IF((AI29&lt;&gt;"Xp"),"_p","")&amp;IF((AI29&lt;&gt;"Xn"),"_n","")&amp;", ")))</f>
        <v>CONTI A, </v>
      </c>
      <c r="BX29" s="8" t="str">
        <f>IF(0+(AJ29="X")+(AJ29="Gn")+(AJ29="C")+(AJ28="Gn")&gt;0,"",IF(0+((AJ29&lt;&gt;"Xm"))+((AJ29&lt;&gt;"Xp"))+((AJ29&lt;&gt;"Xn"))=0,"",IF(0+((AJ29&lt;&gt;"Xm"))+((AJ29&lt;&gt;"Xp"))+((AJ29&lt;&gt;"Xn"))=3,AJ$3&amp;", ",AJ$3&amp;IF((AJ29&lt;&gt;"Xm"),"_m","")&amp;IF((AJ29&lt;&gt;"Xp"),"_p","")&amp;IF((AJ29&lt;&gt;"Xn"),"_n","")&amp;", ")))</f>
        <v>CONTI S, </v>
      </c>
      <c r="BY29" s="8" t="str">
        <f>IF(0+(AK29="X")+(AK29="Gn")+(AK29="C")+(AK28="Gn")&gt;0,"",IF(0+((AK29&lt;&gt;"Xm"))+((AK29&lt;&gt;"Xp"))+((AK29&lt;&gt;"Xn"))=0,"",IF(0+((AK29&lt;&gt;"Xm"))+((AK29&lt;&gt;"Xp"))+((AK29&lt;&gt;"Xn"))=3,AK$3&amp;", ",AK$3&amp;IF((AK29&lt;&gt;"Xm"),"_m","")&amp;IF((AK29&lt;&gt;"Xp"),"_p","")&amp;IF((AK29&lt;&gt;"Xn"),"_n","")&amp;", ")))</f>
        <v>FERRARI, </v>
      </c>
      <c r="BZ29" s="8" t="str">
        <f>IF(0+(AL29="X")+(AL29="Gn")+(AL29="C")+(AL28="Gn")&gt;0,"",IF(0+((AL29&lt;&gt;"Xm"))+((AL29&lt;&gt;"Xp"))+((AL29&lt;&gt;"Xn"))=0,"",IF(0+((AL29&lt;&gt;"Xm"))+((AL29&lt;&gt;"Xp"))+((AL29&lt;&gt;"Xn"))=3,AL$3&amp;", ",AL$3&amp;IF((AL29&lt;&gt;"Xm"),"_m","")&amp;IF((AL29&lt;&gt;"Xp"),"_p","")&amp;IF((AL29&lt;&gt;"Xn"),"_n","")&amp;", ")))</f>
        <v>GRECO, </v>
      </c>
      <c r="CA29" s="8" t="str">
        <f>IF(0+(AM29="X")+(AM29="Gn")+(AM29="C")+(AM28="Gn")&gt;0,"",IF(0+((AM29&lt;&gt;"Xm"))+((AM29&lt;&gt;"Xp"))+((AM29&lt;&gt;"Xn"))=0,"",IF(0+((AM29&lt;&gt;"Xm"))+((AM29&lt;&gt;"Xp"))+((AM29&lt;&gt;"Xn"))=3,AM$3&amp;", ",AM$3&amp;IF((AM29&lt;&gt;"Xm"),"_m","")&amp;IF((AM29&lt;&gt;"Xp"),"_p","")&amp;IF((AM29&lt;&gt;"Xn"),"_n","")&amp;", ")))</f>
        <v>SANNA, </v>
      </c>
      <c r="CB29" s="8" t="str">
        <f>IF(0+(AN29="X")+(AN29="Gn")+(AN29="C")+(AN28="Gn")&gt;0,"",IF(0+((AN29&lt;&gt;"Xm"))+((AN29&lt;&gt;"Xp"))+((AN29&lt;&gt;"Xn"))=0,"",IF(0+((AN29&lt;&gt;"Xm"))+((AN29&lt;&gt;"Xp"))+((AN29&lt;&gt;"Xn"))=3,AN$3&amp;", ",AN$3&amp;IF((AN29&lt;&gt;"Xm"),"_m","")&amp;IF((AN29&lt;&gt;"Xp"),"_p","")&amp;IF((AN29&lt;&gt;"Xn"),"_n","")&amp;", ")))</f>
        <v>LI, </v>
      </c>
      <c r="CC29" s="8" t="n"/>
      <c r="CD29" s="8" t="str">
        <f>IF(0+(AA29="X")+(AA29="Gn")+(AA29="C")+(AA28="Gn")&gt;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8" t="str">
        <f>IF(0+(AB29="X")+(AB29="Gn")+(AB29="C")+(AB28="Gn")&gt;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8" t="str">
        <f>IF(0+(AC29="X")+(AC29="Gn")+(AC29="C")+(AC28="Gn")&gt;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8" t="str">
        <f>IF(0+(AD29="X")+(AD29="Gn")+(AD29="C")+(AD28="Gn")&gt;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8" t="str">
        <f>IF(0+(AE29="X")+(AE29="Gn")+(AE29="C")+(AE28="Gn")&gt;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8" t="str">
        <f>IF(0+(AF29="X")+(AF29="Gn")+(AF29="C")+(AF28="Gn")&gt;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8" t="str">
        <f>IF(0+(AG29="X")+(AG29="Gn")+(AG29="C")+(AG28="Gn")&gt;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8" t="str">
        <f>IF(0+(AH29="X")+(AH29="Gn")+(AH29="C")+(AH28="Gn")&gt;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8" t="str">
        <f>IF(0+(AI29="X")+(AI29="Gn")+(AI29="C")+(AI28="Gn")&gt;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8" t="str">
        <f>IF(0+(AJ29="X")+(AJ29="Gn")+(AJ29="C")+(AJ28="Gn")&gt;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8" t="str">
        <f>IF(0+(AK29="X")+(AK29="Gn")+(AK29="C")+(AK28="Gn")&gt;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8" t="str">
        <f>IF(0+(AL29="X")+(AL29="Gn")+(AL29="C")+(AL28="Gn")&gt;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8" t="str">
        <f>IF(0+(AM29="X")+(AM29="Gn")+(AM29="C")+(AM28="Gn")&gt;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8" t="str">
        <f>IF(0+(AN29="X")+(AN29="Gn")+(AN29="C")+(AN28="Gn")&gt;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IF(SUMPRODUCT(($C$3:$P$3&lt;&gt;"")*($C30:$P30&lt;&gt;"")*(COUNTIFS($C30:$P30,$C30:$P30,$C$3:$P$3,$C$3:$P$3)&gt;1))&gt;0,"X","")</f>
      </c>
      <c r="S30" s="10" t="str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0" t="str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9" t="str">
        <f>A30</f>
        <v>venerdì</v>
      </c>
      <c r="Z30" s="9">
        <f>B30</f>
        <v>27</v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 t="str">
        <f>IF(0+(AA30="X")+(AA30="Gn")+(AA30="C")+(AA29="Gn")&gt;0,"",IF(0+((AA30&lt;&gt;"Xm"))+((AA30&lt;&gt;"Xp"))+((AA30&lt;&gt;"Xn"))=0,"",IF(0+((AA30&lt;&gt;"Xm"))+((AA30&lt;&gt;"Xp"))+((AA30&lt;&gt;"Xn"))=3,AA$3&amp;", ",AA$3&amp;IF((AA30&lt;&gt;"Xm"),"_m","")&amp;IF((AA30&lt;&gt;"Xp"),"_p","")&amp;IF((AA30&lt;&gt;"Xn"),"_n","")&amp;", ")))</f>
        <v>LEONI, </v>
      </c>
      <c r="BP30" s="8" t="str">
        <f>IF(0+(AB30="X")+(AB30="Gn")+(AB30="C")+(AB29="Gn")&gt;0,"",IF(0+((AB30&lt;&gt;"Xm"))+((AB30&lt;&gt;"Xp"))+((AB30&lt;&gt;"Xn"))=0,"",IF(0+((AB30&lt;&gt;"Xm"))+((AB30&lt;&gt;"Xp"))+((AB30&lt;&gt;"Xn"))=3,AB$3&amp;", ",AB$3&amp;IF((AB30&lt;&gt;"Xm"),"_m","")&amp;IF((AB30&lt;&gt;"Xp"),"_p","")&amp;IF((AB30&lt;&gt;"Xn"),"_n","")&amp;", ")))</f>
        <v>ROSSI M, </v>
      </c>
      <c r="BQ30" s="8" t="str">
        <f>IF(0+(AC30="X")+(AC30="Gn")+(AC30="C")+(AC29="Gn")&gt;0,"",IF(0+((AC30&lt;&gt;"Xm"))+((AC30&lt;&gt;"Xp"))+((AC30&lt;&gt;"Xn"))=0,"",IF(0+((AC30&lt;&gt;"Xm"))+((AC30&lt;&gt;"Xp"))+((AC30&lt;&gt;"Xn"))=3,AC$3&amp;", ",AC$3&amp;IF((AC30&lt;&gt;"Xm"),"_m","")&amp;IF((AC30&lt;&gt;"Xp"),"_p","")&amp;IF((AC30&lt;&gt;"Xn"),"_n","")&amp;", ")))</f>
        <v>ROSSI L, </v>
      </c>
      <c r="BR30" s="8" t="str">
        <f>IF(0+(AD30="X")+(AD30="Gn")+(AD30="C")+(AD29="Gn")&gt;0,"",IF(0+((AD30&lt;&gt;"Xm"))+((AD30&lt;&gt;"Xp"))+((AD30&lt;&gt;"Xn"))=0,"",IF(0+((AD30&lt;&gt;"Xm"))+((AD30&lt;&gt;"Xp"))+((AD30&lt;&gt;"Xn"))=3,AD$3&amp;", ",AD$3&amp;IF((AD30&lt;&gt;"Xm"),"_m","")&amp;IF((AD30&lt;&gt;"Xp"),"_p","")&amp;IF((AD30&lt;&gt;"Xn"),"_n","")&amp;", ")))</f>
        <v>GALLINA, </v>
      </c>
      <c r="BS30" s="8" t="str">
        <f>IF(0+(AE30="X")+(AE30="Gn")+(AE30="C")+(AE29="Gn")&gt;0,"",IF(0+((AE30&lt;&gt;"Xm"))+((AE30&lt;&gt;"Xp"))+((AE30&lt;&gt;"Xn"))=0,"",IF(0+((AE30&lt;&gt;"Xm"))+((AE30&lt;&gt;"Xp"))+((AE30&lt;&gt;"Xn"))=3,AE$3&amp;", ",AE$3&amp;IF((AE30&lt;&gt;"Xm"),"_m","")&amp;IF((AE30&lt;&gt;"Xp"),"_p","")&amp;IF((AE30&lt;&gt;"Xn"),"_n","")&amp;", ")))</f>
        <v>RUSSO, </v>
      </c>
      <c r="BT30" s="8" t="str">
        <f>IF(0+(AF30="X")+(AF30="Gn")+(AF30="C")+(AF29="Gn")&gt;0,"",IF(0+((AF30&lt;&gt;"Xm"))+((AF30&lt;&gt;"Xp"))+((AF30&lt;&gt;"Xn"))=0,"",IF(0+((AF30&lt;&gt;"Xm"))+((AF30&lt;&gt;"Xp"))+((AF30&lt;&gt;"Xn"))=3,AF$3&amp;", ",AF$3&amp;IF((AF30&lt;&gt;"Xm"),"_m","")&amp;IF((AF30&lt;&gt;"Xp"),"_p","")&amp;IF((AF30&lt;&gt;"Xn"),"_n","")&amp;", ")))</f>
        <v>VERDI, </v>
      </c>
      <c r="BU30" s="8" t="str">
        <f>IF(0+(AG30="X")+(AG30="Gn")+(AG30="C")+(AG29="Gn")&gt;0,"",IF(0+((AG30&lt;&gt;"Xm"))+((AG30&lt;&gt;"Xp"))+((AG30&lt;&gt;"Xn"))=0,"",IF(0+((AG30&lt;&gt;"Xm"))+((AG30&lt;&gt;"Xp"))+((AG30&lt;&gt;"Xn"))=3,AG$3&amp;", ",AG$3&amp;IF((AG30&lt;&gt;"Xm"),"_m","")&amp;IF((AG30&lt;&gt;"Xp"),"_p","")&amp;IF((AG30&lt;&gt;"Xn"),"_n","")&amp;", ")))</f>
        <v>HU, </v>
      </c>
      <c r="BV30" s="8" t="str">
        <f>IF(0+(AH30="X")+(AH30="Gn")+(AH30="C")+(AH29="Gn")&gt;0,"",IF(0+((AH30&lt;&gt;"Xm"))+((AH30&lt;&gt;"Xp"))+((AH30&lt;&gt;"Xn"))=0,"",IF(0+((AH30&lt;&gt;"Xm"))+((AH30&lt;&gt;"Xp"))+((AH30&lt;&gt;"Xn"))=3,AH$3&amp;", ",AH$3&amp;IF((AH30&lt;&gt;"Xm"),"_m","")&amp;IF((AH30&lt;&gt;"Xp"),"_p","")&amp;IF((AH30&lt;&gt;"Xn"),"_n","")&amp;", ")))</f>
        <v>MARINI, </v>
      </c>
      <c r="BW30" s="8" t="str">
        <f>IF(0+(AI30="X")+(AI30="Gn")+(AI30="C")+(AI29="Gn")&gt;0,"",IF(0+((AI30&lt;&gt;"Xm"))+((AI30&lt;&gt;"Xp"))+((AI30&lt;&gt;"Xn"))=0,"",IF(0+((AI30&lt;&gt;"Xm"))+((AI30&lt;&gt;"Xp"))+((AI30&lt;&gt;"Xn"))=3,AI$3&amp;", ",AI$3&amp;IF((AI30&lt;&gt;"Xm"),"_m","")&amp;IF((AI30&lt;&gt;"Xp"),"_p","")&amp;IF((AI30&lt;&gt;"Xn"),"_n","")&amp;", ")))</f>
        <v>CONTI A, </v>
      </c>
      <c r="BX30" s="8" t="str">
        <f>IF(0+(AJ30="X")+(AJ30="Gn")+(AJ30="C")+(AJ29="Gn")&gt;0,"",IF(0+((AJ30&lt;&gt;"Xm"))+((AJ30&lt;&gt;"Xp"))+((AJ30&lt;&gt;"Xn"))=0,"",IF(0+((AJ30&lt;&gt;"Xm"))+((AJ30&lt;&gt;"Xp"))+((AJ30&lt;&gt;"Xn"))=3,AJ$3&amp;", ",AJ$3&amp;IF((AJ30&lt;&gt;"Xm"),"_m","")&amp;IF((AJ30&lt;&gt;"Xp"),"_p","")&amp;IF((AJ30&lt;&gt;"Xn"),"_n","")&amp;", ")))</f>
        <v>CONTI S, </v>
      </c>
      <c r="BY30" s="8" t="str">
        <f>IF(0+(AK30="X")+(AK30="Gn")+(AK30="C")+(AK29="Gn")&gt;0,"",IF(0+((AK30&lt;&gt;"Xm"))+((AK30&lt;&gt;"Xp"))+((AK30&lt;&gt;"Xn"))=0,"",IF(0+((AK30&lt;&gt;"Xm"))+((AK30&lt;&gt;"Xp"))+((AK30&lt;&gt;"Xn"))=3,AK$3&amp;", ",AK$3&amp;IF((AK30&lt;&gt;"Xm"),"_m","")&amp;IF((AK30&lt;&gt;"Xp"),"_p","")&amp;IF((AK30&lt;&gt;"Xn"),"_n","")&amp;", ")))</f>
        <v>FERRARI, </v>
      </c>
      <c r="BZ30" s="8" t="str">
        <f>IF(0+(AL30="X")+(AL30="Gn")+(AL30="C")+(AL29="Gn")&gt;0,"",IF(0+((AL30&lt;&gt;"Xm"))+((AL30&lt;&gt;"Xp"))+((AL30&lt;&gt;"Xn"))=0,"",IF(0+((AL30&lt;&gt;"Xm"))+((AL30&lt;&gt;"Xp"))+((AL30&lt;&gt;"Xn"))=3,AL$3&amp;", ",AL$3&amp;IF((AL30&lt;&gt;"Xm"),"_m","")&amp;IF((AL30&lt;&gt;"Xp"),"_p","")&amp;IF((AL30&lt;&gt;"Xn"),"_n","")&amp;", ")))</f>
        <v>GRECO, </v>
      </c>
      <c r="CA30" s="8" t="str">
        <f>IF(0+(AM30="X")+(AM30="Gn")+(AM30="C")+(AM29="Gn")&gt;0,"",IF(0+((AM30&lt;&gt;"Xm"))+((AM30&lt;&gt;"Xp"))+((AM30&lt;&gt;"Xn"))=0,"",IF(0+((AM30&lt;&gt;"Xm"))+((AM30&lt;&gt;"Xp"))+((AM30&lt;&gt;"Xn"))=3,AM$3&amp;", ",AM$3&amp;IF((AM30&lt;&gt;"Xm"),"_m","")&amp;IF((AM30&lt;&gt;"Xp"),"_p","")&amp;IF((AM30&lt;&gt;"Xn"),"_n","")&amp;", ")))</f>
        <v>SANNA, </v>
      </c>
      <c r="CB30" s="8" t="str">
        <f>IF(0+(AN30="X")+(AN30="Gn")+(AN30="C")+(AN29="Gn")&gt;0,"",IF(0+((AN30&lt;&gt;"Xm"))+((AN30&lt;&gt;"Xp"))+((AN30&lt;&gt;"Xn"))=0,"",IF(0+((AN30&lt;&gt;"Xm"))+((AN30&lt;&gt;"Xp"))+((AN30&lt;&gt;"Xn"))=3,AN$3&amp;", ",AN$3&amp;IF((AN30&lt;&gt;"Xm"),"_m","")&amp;IF((AN30&lt;&gt;"Xp"),"_p","")&amp;IF((AN30&lt;&gt;"Xn"),"_n","")&amp;", ")))</f>
        <v>LI, </v>
      </c>
      <c r="CC30" s="8" t="n"/>
      <c r="CD30" s="8" t="str">
        <f>IF(0+(AA30="X")+(AA30="Gn")+(AA30="C")+(AA29="Gn")&gt;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8" t="str">
        <f>IF(0+(AB30="X")+(AB30="Gn")+(AB30="C")+(AB29="Gn")&gt;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8" t="str">
        <f>IF(0+(AC30="X")+(AC30="Gn")+(AC30="C")+(AC29="Gn")&gt;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8" t="str">
        <f>IF(0+(AD30="X")+(AD30="Gn")+(AD30="C")+(AD29="Gn")&gt;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8" t="str">
        <f>IF(0+(AE30="X")+(AE30="Gn")+(AE30="C")+(AE29="Gn")&gt;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8" t="str">
        <f>IF(0+(AF30="X")+(AF30="Gn")+(AF30="C")+(AF29="Gn")&gt;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8" t="str">
        <f>IF(0+(AG30="X")+(AG30="Gn")+(AG30="C")+(AG29="Gn")&gt;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8" t="str">
        <f>IF(0+(AH30="X")+(AH30="Gn")+(AH30="C")+(AH29="Gn")&gt;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8" t="str">
        <f>IF(0+(AI30="X")+(AI30="Gn")+(AI30="C")+(AI29="Gn")&gt;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8" t="str">
        <f>IF(0+(AJ30="X")+(AJ30="Gn")+(AJ30="C")+(AJ29="Gn")&gt;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8" t="str">
        <f>IF(0+(AK30="X")+(AK30="Gn")+(AK30="C")+(AK29="Gn")&gt;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8" t="str">
        <f>IF(0+(AL30="X")+(AL30="Gn")+(AL30="C")+(AL29="Gn")&gt;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8" t="str">
        <f>IF(0+(AM30="X")+(AM30="Gn")+(AM30="C")+(AM29="Gn")&gt;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8" t="str">
        <f>IF(0+(AN30="X")+(AN30="Gn")+(AN30="C")+(AN29="Gn")&gt;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>
      <c r="A31" s="3" t="str">
        <f>CHOOSE(WEEKDAY(DATE($B$1,$A$2,B31),2),"lunedì","martedì","mercoledì","giovedì","venerdì","sabato","domenica")</f>
        <v>sabato</v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>
        <f>IF(SUMPRODUCT(($C$3:$P$3&lt;&gt;"")*($C31:$P31&lt;&gt;"")*(COUNTIFS($C31:$P31,$C31:$P31,$C$3:$P$3,$C$3:$P$3)&gt;1))&gt;0,"X","")</f>
      </c>
      <c r="S31" s="3" t="str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3" t="str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3" t="str">
        <f>A31</f>
        <v>sabato</v>
      </c>
      <c r="Z31" s="3">
        <f>B31</f>
        <v>28</v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 t="str">
        <f>IF(0+(AA31="X")+(AA31="Gn")+(AA31="C")+(AA30="Gn")&gt;0,"",IF(0+((AA31&lt;&gt;"Xm"))+((AA31&lt;&gt;"Xp"))+((AA31&lt;&gt;"Xn"))=0,"",IF(0+((AA31&lt;&gt;"Xm"))+((AA31&lt;&gt;"Xp"))+((AA31&lt;&gt;"Xn"))=3,AA$3&amp;", ",AA$3&amp;IF((AA31&lt;&gt;"Xm"),"_m","")&amp;IF((AA31&lt;&gt;"Xp"),"_p","")&amp;IF((AA31&lt;&gt;"Xn"),"_n","")&amp;", ")))</f>
        <v>LEONI, </v>
      </c>
      <c r="BP31" s="8" t="str">
        <f>IF(0+(AB31="X")+(AB31="Gn")+(AB31="C")+(AB30="Gn")&gt;0,"",IF(0+((AB31&lt;&gt;"Xm"))+((AB31&lt;&gt;"Xp"))+((AB31&lt;&gt;"Xn"))=0,"",IF(0+((AB31&lt;&gt;"Xm"))+((AB31&lt;&gt;"Xp"))+((AB31&lt;&gt;"Xn"))=3,AB$3&amp;", ",AB$3&amp;IF((AB31&lt;&gt;"Xm"),"_m","")&amp;IF((AB31&lt;&gt;"Xp"),"_p","")&amp;IF((AB31&lt;&gt;"Xn"),"_n","")&amp;", ")))</f>
        <v>ROSSI M, </v>
      </c>
      <c r="BQ31" s="8" t="str">
        <f>IF(0+(AC31="X")+(AC31="Gn")+(AC31="C")+(AC30="Gn")&gt;0,"",IF(0+((AC31&lt;&gt;"Xm"))+((AC31&lt;&gt;"Xp"))+((AC31&lt;&gt;"Xn"))=0,"",IF(0+((AC31&lt;&gt;"Xm"))+((AC31&lt;&gt;"Xp"))+((AC31&lt;&gt;"Xn"))=3,AC$3&amp;", ",AC$3&amp;IF((AC31&lt;&gt;"Xm"),"_m","")&amp;IF((AC31&lt;&gt;"Xp"),"_p","")&amp;IF((AC31&lt;&gt;"Xn"),"_n","")&amp;", ")))</f>
        <v>ROSSI L, </v>
      </c>
      <c r="BR31" s="8" t="str">
        <f>IF(0+(AD31="X")+(AD31="Gn")+(AD31="C")+(AD30="Gn")&gt;0,"",IF(0+((AD31&lt;&gt;"Xm"))+((AD31&lt;&gt;"Xp"))+((AD31&lt;&gt;"Xn"))=0,"",IF(0+((AD31&lt;&gt;"Xm"))+((AD31&lt;&gt;"Xp"))+((AD31&lt;&gt;"Xn"))=3,AD$3&amp;", ",AD$3&amp;IF((AD31&lt;&gt;"Xm"),"_m","")&amp;IF((AD31&lt;&gt;"Xp"),"_p","")&amp;IF((AD31&lt;&gt;"Xn"),"_n","")&amp;", ")))</f>
        <v>GALLINA, </v>
      </c>
      <c r="BS31" s="8" t="str">
        <f>IF(0+(AE31="X")+(AE31="Gn")+(AE31="C")+(AE30="Gn")&gt;0,"",IF(0+((AE31&lt;&gt;"Xm"))+((AE31&lt;&gt;"Xp"))+((AE31&lt;&gt;"Xn"))=0,"",IF(0+((AE31&lt;&gt;"Xm"))+((AE31&lt;&gt;"Xp"))+((AE31&lt;&gt;"Xn"))=3,AE$3&amp;", ",AE$3&amp;IF((AE31&lt;&gt;"Xm"),"_m","")&amp;IF((AE31&lt;&gt;"Xp"),"_p","")&amp;IF((AE31&lt;&gt;"Xn"),"_n","")&amp;", ")))</f>
        <v>RUSSO, </v>
      </c>
      <c r="BT31" s="8" t="str">
        <f>IF(0+(AF31="X")+(AF31="Gn")+(AF31="C")+(AF30="Gn")&gt;0,"",IF(0+((AF31&lt;&gt;"Xm"))+((AF31&lt;&gt;"Xp"))+((AF31&lt;&gt;"Xn"))=0,"",IF(0+((AF31&lt;&gt;"Xm"))+((AF31&lt;&gt;"Xp"))+((AF31&lt;&gt;"Xn"))=3,AF$3&amp;", ",AF$3&amp;IF((AF31&lt;&gt;"Xm"),"_m","")&amp;IF((AF31&lt;&gt;"Xp"),"_p","")&amp;IF((AF31&lt;&gt;"Xn"),"_n","")&amp;", ")))</f>
        <v>VERDI, </v>
      </c>
      <c r="BU31" s="8" t="str">
        <f>IF(0+(AG31="X")+(AG31="Gn")+(AG31="C")+(AG30="Gn")&gt;0,"",IF(0+((AG31&lt;&gt;"Xm"))+((AG31&lt;&gt;"Xp"))+((AG31&lt;&gt;"Xn"))=0,"",IF(0+((AG31&lt;&gt;"Xm"))+((AG31&lt;&gt;"Xp"))+((AG31&lt;&gt;"Xn"))=3,AG$3&amp;", ",AG$3&amp;IF((AG31&lt;&gt;"Xm"),"_m","")&amp;IF((AG31&lt;&gt;"Xp"),"_p","")&amp;IF((AG31&lt;&gt;"Xn"),"_n","")&amp;", ")))</f>
        <v>HU, </v>
      </c>
      <c r="BV31" s="8" t="str">
        <f>IF(0+(AH31="X")+(AH31="Gn")+(AH31="C")+(AH30="Gn")&gt;0,"",IF(0+((AH31&lt;&gt;"Xm"))+((AH31&lt;&gt;"Xp"))+((AH31&lt;&gt;"Xn"))=0,"",IF(0+((AH31&lt;&gt;"Xm"))+((AH31&lt;&gt;"Xp"))+((AH31&lt;&gt;"Xn"))=3,AH$3&amp;", ",AH$3&amp;IF((AH31&lt;&gt;"Xm"),"_m","")&amp;IF((AH31&lt;&gt;"Xp"),"_p","")&amp;IF((AH31&lt;&gt;"Xn"),"_n","")&amp;", ")))</f>
        <v>MARINI, </v>
      </c>
      <c r="BW31" s="8" t="str">
        <f>IF(0+(AI31="X")+(AI31="Gn")+(AI31="C")+(AI30="Gn")&gt;0,"",IF(0+((AI31&lt;&gt;"Xm"))+((AI31&lt;&gt;"Xp"))+((AI31&lt;&gt;"Xn"))=0,"",IF(0+((AI31&lt;&gt;"Xm"))+((AI31&lt;&gt;"Xp"))+((AI31&lt;&gt;"Xn"))=3,AI$3&amp;", ",AI$3&amp;IF((AI31&lt;&gt;"Xm"),"_m","")&amp;IF((AI31&lt;&gt;"Xp"),"_p","")&amp;IF((AI31&lt;&gt;"Xn"),"_n","")&amp;", ")))</f>
        <v>CONTI A, </v>
      </c>
      <c r="BX31" s="8" t="str">
        <f>IF(0+(AJ31="X")+(AJ31="Gn")+(AJ31="C")+(AJ30="Gn")&gt;0,"",IF(0+((AJ31&lt;&gt;"Xm"))+((AJ31&lt;&gt;"Xp"))+((AJ31&lt;&gt;"Xn"))=0,"",IF(0+((AJ31&lt;&gt;"Xm"))+((AJ31&lt;&gt;"Xp"))+((AJ31&lt;&gt;"Xn"))=3,AJ$3&amp;", ",AJ$3&amp;IF((AJ31&lt;&gt;"Xm"),"_m","")&amp;IF((AJ31&lt;&gt;"Xp"),"_p","")&amp;IF((AJ31&lt;&gt;"Xn"),"_n","")&amp;", ")))</f>
        <v>CONTI S, </v>
      </c>
      <c r="BY31" s="8" t="str">
        <f>IF(0+(AK31="X")+(AK31="Gn")+(AK31="C")+(AK30="Gn")&gt;0,"",IF(0+((AK31&lt;&gt;"Xm"))+((AK31&lt;&gt;"Xp"))+((AK31&lt;&gt;"Xn"))=0,"",IF(0+((AK31&lt;&gt;"Xm"))+((AK31&lt;&gt;"Xp"))+((AK31&lt;&gt;"Xn"))=3,AK$3&amp;", ",AK$3&amp;IF((AK31&lt;&gt;"Xm"),"_m","")&amp;IF((AK31&lt;&gt;"Xp"),"_p","")&amp;IF((AK31&lt;&gt;"Xn"),"_n","")&amp;", ")))</f>
        <v>FERRARI, </v>
      </c>
      <c r="BZ31" s="8" t="str">
        <f>IF(0+(AL31="X")+(AL31="Gn")+(AL31="C")+(AL30="Gn")&gt;0,"",IF(0+((AL31&lt;&gt;"Xm"))+((AL31&lt;&gt;"Xp"))+((AL31&lt;&gt;"Xn"))=0,"",IF(0+((AL31&lt;&gt;"Xm"))+((AL31&lt;&gt;"Xp"))+((AL31&lt;&gt;"Xn"))=3,AL$3&amp;", ",AL$3&amp;IF((AL31&lt;&gt;"Xm"),"_m","")&amp;IF((AL31&lt;&gt;"Xp"),"_p","")&amp;IF((AL31&lt;&gt;"Xn"),"_n","")&amp;", ")))</f>
        <v>GRECO, </v>
      </c>
      <c r="CA31" s="8" t="str">
        <f>IF(0+(AM31="X")+(AM31="Gn")+(AM31="C")+(AM30="Gn")&gt;0,"",IF(0+((AM31&lt;&gt;"Xm"))+((AM31&lt;&gt;"Xp"))+((AM31&lt;&gt;"Xn"))=0,"",IF(0+((AM31&lt;&gt;"Xm"))+((AM31&lt;&gt;"Xp"))+((AM31&lt;&gt;"Xn"))=3,AM$3&amp;", ",AM$3&amp;IF((AM31&lt;&gt;"Xm"),"_m","")&amp;IF((AM31&lt;&gt;"Xp"),"_p","")&amp;IF((AM31&lt;&gt;"Xn"),"_n","")&amp;", ")))</f>
        <v>SANNA, </v>
      </c>
      <c r="CB31" s="8" t="str">
        <f>IF(0+(AN31="X")+(AN31="Gn")+(AN31="C")+(AN30="Gn")&gt;0,"",IF(0+((AN31&lt;&gt;"Xm"))+((AN31&lt;&gt;"Xp"))+((AN31&lt;&gt;"Xn"))=0,"",IF(0+((AN31&lt;&gt;"Xm"))+((AN31&lt;&gt;"Xp"))+((AN31&lt;&gt;"Xn"))=3,AN$3&amp;", ",AN$3&amp;IF((AN31&lt;&gt;"Xm"),"_m","")&amp;IF((AN31&lt;&gt;"Xp"),"_p","")&amp;IF((AN31&lt;&gt;"Xn"),"_n","")&amp;", ")))</f>
        <v>LI, </v>
      </c>
      <c r="CC31" s="8" t="n"/>
      <c r="CD31" s="8" t="str">
        <f>IF(0+(AA31="X")+(AA31="Gn")+(AA31="C")+(AA30="Gn")&gt;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8" t="str">
        <f>IF(0+(AB31="X")+(AB31="Gn")+(AB31="C")+(AB30="Gn")&gt;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8" t="str">
        <f>IF(0+(AC31="X")+(AC31="Gn")+(AC31="C")+(AC30="Gn")&gt;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8" t="str">
        <f>IF(0+(AD31="X")+(AD31="Gn")+(AD31="C")+(AD30="Gn")&gt;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8" t="str">
        <f>IF(0+(AE31="X")+(AE31="Gn")+(AE31="C")+(AE30="Gn")&gt;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8" t="str">
        <f>IF(0+(AF31="X")+(AF31="Gn")+(AF31="C")+(AF30="Gn")&gt;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8" t="str">
        <f>IF(0+(AG31="X")+(AG31="Gn")+(AG31="C")+(AG30="Gn")&gt;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8" t="str">
        <f>IF(0+(AH31="X")+(AH31="Gn")+(AH31="C")+(AH30="Gn")&gt;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8" t="str">
        <f>IF(0+(AI31="X")+(AI31="Gn")+(AI31="C")+(AI30="Gn")&gt;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8" t="str">
        <f>IF(0+(AJ31="X")+(AJ31="Gn")+(AJ31="C")+(AJ30="Gn")&gt;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8" t="str">
        <f>IF(0+(AK31="X")+(AK31="Gn")+(AK31="C")+(AK30="Gn")&gt;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8" t="str">
        <f>IF(0+(AL31="X")+(AL31="Gn")+(AL31="C")+(AL30="Gn")&gt;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8" t="str">
        <f>IF(0+(AM31="X")+(AM31="Gn")+(AM31="C")+(AM30="Gn")&gt;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8" t="str">
        <f>IF(0+(AN31="X")+(AN31="Gn")+(AN31="C")+(AN30="Gn")&gt;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>
      <c r="A32" s="3" t="str">
        <f>CHOOSE(WEEKDAY(DATE($B$1,$A$2,B32),2),"lunedì","martedì","mercoledì","giovedì","venerdì","sabato","domenica")</f>
        <v>domenica</v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>
        <f>IF(SUMPRODUCT(($C$3:$P$3&lt;&gt;"")*($C32:$P32&lt;&gt;"")*(COUNTIFS($C32:$P32,$C32:$P32,$C$3:$P$3,$C$3:$P$3)&gt;1))&gt;0,"X","")</f>
      </c>
      <c r="S32" s="3" t="str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3" t="str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3" t="str">
        <f>A32</f>
        <v>domenica</v>
      </c>
      <c r="Z32" s="3">
        <f>B32</f>
        <v>29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 t="str">
        <f>IF(0+(AA32="X")+(AA32="Gn")+(AA32="C")+(AA31="Gn")&gt;0,"",IF(0+((AA32&lt;&gt;"Xm"))+((AA32&lt;&gt;"Xp"))+((AA32&lt;&gt;"Xn"))=0,"",IF(0+((AA32&lt;&gt;"Xm"))+((AA32&lt;&gt;"Xp"))+((AA32&lt;&gt;"Xn"))=3,AA$3&amp;", ",AA$3&amp;IF((AA32&lt;&gt;"Xm"),"_m","")&amp;IF((AA32&lt;&gt;"Xp"),"_p","")&amp;IF((AA32&lt;&gt;"Xn"),"_n","")&amp;", ")))</f>
        <v>LEONI, </v>
      </c>
      <c r="BP32" s="8" t="str">
        <f>IF(0+(AB32="X")+(AB32="Gn")+(AB32="C")+(AB31="Gn")&gt;0,"",IF(0+((AB32&lt;&gt;"Xm"))+((AB32&lt;&gt;"Xp"))+((AB32&lt;&gt;"Xn"))=0,"",IF(0+((AB32&lt;&gt;"Xm"))+((AB32&lt;&gt;"Xp"))+((AB32&lt;&gt;"Xn"))=3,AB$3&amp;", ",AB$3&amp;IF((AB32&lt;&gt;"Xm"),"_m","")&amp;IF((AB32&lt;&gt;"Xp"),"_p","")&amp;IF((AB32&lt;&gt;"Xn"),"_n","")&amp;", ")))</f>
        <v>ROSSI M, </v>
      </c>
      <c r="BQ32" s="8" t="str">
        <f>IF(0+(AC32="X")+(AC32="Gn")+(AC32="C")+(AC31="Gn")&gt;0,"",IF(0+((AC32&lt;&gt;"Xm"))+((AC32&lt;&gt;"Xp"))+((AC32&lt;&gt;"Xn"))=0,"",IF(0+((AC32&lt;&gt;"Xm"))+((AC32&lt;&gt;"Xp"))+((AC32&lt;&gt;"Xn"))=3,AC$3&amp;", ",AC$3&amp;IF((AC32&lt;&gt;"Xm"),"_m","")&amp;IF((AC32&lt;&gt;"Xp"),"_p","")&amp;IF((AC32&lt;&gt;"Xn"),"_n","")&amp;", ")))</f>
        <v>ROSSI L, </v>
      </c>
      <c r="BR32" s="8" t="str">
        <f>IF(0+(AD32="X")+(AD32="Gn")+(AD32="C")+(AD31="Gn")&gt;0,"",IF(0+((AD32&lt;&gt;"Xm"))+((AD32&lt;&gt;"Xp"))+((AD32&lt;&gt;"Xn"))=0,"",IF(0+((AD32&lt;&gt;"Xm"))+((AD32&lt;&gt;"Xp"))+((AD32&lt;&gt;"Xn"))=3,AD$3&amp;", ",AD$3&amp;IF((AD32&lt;&gt;"Xm"),"_m","")&amp;IF((AD32&lt;&gt;"Xp"),"_p","")&amp;IF((AD32&lt;&gt;"Xn"),"_n","")&amp;", ")))</f>
        <v>GALLINA, </v>
      </c>
      <c r="BS32" s="8" t="str">
        <f>IF(0+(AE32="X")+(AE32="Gn")+(AE32="C")+(AE31="Gn")&gt;0,"",IF(0+((AE32&lt;&gt;"Xm"))+((AE32&lt;&gt;"Xp"))+((AE32&lt;&gt;"Xn"))=0,"",IF(0+((AE32&lt;&gt;"Xm"))+((AE32&lt;&gt;"Xp"))+((AE32&lt;&gt;"Xn"))=3,AE$3&amp;", ",AE$3&amp;IF((AE32&lt;&gt;"Xm"),"_m","")&amp;IF((AE32&lt;&gt;"Xp"),"_p","")&amp;IF((AE32&lt;&gt;"Xn"),"_n","")&amp;", ")))</f>
        <v>RUSSO, </v>
      </c>
      <c r="BT32" s="8" t="str">
        <f>IF(0+(AF32="X")+(AF32="Gn")+(AF32="C")+(AF31="Gn")&gt;0,"",IF(0+((AF32&lt;&gt;"Xm"))+((AF32&lt;&gt;"Xp"))+((AF32&lt;&gt;"Xn"))=0,"",IF(0+((AF32&lt;&gt;"Xm"))+((AF32&lt;&gt;"Xp"))+((AF32&lt;&gt;"Xn"))=3,AF$3&amp;", ",AF$3&amp;IF((AF32&lt;&gt;"Xm"),"_m","")&amp;IF((AF32&lt;&gt;"Xp"),"_p","")&amp;IF((AF32&lt;&gt;"Xn"),"_n","")&amp;", ")))</f>
        <v>VERDI, </v>
      </c>
      <c r="BU32" s="8" t="str">
        <f>IF(0+(AG32="X")+(AG32="Gn")+(AG32="C")+(AG31="Gn")&gt;0,"",IF(0+((AG32&lt;&gt;"Xm"))+((AG32&lt;&gt;"Xp"))+((AG32&lt;&gt;"Xn"))=0,"",IF(0+((AG32&lt;&gt;"Xm"))+((AG32&lt;&gt;"Xp"))+((AG32&lt;&gt;"Xn"))=3,AG$3&amp;", ",AG$3&amp;IF((AG32&lt;&gt;"Xm"),"_m","")&amp;IF((AG32&lt;&gt;"Xp"),"_p","")&amp;IF((AG32&lt;&gt;"Xn"),"_n","")&amp;", ")))</f>
        <v>HU, </v>
      </c>
      <c r="BV32" s="8" t="str">
        <f>IF(0+(AH32="X")+(AH32="Gn")+(AH32="C")+(AH31="Gn")&gt;0,"",IF(0+((AH32&lt;&gt;"Xm"))+((AH32&lt;&gt;"Xp"))+((AH32&lt;&gt;"Xn"))=0,"",IF(0+((AH32&lt;&gt;"Xm"))+((AH32&lt;&gt;"Xp"))+((AH32&lt;&gt;"Xn"))=3,AH$3&amp;", ",AH$3&amp;IF((AH32&lt;&gt;"Xm"),"_m","")&amp;IF((AH32&lt;&gt;"Xp"),"_p","")&amp;IF((AH32&lt;&gt;"Xn"),"_n","")&amp;", ")))</f>
        <v>MARINI, </v>
      </c>
      <c r="BW32" s="8" t="str">
        <f>IF(0+(AI32="X")+(AI32="Gn")+(AI32="C")+(AI31="Gn")&gt;0,"",IF(0+((AI32&lt;&gt;"Xm"))+((AI32&lt;&gt;"Xp"))+((AI32&lt;&gt;"Xn"))=0,"",IF(0+((AI32&lt;&gt;"Xm"))+((AI32&lt;&gt;"Xp"))+((AI32&lt;&gt;"Xn"))=3,AI$3&amp;", ",AI$3&amp;IF((AI32&lt;&gt;"Xm"),"_m","")&amp;IF((AI32&lt;&gt;"Xp"),"_p","")&amp;IF((AI32&lt;&gt;"Xn"),"_n","")&amp;", ")))</f>
        <v>CONTI A, </v>
      </c>
      <c r="BX32" s="8" t="str">
        <f>IF(0+(AJ32="X")+(AJ32="Gn")+(AJ32="C")+(AJ31="Gn")&gt;0,"",IF(0+((AJ32&lt;&gt;"Xm"))+((AJ32&lt;&gt;"Xp"))+((AJ32&lt;&gt;"Xn"))=0,"",IF(0+((AJ32&lt;&gt;"Xm"))+((AJ32&lt;&gt;"Xp"))+((AJ32&lt;&gt;"Xn"))=3,AJ$3&amp;", ",AJ$3&amp;IF((AJ32&lt;&gt;"Xm"),"_m","")&amp;IF((AJ32&lt;&gt;"Xp"),"_p","")&amp;IF((AJ32&lt;&gt;"Xn"),"_n","")&amp;", ")))</f>
        <v>CONTI S, </v>
      </c>
      <c r="BY32" s="8" t="str">
        <f>IF(0+(AK32="X")+(AK32="Gn")+(AK32="C")+(AK31="Gn")&gt;0,"",IF(0+((AK32&lt;&gt;"Xm"))+((AK32&lt;&gt;"Xp"))+((AK32&lt;&gt;"Xn"))=0,"",IF(0+((AK32&lt;&gt;"Xm"))+((AK32&lt;&gt;"Xp"))+((AK32&lt;&gt;"Xn"))=3,AK$3&amp;", ",AK$3&amp;IF((AK32&lt;&gt;"Xm"),"_m","")&amp;IF((AK32&lt;&gt;"Xp"),"_p","")&amp;IF((AK32&lt;&gt;"Xn"),"_n","")&amp;", ")))</f>
        <v>FERRARI, </v>
      </c>
      <c r="BZ32" s="8" t="str">
        <f>IF(0+(AL32="X")+(AL32="Gn")+(AL32="C")+(AL31="Gn")&gt;0,"",IF(0+((AL32&lt;&gt;"Xm"))+((AL32&lt;&gt;"Xp"))+((AL32&lt;&gt;"Xn"))=0,"",IF(0+((AL32&lt;&gt;"Xm"))+((AL32&lt;&gt;"Xp"))+((AL32&lt;&gt;"Xn"))=3,AL$3&amp;", ",AL$3&amp;IF((AL32&lt;&gt;"Xm"),"_m","")&amp;IF((AL32&lt;&gt;"Xp"),"_p","")&amp;IF((AL32&lt;&gt;"Xn"),"_n","")&amp;", ")))</f>
        <v>GRECO, </v>
      </c>
      <c r="CA32" s="8" t="str">
        <f>IF(0+(AM32="X")+(AM32="Gn")+(AM32="C")+(AM31="Gn")&gt;0,"",IF(0+((AM32&lt;&gt;"Xm"))+((AM32&lt;&gt;"Xp"))+((AM32&lt;&gt;"Xn"))=0,"",IF(0+((AM32&lt;&gt;"Xm"))+((AM32&lt;&gt;"Xp"))+((AM32&lt;&gt;"Xn"))=3,AM$3&amp;", ",AM$3&amp;IF((AM32&lt;&gt;"Xm"),"_m","")&amp;IF((AM32&lt;&gt;"Xp"),"_p","")&amp;IF((AM32&lt;&gt;"Xn"),"_n","")&amp;", ")))</f>
        <v>SANNA, </v>
      </c>
      <c r="CB32" s="8" t="str">
        <f>IF(0+(AN32="X")+(AN32="Gn")+(AN32="C")+(AN31="Gn")&gt;0,"",IF(0+((AN32&lt;&gt;"Xm"))+((AN32&lt;&gt;"Xp"))+((AN32&lt;&gt;"Xn"))=0,"",IF(0+((AN32&lt;&gt;"Xm"))+((AN32&lt;&gt;"Xp"))+((AN32&lt;&gt;"Xn"))=3,AN$3&amp;", ",AN$3&amp;IF((AN32&lt;&gt;"Xm"),"_m","")&amp;IF((AN32&lt;&gt;"Xp"),"_p","")&amp;IF((AN32&lt;&gt;"Xn"),"_n","")&amp;", ")))</f>
        <v>LI, </v>
      </c>
      <c r="CC32" s="8" t="n"/>
      <c r="CD32" s="8" t="str">
        <f>IF(0+(AA32="X")+(AA32="Gn")+(AA32="C")+(AA31="Gn")&gt;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8" t="str">
        <f>IF(0+(AB32="X")+(AB32="Gn")+(AB32="C")+(AB31="Gn")&gt;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8" t="str">
        <f>IF(0+(AC32="X")+(AC32="Gn")+(AC32="C")+(AC31="Gn")&gt;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8" t="str">
        <f>IF(0+(AD32="X")+(AD32="Gn")+(AD32="C")+(AD31="Gn")&gt;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8" t="str">
        <f>IF(0+(AE32="X")+(AE32="Gn")+(AE32="C")+(AE31="Gn")&gt;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8" t="str">
        <f>IF(0+(AF32="X")+(AF32="Gn")+(AF32="C")+(AF31="Gn")&gt;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8" t="str">
        <f>IF(0+(AG32="X")+(AG32="Gn")+(AG32="C")+(AG31="Gn")&gt;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8" t="str">
        <f>IF(0+(AH32="X")+(AH32="Gn")+(AH32="C")+(AH31="Gn")&gt;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8" t="str">
        <f>IF(0+(AI32="X")+(AI32="Gn")+(AI32="C")+(AI31="Gn")&gt;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8" t="str">
        <f>IF(0+(AJ32="X")+(AJ32="Gn")+(AJ32="C")+(AJ31="Gn")&gt;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8" t="str">
        <f>IF(0+(AK32="X")+(AK32="Gn")+(AK32="C")+(AK31="Gn")&gt;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8" t="str">
        <f>IF(0+(AL32="X")+(AL32="Gn")+(AL32="C")+(AL31="Gn")&gt;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8" t="str">
        <f>IF(0+(AM32="X")+(AM32="Gn")+(AM32="C")+(AM31="Gn")&gt;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8" t="str">
        <f>IF(0+(AN32="X")+(AN32="Gn")+(AN32="C")+(AN31="Gn")&gt;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IF(SUMPRODUCT(($C$3:$P$3&lt;&gt;"")*($C33:$P33&lt;&gt;"")*(COUNTIFS($C33:$P33,$C33:$P33,$C$3:$P$3,$C$3:$P$3)&gt;1))&gt;0,"X","")</f>
      </c>
      <c r="S33" s="10" t="str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0" t="str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9" t="str">
        <f>A33</f>
        <v>lunedì</v>
      </c>
      <c r="Z33" s="9">
        <f>B33</f>
        <v>30</v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 t="str">
        <f>IF(0+(AA33="X")+(AA33="Gn")+(AA33="C")+(AA32="Gn")&gt;0,"",IF(0+((AA33&lt;&gt;"Xm"))+((AA33&lt;&gt;"Xp"))+((AA33&lt;&gt;"Xn"))=0,"",IF(0+((AA33&lt;&gt;"Xm"))+((AA33&lt;&gt;"Xp"))+((AA33&lt;&gt;"Xn"))=3,AA$3&amp;", ",AA$3&amp;IF((AA33&lt;&gt;"Xm"),"_m","")&amp;IF((AA33&lt;&gt;"Xp"),"_p","")&amp;IF((AA33&lt;&gt;"Xn"),"_n","")&amp;", ")))</f>
        <v>LEONI, </v>
      </c>
      <c r="BP33" s="8" t="str">
        <f>IF(0+(AB33="X")+(AB33="Gn")+(AB33="C")+(AB32="Gn")&gt;0,"",IF(0+((AB33&lt;&gt;"Xm"))+((AB33&lt;&gt;"Xp"))+((AB33&lt;&gt;"Xn"))=0,"",IF(0+((AB33&lt;&gt;"Xm"))+((AB33&lt;&gt;"Xp"))+((AB33&lt;&gt;"Xn"))=3,AB$3&amp;", ",AB$3&amp;IF((AB33&lt;&gt;"Xm"),"_m","")&amp;IF((AB33&lt;&gt;"Xp"),"_p","")&amp;IF((AB33&lt;&gt;"Xn"),"_n","")&amp;", ")))</f>
        <v>ROSSI M, </v>
      </c>
      <c r="BQ33" s="8" t="str">
        <f>IF(0+(AC33="X")+(AC33="Gn")+(AC33="C")+(AC32="Gn")&gt;0,"",IF(0+((AC33&lt;&gt;"Xm"))+((AC33&lt;&gt;"Xp"))+((AC33&lt;&gt;"Xn"))=0,"",IF(0+((AC33&lt;&gt;"Xm"))+((AC33&lt;&gt;"Xp"))+((AC33&lt;&gt;"Xn"))=3,AC$3&amp;", ",AC$3&amp;IF((AC33&lt;&gt;"Xm"),"_m","")&amp;IF((AC33&lt;&gt;"Xp"),"_p","")&amp;IF((AC33&lt;&gt;"Xn"),"_n","")&amp;", ")))</f>
        <v>ROSSI L, </v>
      </c>
      <c r="BR33" s="8" t="str">
        <f>IF(0+(AD33="X")+(AD33="Gn")+(AD33="C")+(AD32="Gn")&gt;0,"",IF(0+((AD33&lt;&gt;"Xm"))+((AD33&lt;&gt;"Xp"))+((AD33&lt;&gt;"Xn"))=0,"",IF(0+((AD33&lt;&gt;"Xm"))+((AD33&lt;&gt;"Xp"))+((AD33&lt;&gt;"Xn"))=3,AD$3&amp;", ",AD$3&amp;IF((AD33&lt;&gt;"Xm"),"_m","")&amp;IF((AD33&lt;&gt;"Xp"),"_p","")&amp;IF((AD33&lt;&gt;"Xn"),"_n","")&amp;", ")))</f>
        <v>GALLINA, </v>
      </c>
      <c r="BS33" s="8" t="str">
        <f>IF(0+(AE33="X")+(AE33="Gn")+(AE33="C")+(AE32="Gn")&gt;0,"",IF(0+((AE33&lt;&gt;"Xm"))+((AE33&lt;&gt;"Xp"))+((AE33&lt;&gt;"Xn"))=0,"",IF(0+((AE33&lt;&gt;"Xm"))+((AE33&lt;&gt;"Xp"))+((AE33&lt;&gt;"Xn"))=3,AE$3&amp;", ",AE$3&amp;IF((AE33&lt;&gt;"Xm"),"_m","")&amp;IF((AE33&lt;&gt;"Xp"),"_p","")&amp;IF((AE33&lt;&gt;"Xn"),"_n","")&amp;", ")))</f>
        <v>RUSSO, </v>
      </c>
      <c r="BT33" s="8" t="str">
        <f>IF(0+(AF33="X")+(AF33="Gn")+(AF33="C")+(AF32="Gn")&gt;0,"",IF(0+((AF33&lt;&gt;"Xm"))+((AF33&lt;&gt;"Xp"))+((AF33&lt;&gt;"Xn"))=0,"",IF(0+((AF33&lt;&gt;"Xm"))+((AF33&lt;&gt;"Xp"))+((AF33&lt;&gt;"Xn"))=3,AF$3&amp;", ",AF$3&amp;IF((AF33&lt;&gt;"Xm"),"_m","")&amp;IF((AF33&lt;&gt;"Xp"),"_p","")&amp;IF((AF33&lt;&gt;"Xn"),"_n","")&amp;", ")))</f>
        <v>VERDI, </v>
      </c>
      <c r="BU33" s="8" t="str">
        <f>IF(0+(AG33="X")+(AG33="Gn")+(AG33="C")+(AG32="Gn")&gt;0,"",IF(0+((AG33&lt;&gt;"Xm"))+((AG33&lt;&gt;"Xp"))+((AG33&lt;&gt;"Xn"))=0,"",IF(0+((AG33&lt;&gt;"Xm"))+((AG33&lt;&gt;"Xp"))+((AG33&lt;&gt;"Xn"))=3,AG$3&amp;", ",AG$3&amp;IF((AG33&lt;&gt;"Xm"),"_m","")&amp;IF((AG33&lt;&gt;"Xp"),"_p","")&amp;IF((AG33&lt;&gt;"Xn"),"_n","")&amp;", ")))</f>
        <v>HU, </v>
      </c>
      <c r="BV33" s="8" t="str">
        <f>IF(0+(AH33="X")+(AH33="Gn")+(AH33="C")+(AH32="Gn")&gt;0,"",IF(0+((AH33&lt;&gt;"Xm"))+((AH33&lt;&gt;"Xp"))+((AH33&lt;&gt;"Xn"))=0,"",IF(0+((AH33&lt;&gt;"Xm"))+((AH33&lt;&gt;"Xp"))+((AH33&lt;&gt;"Xn"))=3,AH$3&amp;", ",AH$3&amp;IF((AH33&lt;&gt;"Xm"),"_m","")&amp;IF((AH33&lt;&gt;"Xp"),"_p","")&amp;IF((AH33&lt;&gt;"Xn"),"_n","")&amp;", ")))</f>
        <v>MARINI, </v>
      </c>
      <c r="BW33" s="8" t="str">
        <f>IF(0+(AI33="X")+(AI33="Gn")+(AI33="C")+(AI32="Gn")&gt;0,"",IF(0+((AI33&lt;&gt;"Xm"))+((AI33&lt;&gt;"Xp"))+((AI33&lt;&gt;"Xn"))=0,"",IF(0+((AI33&lt;&gt;"Xm"))+((AI33&lt;&gt;"Xp"))+((AI33&lt;&gt;"Xn"))=3,AI$3&amp;", ",AI$3&amp;IF((AI33&lt;&gt;"Xm"),"_m","")&amp;IF((AI33&lt;&gt;"Xp"),"_p","")&amp;IF((AI33&lt;&gt;"Xn"),"_n","")&amp;", ")))</f>
        <v>CONTI A, </v>
      </c>
      <c r="BX33" s="8" t="str">
        <f>IF(0+(AJ33="X")+(AJ33="Gn")+(AJ33="C")+(AJ32="Gn")&gt;0,"",IF(0+((AJ33&lt;&gt;"Xm"))+((AJ33&lt;&gt;"Xp"))+((AJ33&lt;&gt;"Xn"))=0,"",IF(0+((AJ33&lt;&gt;"Xm"))+((AJ33&lt;&gt;"Xp"))+((AJ33&lt;&gt;"Xn"))=3,AJ$3&amp;", ",AJ$3&amp;IF((AJ33&lt;&gt;"Xm"),"_m","")&amp;IF((AJ33&lt;&gt;"Xp"),"_p","")&amp;IF((AJ33&lt;&gt;"Xn"),"_n","")&amp;", ")))</f>
        <v>CONTI S, </v>
      </c>
      <c r="BY33" s="8" t="str">
        <f>IF(0+(AK33="X")+(AK33="Gn")+(AK33="C")+(AK32="Gn")&gt;0,"",IF(0+((AK33&lt;&gt;"Xm"))+((AK33&lt;&gt;"Xp"))+((AK33&lt;&gt;"Xn"))=0,"",IF(0+((AK33&lt;&gt;"Xm"))+((AK33&lt;&gt;"Xp"))+((AK33&lt;&gt;"Xn"))=3,AK$3&amp;", ",AK$3&amp;IF((AK33&lt;&gt;"Xm"),"_m","")&amp;IF((AK33&lt;&gt;"Xp"),"_p","")&amp;IF((AK33&lt;&gt;"Xn"),"_n","")&amp;", ")))</f>
        <v>FERRARI, </v>
      </c>
      <c r="BZ33" s="8" t="str">
        <f>IF(0+(AL33="X")+(AL33="Gn")+(AL33="C")+(AL32="Gn")&gt;0,"",IF(0+((AL33&lt;&gt;"Xm"))+((AL33&lt;&gt;"Xp"))+((AL33&lt;&gt;"Xn"))=0,"",IF(0+((AL33&lt;&gt;"Xm"))+((AL33&lt;&gt;"Xp"))+((AL33&lt;&gt;"Xn"))=3,AL$3&amp;", ",AL$3&amp;IF((AL33&lt;&gt;"Xm"),"_m","")&amp;IF((AL33&lt;&gt;"Xp"),"_p","")&amp;IF((AL33&lt;&gt;"Xn"),"_n","")&amp;", ")))</f>
        <v>GRECO, </v>
      </c>
      <c r="CA33" s="8" t="str">
        <f>IF(0+(AM33="X")+(AM33="Gn")+(AM33="C")+(AM32="Gn")&gt;0,"",IF(0+((AM33&lt;&gt;"Xm"))+((AM33&lt;&gt;"Xp"))+((AM33&lt;&gt;"Xn"))=0,"",IF(0+((AM33&lt;&gt;"Xm"))+((AM33&lt;&gt;"Xp"))+((AM33&lt;&gt;"Xn"))=3,AM$3&amp;", ",AM$3&amp;IF((AM33&lt;&gt;"Xm"),"_m","")&amp;IF((AM33&lt;&gt;"Xp"),"_p","")&amp;IF((AM33&lt;&gt;"Xn"),"_n","")&amp;", ")))</f>
        <v>SANNA, </v>
      </c>
      <c r="CB33" s="8" t="str">
        <f>IF(0+(AN33="X")+(AN33="Gn")+(AN33="C")+(AN32="Gn")&gt;0,"",IF(0+((AN33&lt;&gt;"Xm"))+((AN33&lt;&gt;"Xp"))+((AN33&lt;&gt;"Xn"))=0,"",IF(0+((AN33&lt;&gt;"Xm"))+((AN33&lt;&gt;"Xp"))+((AN33&lt;&gt;"Xn"))=3,AN$3&amp;", ",AN$3&amp;IF((AN33&lt;&gt;"Xm"),"_m","")&amp;IF((AN33&lt;&gt;"Xp"),"_p","")&amp;IF((AN33&lt;&gt;"Xn"),"_n","")&amp;", ")))</f>
        <v>LI, </v>
      </c>
      <c r="CC33" s="8" t="n"/>
      <c r="CD33" s="8" t="str">
        <f>IF(0+(AA33="X")+(AA33="Gn")+(AA33="C")+(AA32="Gn")&gt;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8" t="str">
        <f>IF(0+(AB33="X")+(AB33="Gn")+(AB33="C")+(AB32="Gn")&gt;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8" t="str">
        <f>IF(0+(AC33="X")+(AC33="Gn")+(AC33="C")+(AC32="Gn")&gt;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8" t="str">
        <f>IF(0+(AD33="X")+(AD33="Gn")+(AD33="C")+(AD32="Gn")&gt;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8" t="str">
        <f>IF(0+(AE33="X")+(AE33="Gn")+(AE33="C")+(AE32="Gn")&gt;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8" t="str">
        <f>IF(0+(AF33="X")+(AF33="Gn")+(AF33="C")+(AF32="Gn")&gt;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8" t="str">
        <f>IF(0+(AG33="X")+(AG33="Gn")+(AG33="C")+(AG32="Gn")&gt;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8" t="str">
        <f>IF(0+(AH33="X")+(AH33="Gn")+(AH33="C")+(AH32="Gn")&gt;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8" t="str">
        <f>IF(0+(AI33="X")+(AI33="Gn")+(AI33="C")+(AI32="Gn")&gt;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8" t="str">
        <f>IF(0+(AJ33="X")+(AJ33="Gn")+(AJ33="C")+(AJ32="Gn")&gt;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8" t="str">
        <f>IF(0+(AK33="X")+(AK33="Gn")+(AK33="C")+(AK32="Gn")&gt;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8" t="str">
        <f>IF(0+(AL33="X")+(AL33="Gn")+(AL33="C")+(AL32="Gn")&gt;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8" t="str">
        <f>IF(0+(AM33="X")+(AM33="Gn")+(AM33="C")+(AM32="Gn")&gt;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8" t="str">
        <f>IF(0+(AN33="X")+(AN33="Gn")+(AN33="C")+(AN32="Gn")&gt;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2026-09-08T23:02:03Z</dcterms:created>
  <dcterms:modified xmlns:dcterms="http://purl.org/dc/terms/" xmlns:xsi="http://www.w3.org/2001/XMLSchema-instance" xsi:type="dcterms:W3CDTF">2026-09-08T23:02:03Z</dcterms:modified>
</cp:coreProperties>
</file>