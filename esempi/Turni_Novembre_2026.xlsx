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re 2026" sheetId="1" state="visible" r:id="rId1"/>
  </sheets>
  <definedNames/>
  <calcPr calcId="191029" calcMode="auto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3" customWidth="1" min="13" max="13"/>
    <col width="9" customWidth="1" min="14" max="14"/>
    <col width="9" customWidth="1" min="15" max="15"/>
    <col width="9" customWidth="1" min="16" max="16"/>
    <col width="9" customWidth="1" min="17" max="17"/>
    <col width="3" customWidth="1" min="18" max="18"/>
    <col width="11" customWidth="1" min="19" max="19"/>
    <col width="106" customWidth="1" min="20" max="20"/>
    <col width="162" customWidth="1" min="21" max="21"/>
    <col width="11" customWidth="1" min="26" max="26"/>
    <col width="6" customWidth="1" min="27" max="27"/>
    <col width="7" customWidth="1" min="28" max="28"/>
    <col width="9" customWidth="1" min="29" max="29"/>
    <col width="9" customWidth="1" min="30" max="30"/>
    <col width="9" customWidth="1" min="31" max="31"/>
    <col width="7" customWidth="1" min="32" max="32"/>
    <col width="7" customWidth="1" min="33" max="33"/>
    <col width="6" customWidth="1" min="34" max="34"/>
    <col width="8" customWidth="1" min="35" max="35"/>
    <col width="9" customWidth="1" min="36" max="36"/>
    <col width="9" customWidth="1" min="37" max="37"/>
    <col width="9" customWidth="1" min="38" max="38"/>
    <col width="7" customWidth="1" min="39" max="39"/>
    <col width="7" customWidth="1" min="40" max="40"/>
    <col width="6" customWidth="1" min="41" max="41"/>
    <col width="8" customWidth="1" min="43" max="43"/>
    <col width="82" customWidth="1" min="44" max="44"/>
    <col width="20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3" customWidth="1" min="53" max="53"/>
    <col width="9" customWidth="1" min="54" max="54"/>
    <col width="8" customWidth="1" min="55" max="55"/>
    <col width="20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3" customWidth="1" min="64" max="64"/>
    <col width="9" customWidth="1" min="65" max="65"/>
    <col width="8" customWidth="1" min="66" max="66"/>
    <col hidden="1" width="11" customWidth="1" min="68" max="68"/>
    <col hidden="1" width="11" customWidth="1" min="69" max="69"/>
    <col hidden="1" width="11" customWidth="1" min="70" max="70"/>
    <col hidden="1" width="11" customWidth="1" min="71" max="71"/>
    <col hidden="1" width="11" customWidth="1" min="72" max="72"/>
    <col hidden="1" width="11" customWidth="1" min="73" max="73"/>
    <col hidden="1" width="11" customWidth="1" min="74" max="74"/>
    <col hidden="1" width="11" customWidth="1" min="75" max="75"/>
    <col hidden="1" width="11" customWidth="1" min="76" max="76"/>
    <col hidden="1" width="11" customWidth="1" min="77" max="77"/>
    <col hidden="1" width="11" customWidth="1" min="78" max="78"/>
    <col hidden="1" width="11" customWidth="1" min="79" max="79"/>
    <col hidden="1" width="11" customWidth="1" min="80" max="80"/>
    <col hidden="1" width="11" customWidth="1" min="81" max="81"/>
    <col hidden="1" width="11" customWidth="1" min="82" max="82"/>
    <col hidden="1" width="11" customWidth="1" min="83" max="83"/>
    <col hidden="1" width="11" customWidth="1" min="84" max="84"/>
    <col hidden="1" width="11" customWidth="1" min="85" max="85"/>
    <col hidden="1" width="11" customWidth="1" min="86" max="86"/>
    <col hidden="1" width="11" customWidth="1" min="87" max="87"/>
    <col hidden="1" width="11" customWidth="1" min="88" max="88"/>
    <col hidden="1" width="11" customWidth="1" min="89" max="89"/>
    <col hidden="1" width="11" customWidth="1" min="90" max="90"/>
    <col hidden="1" width="11" customWidth="1" min="91" max="91"/>
    <col hidden="1" width="11" customWidth="1" min="92" max="92"/>
    <col hidden="1" width="11" customWidth="1" min="93" max="93"/>
    <col hidden="1" width="11" customWidth="1" min="94" max="94"/>
    <col hidden="1" width="11" customWidth="1" min="95" max="95"/>
    <col hidden="1" width="11" customWidth="1" min="96" max="96"/>
  </cols>
  <sheetData>
    <row r="1">
      <c r="A1" s="1" t="inlineStr">
        <is>
          <t>NOVEMBRE</t>
        </is>
      </c>
      <c r="B1" s="1" t="n">
        <v>2026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</row>
    <row r="2">
      <c r="A2" s="1" t="n">
        <v>11</v>
      </c>
      <c r="B2" s="1" t="n"/>
      <c r="C2" s="1" t="inlineStr">
        <is>
          <t>STANZA 23</t>
        </is>
      </c>
      <c r="D2" s="1" t="n"/>
      <c r="E2" s="1" t="inlineStr">
        <is>
          <t>STANZA 24</t>
        </is>
      </c>
      <c r="F2" s="1" t="n"/>
      <c r="G2" s="1" t="inlineStr">
        <is>
          <t>STANZA 25</t>
        </is>
      </c>
      <c r="H2" s="1" t="n"/>
      <c r="I2" s="1" t="inlineStr">
        <is>
          <t>STANZA 26</t>
        </is>
      </c>
      <c r="J2" s="1" t="n"/>
      <c r="K2" s="1" t="inlineStr">
        <is>
          <t>STANZA 43</t>
        </is>
      </c>
      <c r="L2" s="1" t="inlineStr">
        <is>
          <t>STANZA 31</t>
        </is>
      </c>
      <c r="M2" s="1" t="inlineStr">
        <is>
          <t>AMB ESTERNO</t>
        </is>
      </c>
      <c r="N2" s="1" t="inlineStr">
        <is>
          <t>GUARDIA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inlineStr">
        <is>
          <t>INDISPONIBILITÀ</t>
        </is>
      </c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inlineStr">
        <is>
          <t>LEGENDA CODICI</t>
        </is>
      </c>
      <c r="AR2" s="1" t="n"/>
      <c r="AS2" s="1" t="n"/>
      <c r="AT2" s="2" t="inlineStr">
        <is>
          <t>TURNI MESE CORRENTE</t>
        </is>
      </c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1" t="n"/>
      <c r="BE2" s="2" t="inlineStr">
        <is>
          <t>TURNI MESE PRECEDENTE</t>
        </is>
      </c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1" t="n"/>
      <c r="BP2" s="1" t="inlineStr">
        <is>
          <t>AREA DI CALCOLO DISPONIBILI — non modificare</t>
        </is>
      </c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inlineStr">
        <is>
          <t>AREA DI CALCOLO LIBERI — non modificare</t>
        </is>
      </c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</row>
    <row r="3">
      <c r="A3" s="2" t="n"/>
      <c r="B3" s="2" t="n"/>
      <c r="C3" s="2" t="inlineStr">
        <is>
          <t>MAT</t>
        </is>
      </c>
      <c r="D3" s="2" t="inlineStr">
        <is>
          <t>POM</t>
        </is>
      </c>
      <c r="E3" s="2" t="inlineStr">
        <is>
          <t>MAT</t>
        </is>
      </c>
      <c r="F3" s="2" t="inlineStr">
        <is>
          <t>POM</t>
        </is>
      </c>
      <c r="G3" s="2" t="inlineStr">
        <is>
          <t>MAT</t>
        </is>
      </c>
      <c r="H3" s="2" t="inlineStr">
        <is>
          <t>POM</t>
        </is>
      </c>
      <c r="I3" s="2" t="inlineStr">
        <is>
          <t>MAT</t>
        </is>
      </c>
      <c r="J3" s="2" t="inlineStr">
        <is>
          <t>POM</t>
        </is>
      </c>
      <c r="K3" s="2" t="inlineStr">
        <is>
          <t>MAT</t>
        </is>
      </c>
      <c r="L3" s="2" t="inlineStr">
        <is>
          <t>MAT</t>
        </is>
      </c>
      <c r="M3" s="2" t="inlineStr">
        <is>
          <t>POM</t>
        </is>
      </c>
      <c r="N3" s="2" t="inlineStr">
        <is>
          <t>MAT</t>
        </is>
      </c>
      <c r="O3" s="2" t="inlineStr">
        <is>
          <t>POM</t>
        </is>
      </c>
      <c r="P3" s="2" t="inlineStr">
        <is>
          <t>GIORNO</t>
        </is>
      </c>
      <c r="Q3" s="2" t="inlineStr">
        <is>
          <t>NOTTE</t>
        </is>
      </c>
      <c r="R3" s="2" t="n"/>
      <c r="S3" s="2" t="inlineStr">
        <is>
          <t>CONTROLLO</t>
        </is>
      </c>
      <c r="T3" s="2" t="inlineStr">
        <is>
          <t>DISPONIBILI</t>
        </is>
      </c>
      <c r="U3" s="2" t="inlineStr">
        <is>
          <t>LIBERI</t>
        </is>
      </c>
      <c r="V3" s="2" t="n"/>
      <c r="W3" s="2" t="n"/>
      <c r="X3" s="2" t="n"/>
      <c r="Y3" s="2" t="n"/>
      <c r="Z3" s="2" t="inlineStr">
        <is>
          <t>GIORNO</t>
        </is>
      </c>
      <c r="AA3" s="2" t="inlineStr">
        <is>
          <t>DATA</t>
        </is>
      </c>
      <c r="AB3" s="2" t="inlineStr">
        <is>
          <t>LEONI</t>
        </is>
      </c>
      <c r="AC3" s="2" t="inlineStr">
        <is>
          <t>ROSSI M</t>
        </is>
      </c>
      <c r="AD3" s="2" t="inlineStr">
        <is>
          <t>ROSSI L</t>
        </is>
      </c>
      <c r="AE3" s="2" t="inlineStr">
        <is>
          <t>GALLINA</t>
        </is>
      </c>
      <c r="AF3" s="2" t="inlineStr">
        <is>
          <t>RUSSO</t>
        </is>
      </c>
      <c r="AG3" s="2" t="inlineStr">
        <is>
          <t>VERDI</t>
        </is>
      </c>
      <c r="AH3" s="2" t="inlineStr">
        <is>
          <t>HU</t>
        </is>
      </c>
      <c r="AI3" s="2" t="inlineStr">
        <is>
          <t>MARINI</t>
        </is>
      </c>
      <c r="AJ3" s="2" t="inlineStr">
        <is>
          <t>CONTI A</t>
        </is>
      </c>
      <c r="AK3" s="2" t="inlineStr">
        <is>
          <t>CONTI S</t>
        </is>
      </c>
      <c r="AL3" s="2" t="inlineStr">
        <is>
          <t>FERRARI</t>
        </is>
      </c>
      <c r="AM3" s="2" t="inlineStr">
        <is>
          <t>GRECO</t>
        </is>
      </c>
      <c r="AN3" s="2" t="inlineStr">
        <is>
          <t>SANNA</t>
        </is>
      </c>
      <c r="AO3" s="2" t="inlineStr">
        <is>
          <t>LI</t>
        </is>
      </c>
      <c r="AP3" s="2" t="n"/>
      <c r="AQ3" s="2" t="inlineStr">
        <is>
          <t>CODICE</t>
        </is>
      </c>
      <c r="AR3" s="2" t="inlineStr">
        <is>
          <t>SIGNIFICATO</t>
        </is>
      </c>
      <c r="AS3" s="2" t="n"/>
      <c r="AT3" s="2" t="inlineStr">
        <is>
          <t>PERSONA</t>
        </is>
      </c>
      <c r="AU3" s="2" t="inlineStr">
        <is>
          <t>STANZA 23</t>
        </is>
      </c>
      <c r="AV3" s="2" t="inlineStr">
        <is>
          <t>STANZA 24</t>
        </is>
      </c>
      <c r="AW3" s="2" t="inlineStr">
        <is>
          <t>STANZA 25</t>
        </is>
      </c>
      <c r="AX3" s="2" t="inlineStr">
        <is>
          <t>STANZA 26</t>
        </is>
      </c>
      <c r="AY3" s="2" t="inlineStr">
        <is>
          <t>STANZA 43</t>
        </is>
      </c>
      <c r="AZ3" s="2" t="inlineStr">
        <is>
          <t>STANZA 31</t>
        </is>
      </c>
      <c r="BA3" s="2" t="inlineStr">
        <is>
          <t>AMB ESTERNO</t>
        </is>
      </c>
      <c r="BB3" s="2" t="inlineStr">
        <is>
          <t>GUARDIA</t>
        </is>
      </c>
      <c r="BC3" s="2" t="inlineStr">
        <is>
          <t>TOTALE</t>
        </is>
      </c>
      <c r="BD3" s="2" t="n"/>
      <c r="BE3" s="2" t="inlineStr">
        <is>
          <t>PERSONA</t>
        </is>
      </c>
      <c r="BF3" s="2" t="inlineStr">
        <is>
          <t>STANZA 23</t>
        </is>
      </c>
      <c r="BG3" s="2" t="inlineStr">
        <is>
          <t>STANZA 24</t>
        </is>
      </c>
      <c r="BH3" s="2" t="inlineStr">
        <is>
          <t>STANZA 25</t>
        </is>
      </c>
      <c r="BI3" s="2" t="inlineStr">
        <is>
          <t>STANZA 26</t>
        </is>
      </c>
      <c r="BJ3" s="2" t="inlineStr">
        <is>
          <t>STANZA 43</t>
        </is>
      </c>
      <c r="BK3" s="2" t="inlineStr">
        <is>
          <t>STANZA 31</t>
        </is>
      </c>
      <c r="BL3" s="2" t="inlineStr">
        <is>
          <t>AMB ESTERNO</t>
        </is>
      </c>
      <c r="BM3" s="2" t="inlineStr">
        <is>
          <t>GUARDIA</t>
        </is>
      </c>
      <c r="BN3" s="2" t="inlineStr">
        <is>
          <t>TOTALE</t>
        </is>
      </c>
      <c r="BO3" s="2" t="n"/>
      <c r="BP3" s="2" t="str">
        <f>AB$3</f>
        <v>LEONI</v>
      </c>
      <c r="BQ3" s="2" t="str">
        <f>AC$3</f>
        <v>ROSSI M</v>
      </c>
      <c r="BR3" s="2" t="str">
        <f>AD$3</f>
        <v>ROSSI L</v>
      </c>
      <c r="BS3" s="2" t="str">
        <f>AE$3</f>
        <v>GALLINA</v>
      </c>
      <c r="BT3" s="2" t="str">
        <f>AF$3</f>
        <v>RUSSO</v>
      </c>
      <c r="BU3" s="2" t="str">
        <f>AG$3</f>
        <v>VERDI</v>
      </c>
      <c r="BV3" s="2" t="str">
        <f>AH$3</f>
        <v>HU</v>
      </c>
      <c r="BW3" s="2" t="str">
        <f>AI$3</f>
        <v>MARINI</v>
      </c>
      <c r="BX3" s="2" t="str">
        <f>AJ$3</f>
        <v>CONTI A</v>
      </c>
      <c r="BY3" s="2" t="str">
        <f>AK$3</f>
        <v>CONTI S</v>
      </c>
      <c r="BZ3" s="2" t="str">
        <f>AL$3</f>
        <v>FERRARI</v>
      </c>
      <c r="CA3" s="2" t="str">
        <f>AM$3</f>
        <v>GRECO</v>
      </c>
      <c r="CB3" s="2" t="str">
        <f>AN$3</f>
        <v>SANNA</v>
      </c>
      <c r="CC3" s="2" t="str">
        <f>AO$3</f>
        <v>LI</v>
      </c>
      <c r="CD3" s="2" t="n"/>
      <c r="CE3" s="2" t="str">
        <f>AB$3</f>
        <v>LEONI</v>
      </c>
      <c r="CF3" s="2" t="str">
        <f>AC$3</f>
        <v>ROSSI M</v>
      </c>
      <c r="CG3" s="2" t="str">
        <f>AD$3</f>
        <v>ROSSI L</v>
      </c>
      <c r="CH3" s="2" t="str">
        <f>AE$3</f>
        <v>GALLINA</v>
      </c>
      <c r="CI3" s="2" t="str">
        <f>AF$3</f>
        <v>RUSSO</v>
      </c>
      <c r="CJ3" s="2" t="str">
        <f>AG$3</f>
        <v>VERDI</v>
      </c>
      <c r="CK3" s="2" t="str">
        <f>AH$3</f>
        <v>HU</v>
      </c>
      <c r="CL3" s="2" t="str">
        <f>AI$3</f>
        <v>MARINI</v>
      </c>
      <c r="CM3" s="2" t="str">
        <f>AJ$3</f>
        <v>CONTI A</v>
      </c>
      <c r="CN3" s="2" t="str">
        <f>AK$3</f>
        <v>CONTI S</v>
      </c>
      <c r="CO3" s="2" t="str">
        <f>AL$3</f>
        <v>FERRARI</v>
      </c>
      <c r="CP3" s="2" t="str">
        <f>AM$3</f>
        <v>GRECO</v>
      </c>
      <c r="CQ3" s="2" t="str">
        <f>AN$3</f>
        <v>SANNA</v>
      </c>
      <c r="CR3" s="2" t="str">
        <f>AO$3</f>
        <v>LI</v>
      </c>
    </row>
    <row r="4">
      <c r="A4" s="3" t="str">
        <f>CHOOSE(WEEKDAY(DATE($B$1,$A$2,B4),2),"lunedì","martedì","mercoledì","giovedì","venerdì","sabato","domenica")</f>
        <v>domenica</v>
      </c>
      <c r="B4" s="3" t="n">
        <v>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3" t="n"/>
      <c r="Q4" s="3" t="n"/>
      <c r="R4" s="3" t="n"/>
      <c r="S4" s="3">
        <f>IF(SUMPRODUCT(($C$3:$Q$3&lt;&gt;"")*($C4:$Q4&lt;&gt;"")*(LEFT($C4:$Q4,6)&lt;&gt;"chiuso")*(COUNTIFS($C4:$Q4,$C4:$Q4,$C$3:$Q$3,$C$3:$Q$3)&gt;1))&gt;0,"X","")</f>
      </c>
      <c r="T4" s="3" t="str">
        <f>IF(LEN(BP4&amp;BQ4&amp;BR4&amp;BS4&amp;BT4&amp;BU4&amp;BV4&amp;BW4&amp;BX4&amp;BY4&amp;BZ4&amp;CA4&amp;CB4&amp;CC4)=0,"",LEFT(BP4&amp;BQ4&amp;BR4&amp;BS4&amp;BT4&amp;BU4&amp;BV4&amp;BW4&amp;BX4&amp;BY4&amp;BZ4&amp;CA4&amp;CB4&amp;CC4,LEN(BP4&amp;BQ4&amp;BR4&amp;BS4&amp;BT4&amp;BU4&amp;BV4&amp;BW4&amp;BX4&amp;BY4&amp;BZ4&amp;CA4&amp;CB4&amp;CC4)-2))</f>
        <v>LEONI, ROSSI M, ROSSI L, GALLINA, RUSSO, VERDI, HU, MARINI, CONTI A, CONTI S, FERRARI, GRECO, SANNA, LI</v>
      </c>
      <c r="U4" s="3" t="str">
        <f>IF(LEN(CE4&amp;CF4&amp;CG4&amp;CH4&amp;CI4&amp;CJ4&amp;CK4&amp;CL4&amp;CM4&amp;CN4&amp;CO4&amp;CP4&amp;CQ4&amp;CR4)=0,"",LEFT(CE4&amp;CF4&amp;CG4&amp;CH4&amp;CI4&amp;CJ4&amp;CK4&amp;CL4&amp;CM4&amp;CN4&amp;CO4&amp;CP4&amp;CQ4&amp;CR4,LEN(CE4&amp;CF4&amp;CG4&amp;CH4&amp;CI4&amp;CJ4&amp;CK4&amp;CL4&amp;CM4&amp;CN4&amp;CO4&amp;CP4&amp;CQ4&amp;CR4)-2))</f>
        <v>LEONI, ROSSI M, ROSSI L, GALLINA, RUSSO, VERDI, HU, MARINI, CONTI A, CONTI S, FERRARI, GRECO, SANNA, LI</v>
      </c>
      <c r="Z4" s="3" t="str">
        <f>A4</f>
        <v>domenica</v>
      </c>
      <c r="AA4" s="3">
        <f>B4</f>
        <v>1</v>
      </c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Q4" s="5" t="inlineStr">
        <is>
          <t>X</t>
        </is>
      </c>
      <c r="AR4" s="6" t="inlineStr">
        <is>
          <t>non disponibile tutto il giorno</t>
        </is>
      </c>
      <c r="AT4" s="7" t="str">
        <f>AB$3</f>
        <v>LEONI</v>
      </c>
      <c r="AU4" s="7">
        <f>COUNTIF($C$4:$D$33,$AT4)</f>
        <v>0</v>
      </c>
      <c r="AV4" s="7">
        <f>COUNTIF($E$4:$F$33,$AT4)</f>
        <v>0</v>
      </c>
      <c r="AW4" s="7">
        <f>COUNTIF($G$4:$H$33,$AT4)</f>
        <v>0</v>
      </c>
      <c r="AX4" s="7">
        <f>COUNTIF($I$4:$J$33,$AT4)</f>
        <v>0</v>
      </c>
      <c r="AY4" s="7">
        <f>COUNTIF($K$4:$K$33,$AT4)</f>
        <v>0</v>
      </c>
      <c r="AZ4" s="7">
        <f>COUNTIF($L$4:$L$33,$AT4)</f>
        <v>0</v>
      </c>
      <c r="BA4" s="7">
        <f>COUNTIF($M$4:$M$33,$AT4)</f>
        <v>0</v>
      </c>
      <c r="BB4" s="7">
        <f>COUNTIF($N$4:$Q$33,$AT4)</f>
        <v>0</v>
      </c>
      <c r="BC4" s="7">
        <f>COUNTIF($C$4:$Q$33,$AT4)</f>
        <v>0</v>
      </c>
      <c r="BE4" s="8" t="str">
        <f>AB$3</f>
        <v>LEONI</v>
      </c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P4" s="9" t="str">
        <f>IF(0+(AB4="X")&gt;0,"",IF(0+((AB4&lt;&gt;"Xm")*(AB4&lt;&gt;"Xp")*(AB4&lt;&gt;"Xg"))+((AB4&lt;&gt;"Xn"))=0,"",IF(0+((AB4&lt;&gt;"Xm")*(AB4&lt;&gt;"Xp")*(AB4&lt;&gt;"Xg"))+((AB4&lt;&gt;"Xn"))=2,AB$3&amp;", ",AB$3&amp;IF((AB4&lt;&gt;"Xm")*(AB4&lt;&gt;"Xp")*(AB4&lt;&gt;"Xg"),"_g","")&amp;IF((AB4&lt;&gt;"Xn"),"_n","")&amp;", ")))</f>
        <v xml:space="preserve">LEONI, </v>
      </c>
      <c r="BQ4" s="9" t="str">
        <f>IF(0+(AC4="X")&gt;0,"",IF(0+((AC4&lt;&gt;"Xm")*(AC4&lt;&gt;"Xp")*(AC4&lt;&gt;"Xg"))+((AC4&lt;&gt;"Xn"))=0,"",IF(0+((AC4&lt;&gt;"Xm")*(AC4&lt;&gt;"Xp")*(AC4&lt;&gt;"Xg"))+((AC4&lt;&gt;"Xn"))=2,AC$3&amp;", ",AC$3&amp;IF((AC4&lt;&gt;"Xm")*(AC4&lt;&gt;"Xp")*(AC4&lt;&gt;"Xg"),"_g","")&amp;IF((AC4&lt;&gt;"Xn"),"_n","")&amp;", ")))</f>
        <v xml:space="preserve">ROSSI M, </v>
      </c>
      <c r="BR4" s="9" t="str">
        <f>IF(0+(AD4="X")&gt;0,"",IF(0+((AD4&lt;&gt;"Xm")*(AD4&lt;&gt;"Xp")*(AD4&lt;&gt;"Xg"))+((AD4&lt;&gt;"Xn"))=0,"",IF(0+((AD4&lt;&gt;"Xm")*(AD4&lt;&gt;"Xp")*(AD4&lt;&gt;"Xg"))+((AD4&lt;&gt;"Xn"))=2,AD$3&amp;", ",AD$3&amp;IF((AD4&lt;&gt;"Xm")*(AD4&lt;&gt;"Xp")*(AD4&lt;&gt;"Xg"),"_g","")&amp;IF((AD4&lt;&gt;"Xn"),"_n","")&amp;", ")))</f>
        <v xml:space="preserve">ROSSI L, </v>
      </c>
      <c r="BS4" s="9" t="str">
        <f>IF(0+(AE4="X")&gt;0,"",IF(0+((AE4&lt;&gt;"Xm")*(AE4&lt;&gt;"Xp")*(AE4&lt;&gt;"Xg"))+((AE4&lt;&gt;"Xn"))=0,"",IF(0+((AE4&lt;&gt;"Xm")*(AE4&lt;&gt;"Xp")*(AE4&lt;&gt;"Xg"))+((AE4&lt;&gt;"Xn"))=2,AE$3&amp;", ",AE$3&amp;IF((AE4&lt;&gt;"Xm")*(AE4&lt;&gt;"Xp")*(AE4&lt;&gt;"Xg"),"_g","")&amp;IF((AE4&lt;&gt;"Xn"),"_n","")&amp;", ")))</f>
        <v xml:space="preserve">GALLINA, </v>
      </c>
      <c r="BT4" s="9" t="str">
        <f>IF(0+(AF4="X")&gt;0,"",IF(0+((AF4&lt;&gt;"Xm")*(AF4&lt;&gt;"Xp")*(AF4&lt;&gt;"Xg"))+((AF4&lt;&gt;"Xn"))=0,"",IF(0+((AF4&lt;&gt;"Xm")*(AF4&lt;&gt;"Xp")*(AF4&lt;&gt;"Xg"))+((AF4&lt;&gt;"Xn"))=2,AF$3&amp;", ",AF$3&amp;IF((AF4&lt;&gt;"Xm")*(AF4&lt;&gt;"Xp")*(AF4&lt;&gt;"Xg"),"_g","")&amp;IF((AF4&lt;&gt;"Xn"),"_n","")&amp;", ")))</f>
        <v xml:space="preserve">RUSSO, </v>
      </c>
      <c r="BU4" s="9" t="str">
        <f>IF(0+(AG4="X")&gt;0,"",IF(0+((AG4&lt;&gt;"Xm")*(AG4&lt;&gt;"Xp")*(AG4&lt;&gt;"Xg"))+((AG4&lt;&gt;"Xn"))=0,"",IF(0+((AG4&lt;&gt;"Xm")*(AG4&lt;&gt;"Xp")*(AG4&lt;&gt;"Xg"))+((AG4&lt;&gt;"Xn"))=2,AG$3&amp;", ",AG$3&amp;IF((AG4&lt;&gt;"Xm")*(AG4&lt;&gt;"Xp")*(AG4&lt;&gt;"Xg"),"_g","")&amp;IF((AG4&lt;&gt;"Xn"),"_n","")&amp;", ")))</f>
        <v xml:space="preserve">VERDI, </v>
      </c>
      <c r="BV4" s="9" t="str">
        <f>IF(0+(AH4="X")&gt;0,"",IF(0+((AH4&lt;&gt;"Xm")*(AH4&lt;&gt;"Xp")*(AH4&lt;&gt;"Xg"))+((AH4&lt;&gt;"Xn"))=0,"",IF(0+((AH4&lt;&gt;"Xm")*(AH4&lt;&gt;"Xp")*(AH4&lt;&gt;"Xg"))+((AH4&lt;&gt;"Xn"))=2,AH$3&amp;", ",AH$3&amp;IF((AH4&lt;&gt;"Xm")*(AH4&lt;&gt;"Xp")*(AH4&lt;&gt;"Xg"),"_g","")&amp;IF((AH4&lt;&gt;"Xn"),"_n","")&amp;", ")))</f>
        <v xml:space="preserve">HU, </v>
      </c>
      <c r="BW4" s="9" t="str">
        <f>IF(0+(AI4="X")&gt;0,"",IF(0+((AI4&lt;&gt;"Xm")*(AI4&lt;&gt;"Xp")*(AI4&lt;&gt;"Xg"))+((AI4&lt;&gt;"Xn"))=0,"",IF(0+((AI4&lt;&gt;"Xm")*(AI4&lt;&gt;"Xp")*(AI4&lt;&gt;"Xg"))+((AI4&lt;&gt;"Xn"))=2,AI$3&amp;", ",AI$3&amp;IF((AI4&lt;&gt;"Xm")*(AI4&lt;&gt;"Xp")*(AI4&lt;&gt;"Xg"),"_g","")&amp;IF((AI4&lt;&gt;"Xn"),"_n","")&amp;", ")))</f>
        <v xml:space="preserve">MARINI, </v>
      </c>
      <c r="BX4" s="9" t="str">
        <f>IF(0+(AJ4="X")&gt;0,"",IF(0+((AJ4&lt;&gt;"Xm")*(AJ4&lt;&gt;"Xp")*(AJ4&lt;&gt;"Xg"))+((AJ4&lt;&gt;"Xn"))=0,"",IF(0+((AJ4&lt;&gt;"Xm")*(AJ4&lt;&gt;"Xp")*(AJ4&lt;&gt;"Xg"))+((AJ4&lt;&gt;"Xn"))=2,AJ$3&amp;", ",AJ$3&amp;IF((AJ4&lt;&gt;"Xm")*(AJ4&lt;&gt;"Xp")*(AJ4&lt;&gt;"Xg"),"_g","")&amp;IF((AJ4&lt;&gt;"Xn"),"_n","")&amp;", ")))</f>
        <v xml:space="preserve">CONTI A, </v>
      </c>
      <c r="BY4" s="9" t="str">
        <f>IF(0+(AK4="X")&gt;0,"",IF(0+((AK4&lt;&gt;"Xm")*(AK4&lt;&gt;"Xp")*(AK4&lt;&gt;"Xg"))+((AK4&lt;&gt;"Xn"))=0,"",IF(0+((AK4&lt;&gt;"Xm")*(AK4&lt;&gt;"Xp")*(AK4&lt;&gt;"Xg"))+((AK4&lt;&gt;"Xn"))=2,AK$3&amp;", ",AK$3&amp;IF((AK4&lt;&gt;"Xm")*(AK4&lt;&gt;"Xp")*(AK4&lt;&gt;"Xg"),"_g","")&amp;IF((AK4&lt;&gt;"Xn"),"_n","")&amp;", ")))</f>
        <v xml:space="preserve">CONTI S, </v>
      </c>
      <c r="BZ4" s="9" t="str">
        <f>IF(0+(AL4="X")&gt;0,"",IF(0+((AL4&lt;&gt;"Xm")*(AL4&lt;&gt;"Xp")*(AL4&lt;&gt;"Xg"))+((AL4&lt;&gt;"Xn"))=0,"",IF(0+((AL4&lt;&gt;"Xm")*(AL4&lt;&gt;"Xp")*(AL4&lt;&gt;"Xg"))+((AL4&lt;&gt;"Xn"))=2,AL$3&amp;", ",AL$3&amp;IF((AL4&lt;&gt;"Xm")*(AL4&lt;&gt;"Xp")*(AL4&lt;&gt;"Xg"),"_g","")&amp;IF((AL4&lt;&gt;"Xn"),"_n","")&amp;", ")))</f>
        <v xml:space="preserve">FERRARI, </v>
      </c>
      <c r="CA4" s="9" t="str">
        <f>IF(0+(AM4="X")&gt;0,"",IF(0+((AM4&lt;&gt;"Xm")*(AM4&lt;&gt;"Xp")*(AM4&lt;&gt;"Xg"))+((AM4&lt;&gt;"Xn"))=0,"",IF(0+((AM4&lt;&gt;"Xm")*(AM4&lt;&gt;"Xp")*(AM4&lt;&gt;"Xg"))+((AM4&lt;&gt;"Xn"))=2,AM$3&amp;", ",AM$3&amp;IF((AM4&lt;&gt;"Xm")*(AM4&lt;&gt;"Xp")*(AM4&lt;&gt;"Xg"),"_g","")&amp;IF((AM4&lt;&gt;"Xn"),"_n","")&amp;", ")))</f>
        <v xml:space="preserve">GRECO, </v>
      </c>
      <c r="CB4" s="9" t="str">
        <f>IF(0+(AN4="X")&gt;0,"",IF(0+((AN4&lt;&gt;"Xm")*(AN4&lt;&gt;"Xp")*(AN4&lt;&gt;"Xg"))+((AN4&lt;&gt;"Xn"))=0,"",IF(0+((AN4&lt;&gt;"Xm")*(AN4&lt;&gt;"Xp")*(AN4&lt;&gt;"Xg"))+((AN4&lt;&gt;"Xn"))=2,AN$3&amp;", ",AN$3&amp;IF((AN4&lt;&gt;"Xm")*(AN4&lt;&gt;"Xp")*(AN4&lt;&gt;"Xg"),"_g","")&amp;IF((AN4&lt;&gt;"Xn"),"_n","")&amp;", ")))</f>
        <v xml:space="preserve">SANNA, </v>
      </c>
      <c r="CC4" s="9" t="str">
        <f>IF(0+(AO4="X")&gt;0,"",IF(0+((AO4&lt;&gt;"Xm")*(AO4&lt;&gt;"Xp")*(AO4&lt;&gt;"Xg"))+((AO4&lt;&gt;"Xn"))=0,"",IF(0+((AO4&lt;&gt;"Xm")*(AO4&lt;&gt;"Xp")*(AO4&lt;&gt;"Xg"))+((AO4&lt;&gt;"Xn"))=2,AO$3&amp;", ",AO$3&amp;IF((AO4&lt;&gt;"Xm")*(AO4&lt;&gt;"Xp")*(AO4&lt;&gt;"Xg"),"_g","")&amp;IF((AO4&lt;&gt;"Xn"),"_n","")&amp;", ")))</f>
        <v xml:space="preserve">LI, </v>
      </c>
      <c r="CD4" s="9" t="n"/>
      <c r="CE4" s="9" t="str">
        <f>IF(0+(AB4="X")&gt;0,"",IF(0+((AB4&lt;&gt;"Xm")*(AB4&lt;&gt;"Xp")*(AB4&lt;&gt;"Xg")*(COUNTIFS($C$3:$Q$3,"GIORNO",$C4:$Q4,AB$3)=0)*(COUNTIFS($C$3:$Q$3,"NOTTE",$C4:$Q4,AB$3)=0))+((AB4&lt;&gt;"Xn")*(COUNTIFS($C$3:$Q$3,"GIORNO",$C4:$Q4,AB$3)=0)*(COUNTIFS($C$3:$Q$3,"NOTTE",$C4:$Q4,AB$3)=0))=0,"",IF(0+((AB4&lt;&gt;"Xm")*(AB4&lt;&gt;"Xp")*(AB4&lt;&gt;"Xg")*(COUNTIFS($C$3:$Q$3,"GIORNO",$C4:$Q4,AB$3)=0)*(COUNTIFS($C$3:$Q$3,"NOTTE",$C4:$Q4,AB$3)=0))+((AB4&lt;&gt;"Xn")*(COUNTIFS($C$3:$Q$3,"GIORNO",$C4:$Q4,AB$3)=0)*(COUNTIFS($C$3:$Q$3,"NOTTE",$C4:$Q4,AB$3)=0))=2,AB$3&amp;", ",AB$3&amp;IF((AB4&lt;&gt;"Xm")*(AB4&lt;&gt;"Xp")*(AB4&lt;&gt;"Xg")*(COUNTIFS($C$3:$Q$3,"GIORNO",$C4:$Q4,AB$3)=0)*(COUNTIFS($C$3:$Q$3,"NOTTE",$C4:$Q4,AB$3)=0),"_g","")&amp;IF((AB4&lt;&gt;"Xn")*(COUNTIFS($C$3:$Q$3,"GIORNO",$C4:$Q4,AB$3)=0)*(COUNTIFS($C$3:$Q$3,"NOTTE",$C4:$Q4,AB$3)=0),"_n","")&amp;", ")))</f>
        <v xml:space="preserve">LEONI, </v>
      </c>
      <c r="CF4" s="9" t="str">
        <f>IF(0+(AC4="X")&gt;0,"",IF(0+((AC4&lt;&gt;"Xm")*(AC4&lt;&gt;"Xp")*(AC4&lt;&gt;"Xg")*(COUNTIFS($C$3:$Q$3,"GIORNO",$C4:$Q4,AC$3)=0)*(COUNTIFS($C$3:$Q$3,"NOTTE",$C4:$Q4,AC$3)=0))+((AC4&lt;&gt;"Xn")*(COUNTIFS($C$3:$Q$3,"GIORNO",$C4:$Q4,AC$3)=0)*(COUNTIFS($C$3:$Q$3,"NOTTE",$C4:$Q4,AC$3)=0))=0,"",IF(0+((AC4&lt;&gt;"Xm")*(AC4&lt;&gt;"Xp")*(AC4&lt;&gt;"Xg")*(COUNTIFS($C$3:$Q$3,"GIORNO",$C4:$Q4,AC$3)=0)*(COUNTIFS($C$3:$Q$3,"NOTTE",$C4:$Q4,AC$3)=0))+((AC4&lt;&gt;"Xn")*(COUNTIFS($C$3:$Q$3,"GIORNO",$C4:$Q4,AC$3)=0)*(COUNTIFS($C$3:$Q$3,"NOTTE",$C4:$Q4,AC$3)=0))=2,AC$3&amp;", ",AC$3&amp;IF((AC4&lt;&gt;"Xm")*(AC4&lt;&gt;"Xp")*(AC4&lt;&gt;"Xg")*(COUNTIFS($C$3:$Q$3,"GIORNO",$C4:$Q4,AC$3)=0)*(COUNTIFS($C$3:$Q$3,"NOTTE",$C4:$Q4,AC$3)=0),"_g","")&amp;IF((AC4&lt;&gt;"Xn")*(COUNTIFS($C$3:$Q$3,"GIORNO",$C4:$Q4,AC$3)=0)*(COUNTIFS($C$3:$Q$3,"NOTTE",$C4:$Q4,AC$3)=0),"_n","")&amp;", ")))</f>
        <v xml:space="preserve">ROSSI M, </v>
      </c>
      <c r="CG4" s="9" t="str">
        <f>IF(0+(AD4="X")&gt;0,"",IF(0+((AD4&lt;&gt;"Xm")*(AD4&lt;&gt;"Xp")*(AD4&lt;&gt;"Xg")*(COUNTIFS($C$3:$Q$3,"GIORNO",$C4:$Q4,AD$3)=0)*(COUNTIFS($C$3:$Q$3,"NOTTE",$C4:$Q4,AD$3)=0))+((AD4&lt;&gt;"Xn")*(COUNTIFS($C$3:$Q$3,"GIORNO",$C4:$Q4,AD$3)=0)*(COUNTIFS($C$3:$Q$3,"NOTTE",$C4:$Q4,AD$3)=0))=0,"",IF(0+((AD4&lt;&gt;"Xm")*(AD4&lt;&gt;"Xp")*(AD4&lt;&gt;"Xg")*(COUNTIFS($C$3:$Q$3,"GIORNO",$C4:$Q4,AD$3)=0)*(COUNTIFS($C$3:$Q$3,"NOTTE",$C4:$Q4,AD$3)=0))+((AD4&lt;&gt;"Xn")*(COUNTIFS($C$3:$Q$3,"GIORNO",$C4:$Q4,AD$3)=0)*(COUNTIFS($C$3:$Q$3,"NOTTE",$C4:$Q4,AD$3)=0))=2,AD$3&amp;", ",AD$3&amp;IF((AD4&lt;&gt;"Xm")*(AD4&lt;&gt;"Xp")*(AD4&lt;&gt;"Xg")*(COUNTIFS($C$3:$Q$3,"GIORNO",$C4:$Q4,AD$3)=0)*(COUNTIFS($C$3:$Q$3,"NOTTE",$C4:$Q4,AD$3)=0),"_g","")&amp;IF((AD4&lt;&gt;"Xn")*(COUNTIFS($C$3:$Q$3,"GIORNO",$C4:$Q4,AD$3)=0)*(COUNTIFS($C$3:$Q$3,"NOTTE",$C4:$Q4,AD$3)=0),"_n","")&amp;", ")))</f>
        <v xml:space="preserve">ROSSI L, </v>
      </c>
      <c r="CH4" s="9" t="str">
        <f>IF(0+(AE4="X")&gt;0,"",IF(0+((AE4&lt;&gt;"Xm")*(AE4&lt;&gt;"Xp")*(AE4&lt;&gt;"Xg")*(COUNTIFS($C$3:$Q$3,"GIORNO",$C4:$Q4,AE$3)=0)*(COUNTIFS($C$3:$Q$3,"NOTTE",$C4:$Q4,AE$3)=0))+((AE4&lt;&gt;"Xn")*(COUNTIFS($C$3:$Q$3,"GIORNO",$C4:$Q4,AE$3)=0)*(COUNTIFS($C$3:$Q$3,"NOTTE",$C4:$Q4,AE$3)=0))=0,"",IF(0+((AE4&lt;&gt;"Xm")*(AE4&lt;&gt;"Xp")*(AE4&lt;&gt;"Xg")*(COUNTIFS($C$3:$Q$3,"GIORNO",$C4:$Q4,AE$3)=0)*(COUNTIFS($C$3:$Q$3,"NOTTE",$C4:$Q4,AE$3)=0))+((AE4&lt;&gt;"Xn")*(COUNTIFS($C$3:$Q$3,"GIORNO",$C4:$Q4,AE$3)=0)*(COUNTIFS($C$3:$Q$3,"NOTTE",$C4:$Q4,AE$3)=0))=2,AE$3&amp;", ",AE$3&amp;IF((AE4&lt;&gt;"Xm")*(AE4&lt;&gt;"Xp")*(AE4&lt;&gt;"Xg")*(COUNTIFS($C$3:$Q$3,"GIORNO",$C4:$Q4,AE$3)=0)*(COUNTIFS($C$3:$Q$3,"NOTTE",$C4:$Q4,AE$3)=0),"_g","")&amp;IF((AE4&lt;&gt;"Xn")*(COUNTIFS($C$3:$Q$3,"GIORNO",$C4:$Q4,AE$3)=0)*(COUNTIFS($C$3:$Q$3,"NOTTE",$C4:$Q4,AE$3)=0),"_n","")&amp;", ")))</f>
        <v xml:space="preserve">GALLINA, </v>
      </c>
      <c r="CI4" s="9" t="str">
        <f>IF(0+(AF4="X")&gt;0,"",IF(0+((AF4&lt;&gt;"Xm")*(AF4&lt;&gt;"Xp")*(AF4&lt;&gt;"Xg")*(COUNTIFS($C$3:$Q$3,"GIORNO",$C4:$Q4,AF$3)=0)*(COUNTIFS($C$3:$Q$3,"NOTTE",$C4:$Q4,AF$3)=0))+((AF4&lt;&gt;"Xn")*(COUNTIFS($C$3:$Q$3,"GIORNO",$C4:$Q4,AF$3)=0)*(COUNTIFS($C$3:$Q$3,"NOTTE",$C4:$Q4,AF$3)=0))=0,"",IF(0+((AF4&lt;&gt;"Xm")*(AF4&lt;&gt;"Xp")*(AF4&lt;&gt;"Xg")*(COUNTIFS($C$3:$Q$3,"GIORNO",$C4:$Q4,AF$3)=0)*(COUNTIFS($C$3:$Q$3,"NOTTE",$C4:$Q4,AF$3)=0))+((AF4&lt;&gt;"Xn")*(COUNTIFS($C$3:$Q$3,"GIORNO",$C4:$Q4,AF$3)=0)*(COUNTIFS($C$3:$Q$3,"NOTTE",$C4:$Q4,AF$3)=0))=2,AF$3&amp;", ",AF$3&amp;IF((AF4&lt;&gt;"Xm")*(AF4&lt;&gt;"Xp")*(AF4&lt;&gt;"Xg")*(COUNTIFS($C$3:$Q$3,"GIORNO",$C4:$Q4,AF$3)=0)*(COUNTIFS($C$3:$Q$3,"NOTTE",$C4:$Q4,AF$3)=0),"_g","")&amp;IF((AF4&lt;&gt;"Xn")*(COUNTIFS($C$3:$Q$3,"GIORNO",$C4:$Q4,AF$3)=0)*(COUNTIFS($C$3:$Q$3,"NOTTE",$C4:$Q4,AF$3)=0),"_n","")&amp;", ")))</f>
        <v xml:space="preserve">RUSSO, </v>
      </c>
      <c r="CJ4" s="9" t="str">
        <f>IF(0+(AG4="X")&gt;0,"",IF(0+((AG4&lt;&gt;"Xm")*(AG4&lt;&gt;"Xp")*(AG4&lt;&gt;"Xg")*(COUNTIFS($C$3:$Q$3,"GIORNO",$C4:$Q4,AG$3)=0)*(COUNTIFS($C$3:$Q$3,"NOTTE",$C4:$Q4,AG$3)=0))+((AG4&lt;&gt;"Xn")*(COUNTIFS($C$3:$Q$3,"GIORNO",$C4:$Q4,AG$3)=0)*(COUNTIFS($C$3:$Q$3,"NOTTE",$C4:$Q4,AG$3)=0))=0,"",IF(0+((AG4&lt;&gt;"Xm")*(AG4&lt;&gt;"Xp")*(AG4&lt;&gt;"Xg")*(COUNTIFS($C$3:$Q$3,"GIORNO",$C4:$Q4,AG$3)=0)*(COUNTIFS($C$3:$Q$3,"NOTTE",$C4:$Q4,AG$3)=0))+((AG4&lt;&gt;"Xn")*(COUNTIFS($C$3:$Q$3,"GIORNO",$C4:$Q4,AG$3)=0)*(COUNTIFS($C$3:$Q$3,"NOTTE",$C4:$Q4,AG$3)=0))=2,AG$3&amp;", ",AG$3&amp;IF((AG4&lt;&gt;"Xm")*(AG4&lt;&gt;"Xp")*(AG4&lt;&gt;"Xg")*(COUNTIFS($C$3:$Q$3,"GIORNO",$C4:$Q4,AG$3)=0)*(COUNTIFS($C$3:$Q$3,"NOTTE",$C4:$Q4,AG$3)=0),"_g","")&amp;IF((AG4&lt;&gt;"Xn")*(COUNTIFS($C$3:$Q$3,"GIORNO",$C4:$Q4,AG$3)=0)*(COUNTIFS($C$3:$Q$3,"NOTTE",$C4:$Q4,AG$3)=0),"_n","")&amp;", ")))</f>
        <v xml:space="preserve">VERDI, </v>
      </c>
      <c r="CK4" s="9" t="str">
        <f>IF(0+(AH4="X")&gt;0,"",IF(0+((AH4&lt;&gt;"Xm")*(AH4&lt;&gt;"Xp")*(AH4&lt;&gt;"Xg")*(COUNTIFS($C$3:$Q$3,"GIORNO",$C4:$Q4,AH$3)=0)*(COUNTIFS($C$3:$Q$3,"NOTTE",$C4:$Q4,AH$3)=0))+((AH4&lt;&gt;"Xn")*(COUNTIFS($C$3:$Q$3,"GIORNO",$C4:$Q4,AH$3)=0)*(COUNTIFS($C$3:$Q$3,"NOTTE",$C4:$Q4,AH$3)=0))=0,"",IF(0+((AH4&lt;&gt;"Xm")*(AH4&lt;&gt;"Xp")*(AH4&lt;&gt;"Xg")*(COUNTIFS($C$3:$Q$3,"GIORNO",$C4:$Q4,AH$3)=0)*(COUNTIFS($C$3:$Q$3,"NOTTE",$C4:$Q4,AH$3)=0))+((AH4&lt;&gt;"Xn")*(COUNTIFS($C$3:$Q$3,"GIORNO",$C4:$Q4,AH$3)=0)*(COUNTIFS($C$3:$Q$3,"NOTTE",$C4:$Q4,AH$3)=0))=2,AH$3&amp;", ",AH$3&amp;IF((AH4&lt;&gt;"Xm")*(AH4&lt;&gt;"Xp")*(AH4&lt;&gt;"Xg")*(COUNTIFS($C$3:$Q$3,"GIORNO",$C4:$Q4,AH$3)=0)*(COUNTIFS($C$3:$Q$3,"NOTTE",$C4:$Q4,AH$3)=0),"_g","")&amp;IF((AH4&lt;&gt;"Xn")*(COUNTIFS($C$3:$Q$3,"GIORNO",$C4:$Q4,AH$3)=0)*(COUNTIFS($C$3:$Q$3,"NOTTE",$C4:$Q4,AH$3)=0),"_n","")&amp;", ")))</f>
        <v xml:space="preserve">HU, </v>
      </c>
      <c r="CL4" s="9" t="str">
        <f>IF(0+(AI4="X")&gt;0,"",IF(0+((AI4&lt;&gt;"Xm")*(AI4&lt;&gt;"Xp")*(AI4&lt;&gt;"Xg")*(COUNTIFS($C$3:$Q$3,"GIORNO",$C4:$Q4,AI$3)=0)*(COUNTIFS($C$3:$Q$3,"NOTTE",$C4:$Q4,AI$3)=0))+((AI4&lt;&gt;"Xn")*(COUNTIFS($C$3:$Q$3,"GIORNO",$C4:$Q4,AI$3)=0)*(COUNTIFS($C$3:$Q$3,"NOTTE",$C4:$Q4,AI$3)=0))=0,"",IF(0+((AI4&lt;&gt;"Xm")*(AI4&lt;&gt;"Xp")*(AI4&lt;&gt;"Xg")*(COUNTIFS($C$3:$Q$3,"GIORNO",$C4:$Q4,AI$3)=0)*(COUNTIFS($C$3:$Q$3,"NOTTE",$C4:$Q4,AI$3)=0))+((AI4&lt;&gt;"Xn")*(COUNTIFS($C$3:$Q$3,"GIORNO",$C4:$Q4,AI$3)=0)*(COUNTIFS($C$3:$Q$3,"NOTTE",$C4:$Q4,AI$3)=0))=2,AI$3&amp;", ",AI$3&amp;IF((AI4&lt;&gt;"Xm")*(AI4&lt;&gt;"Xp")*(AI4&lt;&gt;"Xg")*(COUNTIFS($C$3:$Q$3,"GIORNO",$C4:$Q4,AI$3)=0)*(COUNTIFS($C$3:$Q$3,"NOTTE",$C4:$Q4,AI$3)=0),"_g","")&amp;IF((AI4&lt;&gt;"Xn")*(COUNTIFS($C$3:$Q$3,"GIORNO",$C4:$Q4,AI$3)=0)*(COUNTIFS($C$3:$Q$3,"NOTTE",$C4:$Q4,AI$3)=0),"_n","")&amp;", ")))</f>
        <v xml:space="preserve">MARINI, </v>
      </c>
      <c r="CM4" s="9" t="str">
        <f>IF(0+(AJ4="X")&gt;0,"",IF(0+((AJ4&lt;&gt;"Xm")*(AJ4&lt;&gt;"Xp")*(AJ4&lt;&gt;"Xg")*(COUNTIFS($C$3:$Q$3,"GIORNO",$C4:$Q4,AJ$3)=0)*(COUNTIFS($C$3:$Q$3,"NOTTE",$C4:$Q4,AJ$3)=0))+((AJ4&lt;&gt;"Xn")*(COUNTIFS($C$3:$Q$3,"GIORNO",$C4:$Q4,AJ$3)=0)*(COUNTIFS($C$3:$Q$3,"NOTTE",$C4:$Q4,AJ$3)=0))=0,"",IF(0+((AJ4&lt;&gt;"Xm")*(AJ4&lt;&gt;"Xp")*(AJ4&lt;&gt;"Xg")*(COUNTIFS($C$3:$Q$3,"GIORNO",$C4:$Q4,AJ$3)=0)*(COUNTIFS($C$3:$Q$3,"NOTTE",$C4:$Q4,AJ$3)=0))+((AJ4&lt;&gt;"Xn")*(COUNTIFS($C$3:$Q$3,"GIORNO",$C4:$Q4,AJ$3)=0)*(COUNTIFS($C$3:$Q$3,"NOTTE",$C4:$Q4,AJ$3)=0))=2,AJ$3&amp;", ",AJ$3&amp;IF((AJ4&lt;&gt;"Xm")*(AJ4&lt;&gt;"Xp")*(AJ4&lt;&gt;"Xg")*(COUNTIFS($C$3:$Q$3,"GIORNO",$C4:$Q4,AJ$3)=0)*(COUNTIFS($C$3:$Q$3,"NOTTE",$C4:$Q4,AJ$3)=0),"_g","")&amp;IF((AJ4&lt;&gt;"Xn")*(COUNTIFS($C$3:$Q$3,"GIORNO",$C4:$Q4,AJ$3)=0)*(COUNTIFS($C$3:$Q$3,"NOTTE",$C4:$Q4,AJ$3)=0),"_n","")&amp;", ")))</f>
        <v xml:space="preserve">CONTI A, </v>
      </c>
      <c r="CN4" s="9" t="str">
        <f>IF(0+(AK4="X")&gt;0,"",IF(0+((AK4&lt;&gt;"Xm")*(AK4&lt;&gt;"Xp")*(AK4&lt;&gt;"Xg")*(COUNTIFS($C$3:$Q$3,"GIORNO",$C4:$Q4,AK$3)=0)*(COUNTIFS($C$3:$Q$3,"NOTTE",$C4:$Q4,AK$3)=0))+((AK4&lt;&gt;"Xn")*(COUNTIFS($C$3:$Q$3,"GIORNO",$C4:$Q4,AK$3)=0)*(COUNTIFS($C$3:$Q$3,"NOTTE",$C4:$Q4,AK$3)=0))=0,"",IF(0+((AK4&lt;&gt;"Xm")*(AK4&lt;&gt;"Xp")*(AK4&lt;&gt;"Xg")*(COUNTIFS($C$3:$Q$3,"GIORNO",$C4:$Q4,AK$3)=0)*(COUNTIFS($C$3:$Q$3,"NOTTE",$C4:$Q4,AK$3)=0))+((AK4&lt;&gt;"Xn")*(COUNTIFS($C$3:$Q$3,"GIORNO",$C4:$Q4,AK$3)=0)*(COUNTIFS($C$3:$Q$3,"NOTTE",$C4:$Q4,AK$3)=0))=2,AK$3&amp;", ",AK$3&amp;IF((AK4&lt;&gt;"Xm")*(AK4&lt;&gt;"Xp")*(AK4&lt;&gt;"Xg")*(COUNTIFS($C$3:$Q$3,"GIORNO",$C4:$Q4,AK$3)=0)*(COUNTIFS($C$3:$Q$3,"NOTTE",$C4:$Q4,AK$3)=0),"_g","")&amp;IF((AK4&lt;&gt;"Xn")*(COUNTIFS($C$3:$Q$3,"GIORNO",$C4:$Q4,AK$3)=0)*(COUNTIFS($C$3:$Q$3,"NOTTE",$C4:$Q4,AK$3)=0),"_n","")&amp;", ")))</f>
        <v xml:space="preserve">CONTI S, </v>
      </c>
      <c r="CO4" s="9" t="str">
        <f>IF(0+(AL4="X")&gt;0,"",IF(0+((AL4&lt;&gt;"Xm")*(AL4&lt;&gt;"Xp")*(AL4&lt;&gt;"Xg")*(COUNTIFS($C$3:$Q$3,"GIORNO",$C4:$Q4,AL$3)=0)*(COUNTIFS($C$3:$Q$3,"NOTTE",$C4:$Q4,AL$3)=0))+((AL4&lt;&gt;"Xn")*(COUNTIFS($C$3:$Q$3,"GIORNO",$C4:$Q4,AL$3)=0)*(COUNTIFS($C$3:$Q$3,"NOTTE",$C4:$Q4,AL$3)=0))=0,"",IF(0+((AL4&lt;&gt;"Xm")*(AL4&lt;&gt;"Xp")*(AL4&lt;&gt;"Xg")*(COUNTIFS($C$3:$Q$3,"GIORNO",$C4:$Q4,AL$3)=0)*(COUNTIFS($C$3:$Q$3,"NOTTE",$C4:$Q4,AL$3)=0))+((AL4&lt;&gt;"Xn")*(COUNTIFS($C$3:$Q$3,"GIORNO",$C4:$Q4,AL$3)=0)*(COUNTIFS($C$3:$Q$3,"NOTTE",$C4:$Q4,AL$3)=0))=2,AL$3&amp;", ",AL$3&amp;IF((AL4&lt;&gt;"Xm")*(AL4&lt;&gt;"Xp")*(AL4&lt;&gt;"Xg")*(COUNTIFS($C$3:$Q$3,"GIORNO",$C4:$Q4,AL$3)=0)*(COUNTIFS($C$3:$Q$3,"NOTTE",$C4:$Q4,AL$3)=0),"_g","")&amp;IF((AL4&lt;&gt;"Xn")*(COUNTIFS($C$3:$Q$3,"GIORNO",$C4:$Q4,AL$3)=0)*(COUNTIFS($C$3:$Q$3,"NOTTE",$C4:$Q4,AL$3)=0),"_n","")&amp;", ")))</f>
        <v xml:space="preserve">FERRARI, </v>
      </c>
      <c r="CP4" s="9" t="str">
        <f>IF(0+(AM4="X")&gt;0,"",IF(0+((AM4&lt;&gt;"Xm")*(AM4&lt;&gt;"Xp")*(AM4&lt;&gt;"Xg")*(COUNTIFS($C$3:$Q$3,"GIORNO",$C4:$Q4,AM$3)=0)*(COUNTIFS($C$3:$Q$3,"NOTTE",$C4:$Q4,AM$3)=0))+((AM4&lt;&gt;"Xn")*(COUNTIFS($C$3:$Q$3,"GIORNO",$C4:$Q4,AM$3)=0)*(COUNTIFS($C$3:$Q$3,"NOTTE",$C4:$Q4,AM$3)=0))=0,"",IF(0+((AM4&lt;&gt;"Xm")*(AM4&lt;&gt;"Xp")*(AM4&lt;&gt;"Xg")*(COUNTIFS($C$3:$Q$3,"GIORNO",$C4:$Q4,AM$3)=0)*(COUNTIFS($C$3:$Q$3,"NOTTE",$C4:$Q4,AM$3)=0))+((AM4&lt;&gt;"Xn")*(COUNTIFS($C$3:$Q$3,"GIORNO",$C4:$Q4,AM$3)=0)*(COUNTIFS($C$3:$Q$3,"NOTTE",$C4:$Q4,AM$3)=0))=2,AM$3&amp;", ",AM$3&amp;IF((AM4&lt;&gt;"Xm")*(AM4&lt;&gt;"Xp")*(AM4&lt;&gt;"Xg")*(COUNTIFS($C$3:$Q$3,"GIORNO",$C4:$Q4,AM$3)=0)*(COUNTIFS($C$3:$Q$3,"NOTTE",$C4:$Q4,AM$3)=0),"_g","")&amp;IF((AM4&lt;&gt;"Xn")*(COUNTIFS($C$3:$Q$3,"GIORNO",$C4:$Q4,AM$3)=0)*(COUNTIFS($C$3:$Q$3,"NOTTE",$C4:$Q4,AM$3)=0),"_n","")&amp;", ")))</f>
        <v xml:space="preserve">GRECO, </v>
      </c>
      <c r="CQ4" s="9" t="str">
        <f>IF(0+(AN4="X")&gt;0,"",IF(0+((AN4&lt;&gt;"Xm")*(AN4&lt;&gt;"Xp")*(AN4&lt;&gt;"Xg")*(COUNTIFS($C$3:$Q$3,"GIORNO",$C4:$Q4,AN$3)=0)*(COUNTIFS($C$3:$Q$3,"NOTTE",$C4:$Q4,AN$3)=0))+((AN4&lt;&gt;"Xn")*(COUNTIFS($C$3:$Q$3,"GIORNO",$C4:$Q4,AN$3)=0)*(COUNTIFS($C$3:$Q$3,"NOTTE",$C4:$Q4,AN$3)=0))=0,"",IF(0+((AN4&lt;&gt;"Xm")*(AN4&lt;&gt;"Xp")*(AN4&lt;&gt;"Xg")*(COUNTIFS($C$3:$Q$3,"GIORNO",$C4:$Q4,AN$3)=0)*(COUNTIFS($C$3:$Q$3,"NOTTE",$C4:$Q4,AN$3)=0))+((AN4&lt;&gt;"Xn")*(COUNTIFS($C$3:$Q$3,"GIORNO",$C4:$Q4,AN$3)=0)*(COUNTIFS($C$3:$Q$3,"NOTTE",$C4:$Q4,AN$3)=0))=2,AN$3&amp;", ",AN$3&amp;IF((AN4&lt;&gt;"Xm")*(AN4&lt;&gt;"Xp")*(AN4&lt;&gt;"Xg")*(COUNTIFS($C$3:$Q$3,"GIORNO",$C4:$Q4,AN$3)=0)*(COUNTIFS($C$3:$Q$3,"NOTTE",$C4:$Q4,AN$3)=0),"_g","")&amp;IF((AN4&lt;&gt;"Xn")*(COUNTIFS($C$3:$Q$3,"GIORNO",$C4:$Q4,AN$3)=0)*(COUNTIFS($C$3:$Q$3,"NOTTE",$C4:$Q4,AN$3)=0),"_n","")&amp;", ")))</f>
        <v xml:space="preserve">SANNA, </v>
      </c>
      <c r="CR4" s="9" t="str">
        <f>IF(0+(AO4="X")&gt;0,"",IF(0+((AO4&lt;&gt;"Xm")*(AO4&lt;&gt;"Xp")*(AO4&lt;&gt;"Xg")*(COUNTIFS($C$3:$Q$3,"GIORNO",$C4:$Q4,AO$3)=0)*(COUNTIFS($C$3:$Q$3,"NOTTE",$C4:$Q4,AO$3)=0))+((AO4&lt;&gt;"Xn")*(COUNTIFS($C$3:$Q$3,"GIORNO",$C4:$Q4,AO$3)=0)*(COUNTIFS($C$3:$Q$3,"NOTTE",$C4:$Q4,AO$3)=0))=0,"",IF(0+((AO4&lt;&gt;"Xm")*(AO4&lt;&gt;"Xp")*(AO4&lt;&gt;"Xg")*(COUNTIFS($C$3:$Q$3,"GIORNO",$C4:$Q4,AO$3)=0)*(COUNTIFS($C$3:$Q$3,"NOTTE",$C4:$Q4,AO$3)=0))+((AO4&lt;&gt;"Xn")*(COUNTIFS($C$3:$Q$3,"GIORNO",$C4:$Q4,AO$3)=0)*(COUNTIFS($C$3:$Q$3,"NOTTE",$C4:$Q4,AO$3)=0))=2,AO$3&amp;", ",AO$3&amp;IF((AO4&lt;&gt;"Xm")*(AO4&lt;&gt;"Xp")*(AO4&lt;&gt;"Xg")*(COUNTIFS($C$3:$Q$3,"GIORNO",$C4:$Q4,AO$3)=0)*(COUNTIFS($C$3:$Q$3,"NOTTE",$C4:$Q4,AO$3)=0),"_g","")&amp;IF((AO4&lt;&gt;"Xn")*(COUNTIFS($C$3:$Q$3,"GIORNO",$C4:$Q4,AO$3)=0)*(COUNTIFS($C$3:$Q$3,"NOTTE",$C4:$Q4,AO$3)=0),"_n","")&amp;", ")))</f>
        <v xml:space="preserve">LI, </v>
      </c>
    </row>
    <row r="5">
      <c r="A5" s="10" t="str">
        <f>CHOOSE(WEEKDAY(DATE($B$1,$A$2,B5),2),"lunedì","martedì","mercoledì","giovedì","venerdì","sabato","domenica")</f>
        <v>lunedì</v>
      </c>
      <c r="B5" s="10" t="n">
        <v>2</v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4" t="n"/>
      <c r="M5" s="11" t="n"/>
      <c r="N5" s="11" t="n"/>
      <c r="O5" s="11" t="n"/>
      <c r="P5" s="4" t="n"/>
      <c r="Q5" s="11" t="n"/>
      <c r="R5" s="11" t="n"/>
      <c r="S5" s="11">
        <f>IF(SUMPRODUCT(($C$3:$Q$3&lt;&gt;"")*($C5:$Q5&lt;&gt;"")*(LEFT($C5:$Q5,6)&lt;&gt;"chiuso")*(COUNTIFS($C5:$Q5,$C5:$Q5,$C$3:$Q$3,$C$3:$Q$3)&gt;1))&gt;0,"X","")</f>
      </c>
      <c r="T5" s="11" t="str">
        <f>IF(LEN(BP5&amp;BQ5&amp;BR5&amp;BS5&amp;BT5&amp;BU5&amp;BV5&amp;BW5&amp;BX5&amp;BY5&amp;BZ5&amp;CA5&amp;CB5&amp;CC5)=0,"",LEFT(BP5&amp;BQ5&amp;BR5&amp;BS5&amp;BT5&amp;BU5&amp;BV5&amp;BW5&amp;BX5&amp;BY5&amp;BZ5&amp;CA5&amp;CB5&amp;CC5,LEN(BP5&amp;BQ5&amp;BR5&amp;BS5&amp;BT5&amp;BU5&amp;BV5&amp;BW5&amp;BX5&amp;BY5&amp;BZ5&amp;CA5&amp;CB5&amp;CC5)-2))</f>
        <v>LEONI, ROSSI M, ROSSI L, GALLINA, RUSSO, VERDI, HU, MARINI, CONTI A, CONTI S, FERRARI, GRECO, SANNA, LI</v>
      </c>
      <c r="U5" s="11" t="str">
        <f>IF(LEN(CE5&amp;CF5&amp;CG5&amp;CH5&amp;CI5&amp;CJ5&amp;CK5&amp;CL5&amp;CM5&amp;CN5&amp;CO5&amp;CP5&amp;CQ5&amp;CR5)=0,"",LEFT(CE5&amp;CF5&amp;CG5&amp;CH5&amp;CI5&amp;CJ5&amp;CK5&amp;CL5&amp;CM5&amp;CN5&amp;CO5&amp;CP5&amp;CQ5&amp;CR5,LEN(CE5&amp;CF5&amp;CG5&amp;CH5&amp;CI5&amp;CJ5&amp;CK5&amp;CL5&amp;CM5&amp;CN5&amp;CO5&amp;CP5&amp;CQ5&amp;CR5)-2))</f>
        <v>LEONI, ROSSI M, ROSSI L, GALLINA, RUSSO, VERDI, HU, MARINI, CONTI A, CONTI S, FERRARI, GRECO, SANNA, LI</v>
      </c>
      <c r="Z5" s="10" t="str">
        <f>A5</f>
        <v>lunedì</v>
      </c>
      <c r="AA5" s="10">
        <f>B5</f>
        <v>2</v>
      </c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Q5" s="5" t="inlineStr">
        <is>
          <t>Xm</t>
        </is>
      </c>
      <c r="AR5" s="6" t="inlineStr">
        <is>
          <t>non disponibile la mattina</t>
        </is>
      </c>
      <c r="AT5" s="7" t="str">
        <f>AC$3</f>
        <v>ROSSI M</v>
      </c>
      <c r="AU5" s="7">
        <f>COUNTIF($C$4:$D$33,$AT5)</f>
        <v>0</v>
      </c>
      <c r="AV5" s="7">
        <f>COUNTIF($E$4:$F$33,$AT5)</f>
        <v>0</v>
      </c>
      <c r="AW5" s="7">
        <f>COUNTIF($G$4:$H$33,$AT5)</f>
        <v>0</v>
      </c>
      <c r="AX5" s="7">
        <f>COUNTIF($I$4:$J$33,$AT5)</f>
        <v>0</v>
      </c>
      <c r="AY5" s="7">
        <f>COUNTIF($K$4:$K$33,$AT5)</f>
        <v>0</v>
      </c>
      <c r="AZ5" s="7">
        <f>COUNTIF($L$4:$L$33,$AT5)</f>
        <v>0</v>
      </c>
      <c r="BA5" s="7">
        <f>COUNTIF($M$4:$M$33,$AT5)</f>
        <v>0</v>
      </c>
      <c r="BB5" s="7">
        <f>COUNTIF($N$4:$Q$33,$AT5)</f>
        <v>0</v>
      </c>
      <c r="BC5" s="7">
        <f>COUNTIF($C$4:$Q$33,$AT5)</f>
        <v>0</v>
      </c>
      <c r="BE5" s="8" t="str">
        <f>AC$3</f>
        <v>ROSSI M</v>
      </c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P5" s="9" t="str">
        <f>IF(0+(AB5="X")&gt;0,"",IF(0+((AB5&lt;&gt;"Xm")*(AB5&lt;&gt;"Xg"))+((AB5&lt;&gt;"Xp")*(AB5&lt;&gt;"Xg"))+((AB5&lt;&gt;"Xn"))=0,"",IF(0+((AB5&lt;&gt;"Xm")*(AB5&lt;&gt;"Xg"))+((AB5&lt;&gt;"Xp")*(AB5&lt;&gt;"Xg"))+((AB5&lt;&gt;"Xn"))=3,AB$3&amp;", ",AB$3&amp;IF((AB5&lt;&gt;"Xm")*(AB5&lt;&gt;"Xg"),"_m","")&amp;IF((AB5&lt;&gt;"Xp")*(AB5&lt;&gt;"Xg"),"_p","")&amp;IF((AB5&lt;&gt;"Xn"),"_n","")&amp;", ")))</f>
        <v xml:space="preserve">LEONI, </v>
      </c>
      <c r="BQ5" s="9" t="str">
        <f>IF(0+(AC5="X")&gt;0,"",IF(0+((AC5&lt;&gt;"Xm")*(AC5&lt;&gt;"Xg"))+((AC5&lt;&gt;"Xp")*(AC5&lt;&gt;"Xg"))+((AC5&lt;&gt;"Xn"))=0,"",IF(0+((AC5&lt;&gt;"Xm")*(AC5&lt;&gt;"Xg"))+((AC5&lt;&gt;"Xp")*(AC5&lt;&gt;"Xg"))+((AC5&lt;&gt;"Xn"))=3,AC$3&amp;", ",AC$3&amp;IF((AC5&lt;&gt;"Xm")*(AC5&lt;&gt;"Xg"),"_m","")&amp;IF((AC5&lt;&gt;"Xp")*(AC5&lt;&gt;"Xg"),"_p","")&amp;IF((AC5&lt;&gt;"Xn"),"_n","")&amp;", ")))</f>
        <v xml:space="preserve">ROSSI M, </v>
      </c>
      <c r="BR5" s="9" t="str">
        <f>IF(0+(AD5="X")&gt;0,"",IF(0+((AD5&lt;&gt;"Xm")*(AD5&lt;&gt;"Xg"))+((AD5&lt;&gt;"Xp")*(AD5&lt;&gt;"Xg"))+((AD5&lt;&gt;"Xn"))=0,"",IF(0+((AD5&lt;&gt;"Xm")*(AD5&lt;&gt;"Xg"))+((AD5&lt;&gt;"Xp")*(AD5&lt;&gt;"Xg"))+((AD5&lt;&gt;"Xn"))=3,AD$3&amp;", ",AD$3&amp;IF((AD5&lt;&gt;"Xm")*(AD5&lt;&gt;"Xg"),"_m","")&amp;IF((AD5&lt;&gt;"Xp")*(AD5&lt;&gt;"Xg"),"_p","")&amp;IF((AD5&lt;&gt;"Xn"),"_n","")&amp;", ")))</f>
        <v xml:space="preserve">ROSSI L, </v>
      </c>
      <c r="BS5" s="9" t="str">
        <f>IF(0+(AE5="X")&gt;0,"",IF(0+((AE5&lt;&gt;"Xm")*(AE5&lt;&gt;"Xg"))+((AE5&lt;&gt;"Xp")*(AE5&lt;&gt;"Xg"))+((AE5&lt;&gt;"Xn"))=0,"",IF(0+((AE5&lt;&gt;"Xm")*(AE5&lt;&gt;"Xg"))+((AE5&lt;&gt;"Xp")*(AE5&lt;&gt;"Xg"))+((AE5&lt;&gt;"Xn"))=3,AE$3&amp;", ",AE$3&amp;IF((AE5&lt;&gt;"Xm")*(AE5&lt;&gt;"Xg"),"_m","")&amp;IF((AE5&lt;&gt;"Xp")*(AE5&lt;&gt;"Xg"),"_p","")&amp;IF((AE5&lt;&gt;"Xn"),"_n","")&amp;", ")))</f>
        <v xml:space="preserve">GALLINA, </v>
      </c>
      <c r="BT5" s="9" t="str">
        <f>IF(0+(AF5="X")&gt;0,"",IF(0+((AF5&lt;&gt;"Xm")*(AF5&lt;&gt;"Xg"))+((AF5&lt;&gt;"Xp")*(AF5&lt;&gt;"Xg"))+((AF5&lt;&gt;"Xn"))=0,"",IF(0+((AF5&lt;&gt;"Xm")*(AF5&lt;&gt;"Xg"))+((AF5&lt;&gt;"Xp")*(AF5&lt;&gt;"Xg"))+((AF5&lt;&gt;"Xn"))=3,AF$3&amp;", ",AF$3&amp;IF((AF5&lt;&gt;"Xm")*(AF5&lt;&gt;"Xg"),"_m","")&amp;IF((AF5&lt;&gt;"Xp")*(AF5&lt;&gt;"Xg"),"_p","")&amp;IF((AF5&lt;&gt;"Xn"),"_n","")&amp;", ")))</f>
        <v xml:space="preserve">RUSSO, </v>
      </c>
      <c r="BU5" s="9" t="str">
        <f>IF(0+(AG5="X")&gt;0,"",IF(0+((AG5&lt;&gt;"Xm")*(AG5&lt;&gt;"Xg"))+((AG5&lt;&gt;"Xp")*(AG5&lt;&gt;"Xg"))+((AG5&lt;&gt;"Xn"))=0,"",IF(0+((AG5&lt;&gt;"Xm")*(AG5&lt;&gt;"Xg"))+((AG5&lt;&gt;"Xp")*(AG5&lt;&gt;"Xg"))+((AG5&lt;&gt;"Xn"))=3,AG$3&amp;", ",AG$3&amp;IF((AG5&lt;&gt;"Xm")*(AG5&lt;&gt;"Xg"),"_m","")&amp;IF((AG5&lt;&gt;"Xp")*(AG5&lt;&gt;"Xg"),"_p","")&amp;IF((AG5&lt;&gt;"Xn"),"_n","")&amp;", ")))</f>
        <v xml:space="preserve">VERDI, </v>
      </c>
      <c r="BV5" s="9" t="str">
        <f>IF(0+(AH5="X")&gt;0,"",IF(0+((AH5&lt;&gt;"Xm")*(AH5&lt;&gt;"Xg"))+((AH5&lt;&gt;"Xp")*(AH5&lt;&gt;"Xg"))+((AH5&lt;&gt;"Xn"))=0,"",IF(0+((AH5&lt;&gt;"Xm")*(AH5&lt;&gt;"Xg"))+((AH5&lt;&gt;"Xp")*(AH5&lt;&gt;"Xg"))+((AH5&lt;&gt;"Xn"))=3,AH$3&amp;", ",AH$3&amp;IF((AH5&lt;&gt;"Xm")*(AH5&lt;&gt;"Xg"),"_m","")&amp;IF((AH5&lt;&gt;"Xp")*(AH5&lt;&gt;"Xg"),"_p","")&amp;IF((AH5&lt;&gt;"Xn"),"_n","")&amp;", ")))</f>
        <v xml:space="preserve">HU, </v>
      </c>
      <c r="BW5" s="9" t="str">
        <f>IF(0+(AI5="X")&gt;0,"",IF(0+((AI5&lt;&gt;"Xm")*(AI5&lt;&gt;"Xg"))+((AI5&lt;&gt;"Xp")*(AI5&lt;&gt;"Xg"))+((AI5&lt;&gt;"Xn"))=0,"",IF(0+((AI5&lt;&gt;"Xm")*(AI5&lt;&gt;"Xg"))+((AI5&lt;&gt;"Xp")*(AI5&lt;&gt;"Xg"))+((AI5&lt;&gt;"Xn"))=3,AI$3&amp;", ",AI$3&amp;IF((AI5&lt;&gt;"Xm")*(AI5&lt;&gt;"Xg"),"_m","")&amp;IF((AI5&lt;&gt;"Xp")*(AI5&lt;&gt;"Xg"),"_p","")&amp;IF((AI5&lt;&gt;"Xn"),"_n","")&amp;", ")))</f>
        <v xml:space="preserve">MARINI, </v>
      </c>
      <c r="BX5" s="9" t="str">
        <f>IF(0+(AJ5="X")&gt;0,"",IF(0+((AJ5&lt;&gt;"Xm")*(AJ5&lt;&gt;"Xg"))+((AJ5&lt;&gt;"Xp")*(AJ5&lt;&gt;"Xg"))+((AJ5&lt;&gt;"Xn"))=0,"",IF(0+((AJ5&lt;&gt;"Xm")*(AJ5&lt;&gt;"Xg"))+((AJ5&lt;&gt;"Xp")*(AJ5&lt;&gt;"Xg"))+((AJ5&lt;&gt;"Xn"))=3,AJ$3&amp;", ",AJ$3&amp;IF((AJ5&lt;&gt;"Xm")*(AJ5&lt;&gt;"Xg"),"_m","")&amp;IF((AJ5&lt;&gt;"Xp")*(AJ5&lt;&gt;"Xg"),"_p","")&amp;IF((AJ5&lt;&gt;"Xn"),"_n","")&amp;", ")))</f>
        <v xml:space="preserve">CONTI A, </v>
      </c>
      <c r="BY5" s="9" t="str">
        <f>IF(0+(AK5="X")&gt;0,"",IF(0+((AK5&lt;&gt;"Xm")*(AK5&lt;&gt;"Xg"))+((AK5&lt;&gt;"Xp")*(AK5&lt;&gt;"Xg"))+((AK5&lt;&gt;"Xn"))=0,"",IF(0+((AK5&lt;&gt;"Xm")*(AK5&lt;&gt;"Xg"))+((AK5&lt;&gt;"Xp")*(AK5&lt;&gt;"Xg"))+((AK5&lt;&gt;"Xn"))=3,AK$3&amp;", ",AK$3&amp;IF((AK5&lt;&gt;"Xm")*(AK5&lt;&gt;"Xg"),"_m","")&amp;IF((AK5&lt;&gt;"Xp")*(AK5&lt;&gt;"Xg"),"_p","")&amp;IF((AK5&lt;&gt;"Xn"),"_n","")&amp;", ")))</f>
        <v xml:space="preserve">CONTI S, </v>
      </c>
      <c r="BZ5" s="9" t="str">
        <f>IF(0+(AL5="X")&gt;0,"",IF(0+((AL5&lt;&gt;"Xm")*(AL5&lt;&gt;"Xg"))+((AL5&lt;&gt;"Xp")*(AL5&lt;&gt;"Xg"))+((AL5&lt;&gt;"Xn"))=0,"",IF(0+((AL5&lt;&gt;"Xm")*(AL5&lt;&gt;"Xg"))+((AL5&lt;&gt;"Xp")*(AL5&lt;&gt;"Xg"))+((AL5&lt;&gt;"Xn"))=3,AL$3&amp;", ",AL$3&amp;IF((AL5&lt;&gt;"Xm")*(AL5&lt;&gt;"Xg"),"_m","")&amp;IF((AL5&lt;&gt;"Xp")*(AL5&lt;&gt;"Xg"),"_p","")&amp;IF((AL5&lt;&gt;"Xn"),"_n","")&amp;", ")))</f>
        <v xml:space="preserve">FERRARI, </v>
      </c>
      <c r="CA5" s="9" t="str">
        <f>IF(0+(AM5="X")&gt;0,"",IF(0+((AM5&lt;&gt;"Xm")*(AM5&lt;&gt;"Xg"))+((AM5&lt;&gt;"Xp")*(AM5&lt;&gt;"Xg"))+((AM5&lt;&gt;"Xn"))=0,"",IF(0+((AM5&lt;&gt;"Xm")*(AM5&lt;&gt;"Xg"))+((AM5&lt;&gt;"Xp")*(AM5&lt;&gt;"Xg"))+((AM5&lt;&gt;"Xn"))=3,AM$3&amp;", ",AM$3&amp;IF((AM5&lt;&gt;"Xm")*(AM5&lt;&gt;"Xg"),"_m","")&amp;IF((AM5&lt;&gt;"Xp")*(AM5&lt;&gt;"Xg"),"_p","")&amp;IF((AM5&lt;&gt;"Xn"),"_n","")&amp;", ")))</f>
        <v xml:space="preserve">GRECO, </v>
      </c>
      <c r="CB5" s="9" t="str">
        <f>IF(0+(AN5="X")&gt;0,"",IF(0+((AN5&lt;&gt;"Xm")*(AN5&lt;&gt;"Xg"))+((AN5&lt;&gt;"Xp")*(AN5&lt;&gt;"Xg"))+((AN5&lt;&gt;"Xn"))=0,"",IF(0+((AN5&lt;&gt;"Xm")*(AN5&lt;&gt;"Xg"))+((AN5&lt;&gt;"Xp")*(AN5&lt;&gt;"Xg"))+((AN5&lt;&gt;"Xn"))=3,AN$3&amp;", ",AN$3&amp;IF((AN5&lt;&gt;"Xm")*(AN5&lt;&gt;"Xg"),"_m","")&amp;IF((AN5&lt;&gt;"Xp")*(AN5&lt;&gt;"Xg"),"_p","")&amp;IF((AN5&lt;&gt;"Xn"),"_n","")&amp;", ")))</f>
        <v xml:space="preserve">SANNA, </v>
      </c>
      <c r="CC5" s="9" t="str">
        <f>IF(0+(AO5="X")&gt;0,"",IF(0+((AO5&lt;&gt;"Xm")*(AO5&lt;&gt;"Xg"))+((AO5&lt;&gt;"Xp")*(AO5&lt;&gt;"Xg"))+((AO5&lt;&gt;"Xn"))=0,"",IF(0+((AO5&lt;&gt;"Xm")*(AO5&lt;&gt;"Xg"))+((AO5&lt;&gt;"Xp")*(AO5&lt;&gt;"Xg"))+((AO5&lt;&gt;"Xn"))=3,AO$3&amp;", ",AO$3&amp;IF((AO5&lt;&gt;"Xm")*(AO5&lt;&gt;"Xg"),"_m","")&amp;IF((AO5&lt;&gt;"Xp")*(AO5&lt;&gt;"Xg"),"_p","")&amp;IF((AO5&lt;&gt;"Xn"),"_n","")&amp;", ")))</f>
        <v xml:space="preserve">LI, </v>
      </c>
      <c r="CD5" s="9" t="n"/>
      <c r="CE5" s="9" t="str">
        <f>IF(0+(AB5="X")&gt;0,"",IF(0+((AB5&lt;&gt;"Xm")*(AB5&lt;&gt;"Xg")*(COUNTIFS($C$3:$Q$3,"MAT",$C5:$Q5,AB$3)=0)*(COUNTIFS($C$3:$Q$3,"NOTTE",$C5:$Q5,AB$3)=0)*(COUNTIFS($C$3:$Q$3,"NOTTE",$C4:$Q4,AB$3)=0))+((AB5&lt;&gt;"Xp")*(AB5&lt;&gt;"Xg")*(COUNTIFS($C$3:$Q$3,"POM",$C5:$Q5,AB$3)=0)*(COUNTIFS($C$3:$Q$3,"NOTTE",$C5:$Q5,AB$3)=0)*(COUNTIFS($C$3:$Q$3,"NOTTE",$C4:$Q4,AB$3)=0))+((AB5&lt;&gt;"Xn")*(COUNTIFS($C$3:$Q$3,"MAT",$C5:$Q5,AB$3)=0)*(COUNTIFS($C$3:$Q$3,"POM",$C5:$Q5,AB$3)=0)*(COUNTIFS($C$3:$Q$3,"NOTTE",$C5:$Q5,AB$3)=0)*(COUNTIFS($C$3:$Q$3,"NOTTE",$C4:$Q4,AB$3)=0))=0,"",IF(0+((AB5&lt;&gt;"Xm")*(AB5&lt;&gt;"Xg")*(COUNTIFS($C$3:$Q$3,"MAT",$C5:$Q5,AB$3)=0)*(COUNTIFS($C$3:$Q$3,"NOTTE",$C5:$Q5,AB$3)=0)*(COUNTIFS($C$3:$Q$3,"NOTTE",$C4:$Q4,AB$3)=0))+((AB5&lt;&gt;"Xp")*(AB5&lt;&gt;"Xg")*(COUNTIFS($C$3:$Q$3,"POM",$C5:$Q5,AB$3)=0)*(COUNTIFS($C$3:$Q$3,"NOTTE",$C5:$Q5,AB$3)=0)*(COUNTIFS($C$3:$Q$3,"NOTTE",$C4:$Q4,AB$3)=0))+((AB5&lt;&gt;"Xn")*(COUNTIFS($C$3:$Q$3,"MAT",$C5:$Q5,AB$3)=0)*(COUNTIFS($C$3:$Q$3,"POM",$C5:$Q5,AB$3)=0)*(COUNTIFS($C$3:$Q$3,"NOTTE",$C5:$Q5,AB$3)=0)*(COUNTIFS($C$3:$Q$3,"NOTTE",$C4:$Q4,AB$3)=0))=3,AB$3&amp;", ",AB$3&amp;IF((AB5&lt;&gt;"Xm")*(AB5&lt;&gt;"Xg")*(COUNTIFS($C$3:$Q$3,"MAT",$C5:$Q5,AB$3)=0)*(COUNTIFS($C$3:$Q$3,"NOTTE",$C5:$Q5,AB$3)=0)*(COUNTIFS($C$3:$Q$3,"NOTTE",$C4:$Q4,AB$3)=0),"_m","")&amp;IF((AB5&lt;&gt;"Xp")*(AB5&lt;&gt;"Xg")*(COUNTIFS($C$3:$Q$3,"POM",$C5:$Q5,AB$3)=0)*(COUNTIFS($C$3:$Q$3,"NOTTE",$C5:$Q5,AB$3)=0)*(COUNTIFS($C$3:$Q$3,"NOTTE",$C4:$Q4,AB$3)=0),"_p","")&amp;IF((AB5&lt;&gt;"Xn")*(COUNTIFS($C$3:$Q$3,"MAT",$C5:$Q5,AB$3)=0)*(COUNTIFS($C$3:$Q$3,"POM",$C5:$Q5,AB$3)=0)*(COUNTIFS($C$3:$Q$3,"NOTTE",$C5:$Q5,AB$3)=0)*(COUNTIFS($C$3:$Q$3,"NOTTE",$C4:$Q4,AB$3)=0),"_n","")&amp;", ")))</f>
        <v xml:space="preserve">LEONI, </v>
      </c>
      <c r="CF5" s="9" t="str">
        <f>IF(0+(AC5="X")&gt;0,"",IF(0+((AC5&lt;&gt;"Xm")*(AC5&lt;&gt;"Xg")*(COUNTIFS($C$3:$Q$3,"MAT",$C5:$Q5,AC$3)=0)*(COUNTIFS($C$3:$Q$3,"NOTTE",$C5:$Q5,AC$3)=0)*(COUNTIFS($C$3:$Q$3,"NOTTE",$C4:$Q4,AC$3)=0))+((AC5&lt;&gt;"Xp")*(AC5&lt;&gt;"Xg")*(COUNTIFS($C$3:$Q$3,"POM",$C5:$Q5,AC$3)=0)*(COUNTIFS($C$3:$Q$3,"NOTTE",$C5:$Q5,AC$3)=0)*(COUNTIFS($C$3:$Q$3,"NOTTE",$C4:$Q4,AC$3)=0))+((AC5&lt;&gt;"Xn")*(COUNTIFS($C$3:$Q$3,"MAT",$C5:$Q5,AC$3)=0)*(COUNTIFS($C$3:$Q$3,"POM",$C5:$Q5,AC$3)=0)*(COUNTIFS($C$3:$Q$3,"NOTTE",$C5:$Q5,AC$3)=0)*(COUNTIFS($C$3:$Q$3,"NOTTE",$C4:$Q4,AC$3)=0))=0,"",IF(0+((AC5&lt;&gt;"Xm")*(AC5&lt;&gt;"Xg")*(COUNTIFS($C$3:$Q$3,"MAT",$C5:$Q5,AC$3)=0)*(COUNTIFS($C$3:$Q$3,"NOTTE",$C5:$Q5,AC$3)=0)*(COUNTIFS($C$3:$Q$3,"NOTTE",$C4:$Q4,AC$3)=0))+((AC5&lt;&gt;"Xp")*(AC5&lt;&gt;"Xg")*(COUNTIFS($C$3:$Q$3,"POM",$C5:$Q5,AC$3)=0)*(COUNTIFS($C$3:$Q$3,"NOTTE",$C5:$Q5,AC$3)=0)*(COUNTIFS($C$3:$Q$3,"NOTTE",$C4:$Q4,AC$3)=0))+((AC5&lt;&gt;"Xn")*(COUNTIFS($C$3:$Q$3,"MAT",$C5:$Q5,AC$3)=0)*(COUNTIFS($C$3:$Q$3,"POM",$C5:$Q5,AC$3)=0)*(COUNTIFS($C$3:$Q$3,"NOTTE",$C5:$Q5,AC$3)=0)*(COUNTIFS($C$3:$Q$3,"NOTTE",$C4:$Q4,AC$3)=0))=3,AC$3&amp;", ",AC$3&amp;IF((AC5&lt;&gt;"Xm")*(AC5&lt;&gt;"Xg")*(COUNTIFS($C$3:$Q$3,"MAT",$C5:$Q5,AC$3)=0)*(COUNTIFS($C$3:$Q$3,"NOTTE",$C5:$Q5,AC$3)=0)*(COUNTIFS($C$3:$Q$3,"NOTTE",$C4:$Q4,AC$3)=0),"_m","")&amp;IF((AC5&lt;&gt;"Xp")*(AC5&lt;&gt;"Xg")*(COUNTIFS($C$3:$Q$3,"POM",$C5:$Q5,AC$3)=0)*(COUNTIFS($C$3:$Q$3,"NOTTE",$C5:$Q5,AC$3)=0)*(COUNTIFS($C$3:$Q$3,"NOTTE",$C4:$Q4,AC$3)=0),"_p","")&amp;IF((AC5&lt;&gt;"Xn")*(COUNTIFS($C$3:$Q$3,"MAT",$C5:$Q5,AC$3)=0)*(COUNTIFS($C$3:$Q$3,"POM",$C5:$Q5,AC$3)=0)*(COUNTIFS($C$3:$Q$3,"NOTTE",$C5:$Q5,AC$3)=0)*(COUNTIFS($C$3:$Q$3,"NOTTE",$C4:$Q4,AC$3)=0),"_n","")&amp;", ")))</f>
        <v xml:space="preserve">ROSSI M, </v>
      </c>
      <c r="CG5" s="9" t="str">
        <f>IF(0+(AD5="X")&gt;0,"",IF(0+((AD5&lt;&gt;"Xm")*(AD5&lt;&gt;"Xg")*(COUNTIFS($C$3:$Q$3,"MAT",$C5:$Q5,AD$3)=0)*(COUNTIFS($C$3:$Q$3,"NOTTE",$C5:$Q5,AD$3)=0)*(COUNTIFS($C$3:$Q$3,"NOTTE",$C4:$Q4,AD$3)=0))+((AD5&lt;&gt;"Xp")*(AD5&lt;&gt;"Xg")*(COUNTIFS($C$3:$Q$3,"POM",$C5:$Q5,AD$3)=0)*(COUNTIFS($C$3:$Q$3,"NOTTE",$C5:$Q5,AD$3)=0)*(COUNTIFS($C$3:$Q$3,"NOTTE",$C4:$Q4,AD$3)=0))+((AD5&lt;&gt;"Xn")*(COUNTIFS($C$3:$Q$3,"MAT",$C5:$Q5,AD$3)=0)*(COUNTIFS($C$3:$Q$3,"POM",$C5:$Q5,AD$3)=0)*(COUNTIFS($C$3:$Q$3,"NOTTE",$C5:$Q5,AD$3)=0)*(COUNTIFS($C$3:$Q$3,"NOTTE",$C4:$Q4,AD$3)=0))=0,"",IF(0+((AD5&lt;&gt;"Xm")*(AD5&lt;&gt;"Xg")*(COUNTIFS($C$3:$Q$3,"MAT",$C5:$Q5,AD$3)=0)*(COUNTIFS($C$3:$Q$3,"NOTTE",$C5:$Q5,AD$3)=0)*(COUNTIFS($C$3:$Q$3,"NOTTE",$C4:$Q4,AD$3)=0))+((AD5&lt;&gt;"Xp")*(AD5&lt;&gt;"Xg")*(COUNTIFS($C$3:$Q$3,"POM",$C5:$Q5,AD$3)=0)*(COUNTIFS($C$3:$Q$3,"NOTTE",$C5:$Q5,AD$3)=0)*(COUNTIFS($C$3:$Q$3,"NOTTE",$C4:$Q4,AD$3)=0))+((AD5&lt;&gt;"Xn")*(COUNTIFS($C$3:$Q$3,"MAT",$C5:$Q5,AD$3)=0)*(COUNTIFS($C$3:$Q$3,"POM",$C5:$Q5,AD$3)=0)*(COUNTIFS($C$3:$Q$3,"NOTTE",$C5:$Q5,AD$3)=0)*(COUNTIFS($C$3:$Q$3,"NOTTE",$C4:$Q4,AD$3)=0))=3,AD$3&amp;", ",AD$3&amp;IF((AD5&lt;&gt;"Xm")*(AD5&lt;&gt;"Xg")*(COUNTIFS($C$3:$Q$3,"MAT",$C5:$Q5,AD$3)=0)*(COUNTIFS($C$3:$Q$3,"NOTTE",$C5:$Q5,AD$3)=0)*(COUNTIFS($C$3:$Q$3,"NOTTE",$C4:$Q4,AD$3)=0),"_m","")&amp;IF((AD5&lt;&gt;"Xp")*(AD5&lt;&gt;"Xg")*(COUNTIFS($C$3:$Q$3,"POM",$C5:$Q5,AD$3)=0)*(COUNTIFS($C$3:$Q$3,"NOTTE",$C5:$Q5,AD$3)=0)*(COUNTIFS($C$3:$Q$3,"NOTTE",$C4:$Q4,AD$3)=0),"_p","")&amp;IF((AD5&lt;&gt;"Xn")*(COUNTIFS($C$3:$Q$3,"MAT",$C5:$Q5,AD$3)=0)*(COUNTIFS($C$3:$Q$3,"POM",$C5:$Q5,AD$3)=0)*(COUNTIFS($C$3:$Q$3,"NOTTE",$C5:$Q5,AD$3)=0)*(COUNTIFS($C$3:$Q$3,"NOTTE",$C4:$Q4,AD$3)=0),"_n","")&amp;", ")))</f>
        <v xml:space="preserve">ROSSI L, </v>
      </c>
      <c r="CH5" s="9" t="str">
        <f>IF(0+(AE5="X")&gt;0,"",IF(0+((AE5&lt;&gt;"Xm")*(AE5&lt;&gt;"Xg")*(COUNTIFS($C$3:$Q$3,"MAT",$C5:$Q5,AE$3)=0)*(COUNTIFS($C$3:$Q$3,"NOTTE",$C5:$Q5,AE$3)=0)*(COUNTIFS($C$3:$Q$3,"NOTTE",$C4:$Q4,AE$3)=0))+((AE5&lt;&gt;"Xp")*(AE5&lt;&gt;"Xg")*(COUNTIFS($C$3:$Q$3,"POM",$C5:$Q5,AE$3)=0)*(COUNTIFS($C$3:$Q$3,"NOTTE",$C5:$Q5,AE$3)=0)*(COUNTIFS($C$3:$Q$3,"NOTTE",$C4:$Q4,AE$3)=0))+((AE5&lt;&gt;"Xn")*(COUNTIFS($C$3:$Q$3,"MAT",$C5:$Q5,AE$3)=0)*(COUNTIFS($C$3:$Q$3,"POM",$C5:$Q5,AE$3)=0)*(COUNTIFS($C$3:$Q$3,"NOTTE",$C5:$Q5,AE$3)=0)*(COUNTIFS($C$3:$Q$3,"NOTTE",$C4:$Q4,AE$3)=0))=0,"",IF(0+((AE5&lt;&gt;"Xm")*(AE5&lt;&gt;"Xg")*(COUNTIFS($C$3:$Q$3,"MAT",$C5:$Q5,AE$3)=0)*(COUNTIFS($C$3:$Q$3,"NOTTE",$C5:$Q5,AE$3)=0)*(COUNTIFS($C$3:$Q$3,"NOTTE",$C4:$Q4,AE$3)=0))+((AE5&lt;&gt;"Xp")*(AE5&lt;&gt;"Xg")*(COUNTIFS($C$3:$Q$3,"POM",$C5:$Q5,AE$3)=0)*(COUNTIFS($C$3:$Q$3,"NOTTE",$C5:$Q5,AE$3)=0)*(COUNTIFS($C$3:$Q$3,"NOTTE",$C4:$Q4,AE$3)=0))+((AE5&lt;&gt;"Xn")*(COUNTIFS($C$3:$Q$3,"MAT",$C5:$Q5,AE$3)=0)*(COUNTIFS($C$3:$Q$3,"POM",$C5:$Q5,AE$3)=0)*(COUNTIFS($C$3:$Q$3,"NOTTE",$C5:$Q5,AE$3)=0)*(COUNTIFS($C$3:$Q$3,"NOTTE",$C4:$Q4,AE$3)=0))=3,AE$3&amp;", ",AE$3&amp;IF((AE5&lt;&gt;"Xm")*(AE5&lt;&gt;"Xg")*(COUNTIFS($C$3:$Q$3,"MAT",$C5:$Q5,AE$3)=0)*(COUNTIFS($C$3:$Q$3,"NOTTE",$C5:$Q5,AE$3)=0)*(COUNTIFS($C$3:$Q$3,"NOTTE",$C4:$Q4,AE$3)=0),"_m","")&amp;IF((AE5&lt;&gt;"Xp")*(AE5&lt;&gt;"Xg")*(COUNTIFS($C$3:$Q$3,"POM",$C5:$Q5,AE$3)=0)*(COUNTIFS($C$3:$Q$3,"NOTTE",$C5:$Q5,AE$3)=0)*(COUNTIFS($C$3:$Q$3,"NOTTE",$C4:$Q4,AE$3)=0),"_p","")&amp;IF((AE5&lt;&gt;"Xn")*(COUNTIFS($C$3:$Q$3,"MAT",$C5:$Q5,AE$3)=0)*(COUNTIFS($C$3:$Q$3,"POM",$C5:$Q5,AE$3)=0)*(COUNTIFS($C$3:$Q$3,"NOTTE",$C5:$Q5,AE$3)=0)*(COUNTIFS($C$3:$Q$3,"NOTTE",$C4:$Q4,AE$3)=0),"_n","")&amp;", ")))</f>
        <v xml:space="preserve">GALLINA, </v>
      </c>
      <c r="CI5" s="9" t="str">
        <f>IF(0+(AF5="X")&gt;0,"",IF(0+((AF5&lt;&gt;"Xm")*(AF5&lt;&gt;"Xg")*(COUNTIFS($C$3:$Q$3,"MAT",$C5:$Q5,AF$3)=0)*(COUNTIFS($C$3:$Q$3,"NOTTE",$C5:$Q5,AF$3)=0)*(COUNTIFS($C$3:$Q$3,"NOTTE",$C4:$Q4,AF$3)=0))+((AF5&lt;&gt;"Xp")*(AF5&lt;&gt;"Xg")*(COUNTIFS($C$3:$Q$3,"POM",$C5:$Q5,AF$3)=0)*(COUNTIFS($C$3:$Q$3,"NOTTE",$C5:$Q5,AF$3)=0)*(COUNTIFS($C$3:$Q$3,"NOTTE",$C4:$Q4,AF$3)=0))+((AF5&lt;&gt;"Xn")*(COUNTIFS($C$3:$Q$3,"MAT",$C5:$Q5,AF$3)=0)*(COUNTIFS($C$3:$Q$3,"POM",$C5:$Q5,AF$3)=0)*(COUNTIFS($C$3:$Q$3,"NOTTE",$C5:$Q5,AF$3)=0)*(COUNTIFS($C$3:$Q$3,"NOTTE",$C4:$Q4,AF$3)=0))=0,"",IF(0+((AF5&lt;&gt;"Xm")*(AF5&lt;&gt;"Xg")*(COUNTIFS($C$3:$Q$3,"MAT",$C5:$Q5,AF$3)=0)*(COUNTIFS($C$3:$Q$3,"NOTTE",$C5:$Q5,AF$3)=0)*(COUNTIFS($C$3:$Q$3,"NOTTE",$C4:$Q4,AF$3)=0))+((AF5&lt;&gt;"Xp")*(AF5&lt;&gt;"Xg")*(COUNTIFS($C$3:$Q$3,"POM",$C5:$Q5,AF$3)=0)*(COUNTIFS($C$3:$Q$3,"NOTTE",$C5:$Q5,AF$3)=0)*(COUNTIFS($C$3:$Q$3,"NOTTE",$C4:$Q4,AF$3)=0))+((AF5&lt;&gt;"Xn")*(COUNTIFS($C$3:$Q$3,"MAT",$C5:$Q5,AF$3)=0)*(COUNTIFS($C$3:$Q$3,"POM",$C5:$Q5,AF$3)=0)*(COUNTIFS($C$3:$Q$3,"NOTTE",$C5:$Q5,AF$3)=0)*(COUNTIFS($C$3:$Q$3,"NOTTE",$C4:$Q4,AF$3)=0))=3,AF$3&amp;", ",AF$3&amp;IF((AF5&lt;&gt;"Xm")*(AF5&lt;&gt;"Xg")*(COUNTIFS($C$3:$Q$3,"MAT",$C5:$Q5,AF$3)=0)*(COUNTIFS($C$3:$Q$3,"NOTTE",$C5:$Q5,AF$3)=0)*(COUNTIFS($C$3:$Q$3,"NOTTE",$C4:$Q4,AF$3)=0),"_m","")&amp;IF((AF5&lt;&gt;"Xp")*(AF5&lt;&gt;"Xg")*(COUNTIFS($C$3:$Q$3,"POM",$C5:$Q5,AF$3)=0)*(COUNTIFS($C$3:$Q$3,"NOTTE",$C5:$Q5,AF$3)=0)*(COUNTIFS($C$3:$Q$3,"NOTTE",$C4:$Q4,AF$3)=0),"_p","")&amp;IF((AF5&lt;&gt;"Xn")*(COUNTIFS($C$3:$Q$3,"MAT",$C5:$Q5,AF$3)=0)*(COUNTIFS($C$3:$Q$3,"POM",$C5:$Q5,AF$3)=0)*(COUNTIFS($C$3:$Q$3,"NOTTE",$C5:$Q5,AF$3)=0)*(COUNTIFS($C$3:$Q$3,"NOTTE",$C4:$Q4,AF$3)=0),"_n","")&amp;", ")))</f>
        <v xml:space="preserve">RUSSO, </v>
      </c>
      <c r="CJ5" s="9" t="str">
        <f>IF(0+(AG5="X")&gt;0,"",IF(0+((AG5&lt;&gt;"Xm")*(AG5&lt;&gt;"Xg")*(COUNTIFS($C$3:$Q$3,"MAT",$C5:$Q5,AG$3)=0)*(COUNTIFS($C$3:$Q$3,"NOTTE",$C5:$Q5,AG$3)=0)*(COUNTIFS($C$3:$Q$3,"NOTTE",$C4:$Q4,AG$3)=0))+((AG5&lt;&gt;"Xp")*(AG5&lt;&gt;"Xg")*(COUNTIFS($C$3:$Q$3,"POM",$C5:$Q5,AG$3)=0)*(COUNTIFS($C$3:$Q$3,"NOTTE",$C5:$Q5,AG$3)=0)*(COUNTIFS($C$3:$Q$3,"NOTTE",$C4:$Q4,AG$3)=0))+((AG5&lt;&gt;"Xn")*(COUNTIFS($C$3:$Q$3,"MAT",$C5:$Q5,AG$3)=0)*(COUNTIFS($C$3:$Q$3,"POM",$C5:$Q5,AG$3)=0)*(COUNTIFS($C$3:$Q$3,"NOTTE",$C5:$Q5,AG$3)=0)*(COUNTIFS($C$3:$Q$3,"NOTTE",$C4:$Q4,AG$3)=0))=0,"",IF(0+((AG5&lt;&gt;"Xm")*(AG5&lt;&gt;"Xg")*(COUNTIFS($C$3:$Q$3,"MAT",$C5:$Q5,AG$3)=0)*(COUNTIFS($C$3:$Q$3,"NOTTE",$C5:$Q5,AG$3)=0)*(COUNTIFS($C$3:$Q$3,"NOTTE",$C4:$Q4,AG$3)=0))+((AG5&lt;&gt;"Xp")*(AG5&lt;&gt;"Xg")*(COUNTIFS($C$3:$Q$3,"POM",$C5:$Q5,AG$3)=0)*(COUNTIFS($C$3:$Q$3,"NOTTE",$C5:$Q5,AG$3)=0)*(COUNTIFS($C$3:$Q$3,"NOTTE",$C4:$Q4,AG$3)=0))+((AG5&lt;&gt;"Xn")*(COUNTIFS($C$3:$Q$3,"MAT",$C5:$Q5,AG$3)=0)*(COUNTIFS($C$3:$Q$3,"POM",$C5:$Q5,AG$3)=0)*(COUNTIFS($C$3:$Q$3,"NOTTE",$C5:$Q5,AG$3)=0)*(COUNTIFS($C$3:$Q$3,"NOTTE",$C4:$Q4,AG$3)=0))=3,AG$3&amp;", ",AG$3&amp;IF((AG5&lt;&gt;"Xm")*(AG5&lt;&gt;"Xg")*(COUNTIFS($C$3:$Q$3,"MAT",$C5:$Q5,AG$3)=0)*(COUNTIFS($C$3:$Q$3,"NOTTE",$C5:$Q5,AG$3)=0)*(COUNTIFS($C$3:$Q$3,"NOTTE",$C4:$Q4,AG$3)=0),"_m","")&amp;IF((AG5&lt;&gt;"Xp")*(AG5&lt;&gt;"Xg")*(COUNTIFS($C$3:$Q$3,"POM",$C5:$Q5,AG$3)=0)*(COUNTIFS($C$3:$Q$3,"NOTTE",$C5:$Q5,AG$3)=0)*(COUNTIFS($C$3:$Q$3,"NOTTE",$C4:$Q4,AG$3)=0),"_p","")&amp;IF((AG5&lt;&gt;"Xn")*(COUNTIFS($C$3:$Q$3,"MAT",$C5:$Q5,AG$3)=0)*(COUNTIFS($C$3:$Q$3,"POM",$C5:$Q5,AG$3)=0)*(COUNTIFS($C$3:$Q$3,"NOTTE",$C5:$Q5,AG$3)=0)*(COUNTIFS($C$3:$Q$3,"NOTTE",$C4:$Q4,AG$3)=0),"_n","")&amp;", ")))</f>
        <v xml:space="preserve">VERDI, </v>
      </c>
      <c r="CK5" s="9" t="str">
        <f>IF(0+(AH5="X")&gt;0,"",IF(0+((AH5&lt;&gt;"Xm")*(AH5&lt;&gt;"Xg")*(COUNTIFS($C$3:$Q$3,"MAT",$C5:$Q5,AH$3)=0)*(COUNTIFS($C$3:$Q$3,"NOTTE",$C5:$Q5,AH$3)=0)*(COUNTIFS($C$3:$Q$3,"NOTTE",$C4:$Q4,AH$3)=0))+((AH5&lt;&gt;"Xp")*(AH5&lt;&gt;"Xg")*(COUNTIFS($C$3:$Q$3,"POM",$C5:$Q5,AH$3)=0)*(COUNTIFS($C$3:$Q$3,"NOTTE",$C5:$Q5,AH$3)=0)*(COUNTIFS($C$3:$Q$3,"NOTTE",$C4:$Q4,AH$3)=0))+((AH5&lt;&gt;"Xn")*(COUNTIFS($C$3:$Q$3,"MAT",$C5:$Q5,AH$3)=0)*(COUNTIFS($C$3:$Q$3,"POM",$C5:$Q5,AH$3)=0)*(COUNTIFS($C$3:$Q$3,"NOTTE",$C5:$Q5,AH$3)=0)*(COUNTIFS($C$3:$Q$3,"NOTTE",$C4:$Q4,AH$3)=0))=0,"",IF(0+((AH5&lt;&gt;"Xm")*(AH5&lt;&gt;"Xg")*(COUNTIFS($C$3:$Q$3,"MAT",$C5:$Q5,AH$3)=0)*(COUNTIFS($C$3:$Q$3,"NOTTE",$C5:$Q5,AH$3)=0)*(COUNTIFS($C$3:$Q$3,"NOTTE",$C4:$Q4,AH$3)=0))+((AH5&lt;&gt;"Xp")*(AH5&lt;&gt;"Xg")*(COUNTIFS($C$3:$Q$3,"POM",$C5:$Q5,AH$3)=0)*(COUNTIFS($C$3:$Q$3,"NOTTE",$C5:$Q5,AH$3)=0)*(COUNTIFS($C$3:$Q$3,"NOTTE",$C4:$Q4,AH$3)=0))+((AH5&lt;&gt;"Xn")*(COUNTIFS($C$3:$Q$3,"MAT",$C5:$Q5,AH$3)=0)*(COUNTIFS($C$3:$Q$3,"POM",$C5:$Q5,AH$3)=0)*(COUNTIFS($C$3:$Q$3,"NOTTE",$C5:$Q5,AH$3)=0)*(COUNTIFS($C$3:$Q$3,"NOTTE",$C4:$Q4,AH$3)=0))=3,AH$3&amp;", ",AH$3&amp;IF((AH5&lt;&gt;"Xm")*(AH5&lt;&gt;"Xg")*(COUNTIFS($C$3:$Q$3,"MAT",$C5:$Q5,AH$3)=0)*(COUNTIFS($C$3:$Q$3,"NOTTE",$C5:$Q5,AH$3)=0)*(COUNTIFS($C$3:$Q$3,"NOTTE",$C4:$Q4,AH$3)=0),"_m","")&amp;IF((AH5&lt;&gt;"Xp")*(AH5&lt;&gt;"Xg")*(COUNTIFS($C$3:$Q$3,"POM",$C5:$Q5,AH$3)=0)*(COUNTIFS($C$3:$Q$3,"NOTTE",$C5:$Q5,AH$3)=0)*(COUNTIFS($C$3:$Q$3,"NOTTE",$C4:$Q4,AH$3)=0),"_p","")&amp;IF((AH5&lt;&gt;"Xn")*(COUNTIFS($C$3:$Q$3,"MAT",$C5:$Q5,AH$3)=0)*(COUNTIFS($C$3:$Q$3,"POM",$C5:$Q5,AH$3)=0)*(COUNTIFS($C$3:$Q$3,"NOTTE",$C5:$Q5,AH$3)=0)*(COUNTIFS($C$3:$Q$3,"NOTTE",$C4:$Q4,AH$3)=0),"_n","")&amp;", ")))</f>
        <v xml:space="preserve">HU, </v>
      </c>
      <c r="CL5" s="9" t="str">
        <f>IF(0+(AI5="X")&gt;0,"",IF(0+((AI5&lt;&gt;"Xm")*(AI5&lt;&gt;"Xg")*(COUNTIFS($C$3:$Q$3,"MAT",$C5:$Q5,AI$3)=0)*(COUNTIFS($C$3:$Q$3,"NOTTE",$C5:$Q5,AI$3)=0)*(COUNTIFS($C$3:$Q$3,"NOTTE",$C4:$Q4,AI$3)=0))+((AI5&lt;&gt;"Xp")*(AI5&lt;&gt;"Xg")*(COUNTIFS($C$3:$Q$3,"POM",$C5:$Q5,AI$3)=0)*(COUNTIFS($C$3:$Q$3,"NOTTE",$C5:$Q5,AI$3)=0)*(COUNTIFS($C$3:$Q$3,"NOTTE",$C4:$Q4,AI$3)=0))+((AI5&lt;&gt;"Xn")*(COUNTIFS($C$3:$Q$3,"MAT",$C5:$Q5,AI$3)=0)*(COUNTIFS($C$3:$Q$3,"POM",$C5:$Q5,AI$3)=0)*(COUNTIFS($C$3:$Q$3,"NOTTE",$C5:$Q5,AI$3)=0)*(COUNTIFS($C$3:$Q$3,"NOTTE",$C4:$Q4,AI$3)=0))=0,"",IF(0+((AI5&lt;&gt;"Xm")*(AI5&lt;&gt;"Xg")*(COUNTIFS($C$3:$Q$3,"MAT",$C5:$Q5,AI$3)=0)*(COUNTIFS($C$3:$Q$3,"NOTTE",$C5:$Q5,AI$3)=0)*(COUNTIFS($C$3:$Q$3,"NOTTE",$C4:$Q4,AI$3)=0))+((AI5&lt;&gt;"Xp")*(AI5&lt;&gt;"Xg")*(COUNTIFS($C$3:$Q$3,"POM",$C5:$Q5,AI$3)=0)*(COUNTIFS($C$3:$Q$3,"NOTTE",$C5:$Q5,AI$3)=0)*(COUNTIFS($C$3:$Q$3,"NOTTE",$C4:$Q4,AI$3)=0))+((AI5&lt;&gt;"Xn")*(COUNTIFS($C$3:$Q$3,"MAT",$C5:$Q5,AI$3)=0)*(COUNTIFS($C$3:$Q$3,"POM",$C5:$Q5,AI$3)=0)*(COUNTIFS($C$3:$Q$3,"NOTTE",$C5:$Q5,AI$3)=0)*(COUNTIFS($C$3:$Q$3,"NOTTE",$C4:$Q4,AI$3)=0))=3,AI$3&amp;", ",AI$3&amp;IF((AI5&lt;&gt;"Xm")*(AI5&lt;&gt;"Xg")*(COUNTIFS($C$3:$Q$3,"MAT",$C5:$Q5,AI$3)=0)*(COUNTIFS($C$3:$Q$3,"NOTTE",$C5:$Q5,AI$3)=0)*(COUNTIFS($C$3:$Q$3,"NOTTE",$C4:$Q4,AI$3)=0),"_m","")&amp;IF((AI5&lt;&gt;"Xp")*(AI5&lt;&gt;"Xg")*(COUNTIFS($C$3:$Q$3,"POM",$C5:$Q5,AI$3)=0)*(COUNTIFS($C$3:$Q$3,"NOTTE",$C5:$Q5,AI$3)=0)*(COUNTIFS($C$3:$Q$3,"NOTTE",$C4:$Q4,AI$3)=0),"_p","")&amp;IF((AI5&lt;&gt;"Xn")*(COUNTIFS($C$3:$Q$3,"MAT",$C5:$Q5,AI$3)=0)*(COUNTIFS($C$3:$Q$3,"POM",$C5:$Q5,AI$3)=0)*(COUNTIFS($C$3:$Q$3,"NOTTE",$C5:$Q5,AI$3)=0)*(COUNTIFS($C$3:$Q$3,"NOTTE",$C4:$Q4,AI$3)=0),"_n","")&amp;", ")))</f>
        <v xml:space="preserve">MARINI, </v>
      </c>
      <c r="CM5" s="9" t="str">
        <f>IF(0+(AJ5="X")&gt;0,"",IF(0+((AJ5&lt;&gt;"Xm")*(AJ5&lt;&gt;"Xg")*(COUNTIFS($C$3:$Q$3,"MAT",$C5:$Q5,AJ$3)=0)*(COUNTIFS($C$3:$Q$3,"NOTTE",$C5:$Q5,AJ$3)=0)*(COUNTIFS($C$3:$Q$3,"NOTTE",$C4:$Q4,AJ$3)=0))+((AJ5&lt;&gt;"Xp")*(AJ5&lt;&gt;"Xg")*(COUNTIFS($C$3:$Q$3,"POM",$C5:$Q5,AJ$3)=0)*(COUNTIFS($C$3:$Q$3,"NOTTE",$C5:$Q5,AJ$3)=0)*(COUNTIFS($C$3:$Q$3,"NOTTE",$C4:$Q4,AJ$3)=0))+((AJ5&lt;&gt;"Xn")*(COUNTIFS($C$3:$Q$3,"MAT",$C5:$Q5,AJ$3)=0)*(COUNTIFS($C$3:$Q$3,"POM",$C5:$Q5,AJ$3)=0)*(COUNTIFS($C$3:$Q$3,"NOTTE",$C5:$Q5,AJ$3)=0)*(COUNTIFS($C$3:$Q$3,"NOTTE",$C4:$Q4,AJ$3)=0))=0,"",IF(0+((AJ5&lt;&gt;"Xm")*(AJ5&lt;&gt;"Xg")*(COUNTIFS($C$3:$Q$3,"MAT",$C5:$Q5,AJ$3)=0)*(COUNTIFS($C$3:$Q$3,"NOTTE",$C5:$Q5,AJ$3)=0)*(COUNTIFS($C$3:$Q$3,"NOTTE",$C4:$Q4,AJ$3)=0))+((AJ5&lt;&gt;"Xp")*(AJ5&lt;&gt;"Xg")*(COUNTIFS($C$3:$Q$3,"POM",$C5:$Q5,AJ$3)=0)*(COUNTIFS($C$3:$Q$3,"NOTTE",$C5:$Q5,AJ$3)=0)*(COUNTIFS($C$3:$Q$3,"NOTTE",$C4:$Q4,AJ$3)=0))+((AJ5&lt;&gt;"Xn")*(COUNTIFS($C$3:$Q$3,"MAT",$C5:$Q5,AJ$3)=0)*(COUNTIFS($C$3:$Q$3,"POM",$C5:$Q5,AJ$3)=0)*(COUNTIFS($C$3:$Q$3,"NOTTE",$C5:$Q5,AJ$3)=0)*(COUNTIFS($C$3:$Q$3,"NOTTE",$C4:$Q4,AJ$3)=0))=3,AJ$3&amp;", ",AJ$3&amp;IF((AJ5&lt;&gt;"Xm")*(AJ5&lt;&gt;"Xg")*(COUNTIFS($C$3:$Q$3,"MAT",$C5:$Q5,AJ$3)=0)*(COUNTIFS($C$3:$Q$3,"NOTTE",$C5:$Q5,AJ$3)=0)*(COUNTIFS($C$3:$Q$3,"NOTTE",$C4:$Q4,AJ$3)=0),"_m","")&amp;IF((AJ5&lt;&gt;"Xp")*(AJ5&lt;&gt;"Xg")*(COUNTIFS($C$3:$Q$3,"POM",$C5:$Q5,AJ$3)=0)*(COUNTIFS($C$3:$Q$3,"NOTTE",$C5:$Q5,AJ$3)=0)*(COUNTIFS($C$3:$Q$3,"NOTTE",$C4:$Q4,AJ$3)=0),"_p","")&amp;IF((AJ5&lt;&gt;"Xn")*(COUNTIFS($C$3:$Q$3,"MAT",$C5:$Q5,AJ$3)=0)*(COUNTIFS($C$3:$Q$3,"POM",$C5:$Q5,AJ$3)=0)*(COUNTIFS($C$3:$Q$3,"NOTTE",$C5:$Q5,AJ$3)=0)*(COUNTIFS($C$3:$Q$3,"NOTTE",$C4:$Q4,AJ$3)=0),"_n","")&amp;", ")))</f>
        <v xml:space="preserve">CONTI A, </v>
      </c>
      <c r="CN5" s="9" t="str">
        <f>IF(0+(AK5="X")&gt;0,"",IF(0+((AK5&lt;&gt;"Xm")*(AK5&lt;&gt;"Xg")*(COUNTIFS($C$3:$Q$3,"MAT",$C5:$Q5,AK$3)=0)*(COUNTIFS($C$3:$Q$3,"NOTTE",$C5:$Q5,AK$3)=0)*(COUNTIFS($C$3:$Q$3,"NOTTE",$C4:$Q4,AK$3)=0))+((AK5&lt;&gt;"Xp")*(AK5&lt;&gt;"Xg")*(COUNTIFS($C$3:$Q$3,"POM",$C5:$Q5,AK$3)=0)*(COUNTIFS($C$3:$Q$3,"NOTTE",$C5:$Q5,AK$3)=0)*(COUNTIFS($C$3:$Q$3,"NOTTE",$C4:$Q4,AK$3)=0))+((AK5&lt;&gt;"Xn")*(COUNTIFS($C$3:$Q$3,"MAT",$C5:$Q5,AK$3)=0)*(COUNTIFS($C$3:$Q$3,"POM",$C5:$Q5,AK$3)=0)*(COUNTIFS($C$3:$Q$3,"NOTTE",$C5:$Q5,AK$3)=0)*(COUNTIFS($C$3:$Q$3,"NOTTE",$C4:$Q4,AK$3)=0))=0,"",IF(0+((AK5&lt;&gt;"Xm")*(AK5&lt;&gt;"Xg")*(COUNTIFS($C$3:$Q$3,"MAT",$C5:$Q5,AK$3)=0)*(COUNTIFS($C$3:$Q$3,"NOTTE",$C5:$Q5,AK$3)=0)*(COUNTIFS($C$3:$Q$3,"NOTTE",$C4:$Q4,AK$3)=0))+((AK5&lt;&gt;"Xp")*(AK5&lt;&gt;"Xg")*(COUNTIFS($C$3:$Q$3,"POM",$C5:$Q5,AK$3)=0)*(COUNTIFS($C$3:$Q$3,"NOTTE",$C5:$Q5,AK$3)=0)*(COUNTIFS($C$3:$Q$3,"NOTTE",$C4:$Q4,AK$3)=0))+((AK5&lt;&gt;"Xn")*(COUNTIFS($C$3:$Q$3,"MAT",$C5:$Q5,AK$3)=0)*(COUNTIFS($C$3:$Q$3,"POM",$C5:$Q5,AK$3)=0)*(COUNTIFS($C$3:$Q$3,"NOTTE",$C5:$Q5,AK$3)=0)*(COUNTIFS($C$3:$Q$3,"NOTTE",$C4:$Q4,AK$3)=0))=3,AK$3&amp;", ",AK$3&amp;IF((AK5&lt;&gt;"Xm")*(AK5&lt;&gt;"Xg")*(COUNTIFS($C$3:$Q$3,"MAT",$C5:$Q5,AK$3)=0)*(COUNTIFS($C$3:$Q$3,"NOTTE",$C5:$Q5,AK$3)=0)*(COUNTIFS($C$3:$Q$3,"NOTTE",$C4:$Q4,AK$3)=0),"_m","")&amp;IF((AK5&lt;&gt;"Xp")*(AK5&lt;&gt;"Xg")*(COUNTIFS($C$3:$Q$3,"POM",$C5:$Q5,AK$3)=0)*(COUNTIFS($C$3:$Q$3,"NOTTE",$C5:$Q5,AK$3)=0)*(COUNTIFS($C$3:$Q$3,"NOTTE",$C4:$Q4,AK$3)=0),"_p","")&amp;IF((AK5&lt;&gt;"Xn")*(COUNTIFS($C$3:$Q$3,"MAT",$C5:$Q5,AK$3)=0)*(COUNTIFS($C$3:$Q$3,"POM",$C5:$Q5,AK$3)=0)*(COUNTIFS($C$3:$Q$3,"NOTTE",$C5:$Q5,AK$3)=0)*(COUNTIFS($C$3:$Q$3,"NOTTE",$C4:$Q4,AK$3)=0),"_n","")&amp;", ")))</f>
        <v xml:space="preserve">CONTI S, </v>
      </c>
      <c r="CO5" s="9" t="str">
        <f>IF(0+(AL5="X")&gt;0,"",IF(0+((AL5&lt;&gt;"Xm")*(AL5&lt;&gt;"Xg")*(COUNTIFS($C$3:$Q$3,"MAT",$C5:$Q5,AL$3)=0)*(COUNTIFS($C$3:$Q$3,"NOTTE",$C5:$Q5,AL$3)=0)*(COUNTIFS($C$3:$Q$3,"NOTTE",$C4:$Q4,AL$3)=0))+((AL5&lt;&gt;"Xp")*(AL5&lt;&gt;"Xg")*(COUNTIFS($C$3:$Q$3,"POM",$C5:$Q5,AL$3)=0)*(COUNTIFS($C$3:$Q$3,"NOTTE",$C5:$Q5,AL$3)=0)*(COUNTIFS($C$3:$Q$3,"NOTTE",$C4:$Q4,AL$3)=0))+((AL5&lt;&gt;"Xn")*(COUNTIFS($C$3:$Q$3,"MAT",$C5:$Q5,AL$3)=0)*(COUNTIFS($C$3:$Q$3,"POM",$C5:$Q5,AL$3)=0)*(COUNTIFS($C$3:$Q$3,"NOTTE",$C5:$Q5,AL$3)=0)*(COUNTIFS($C$3:$Q$3,"NOTTE",$C4:$Q4,AL$3)=0))=0,"",IF(0+((AL5&lt;&gt;"Xm")*(AL5&lt;&gt;"Xg")*(COUNTIFS($C$3:$Q$3,"MAT",$C5:$Q5,AL$3)=0)*(COUNTIFS($C$3:$Q$3,"NOTTE",$C5:$Q5,AL$3)=0)*(COUNTIFS($C$3:$Q$3,"NOTTE",$C4:$Q4,AL$3)=0))+((AL5&lt;&gt;"Xp")*(AL5&lt;&gt;"Xg")*(COUNTIFS($C$3:$Q$3,"POM",$C5:$Q5,AL$3)=0)*(COUNTIFS($C$3:$Q$3,"NOTTE",$C5:$Q5,AL$3)=0)*(COUNTIFS($C$3:$Q$3,"NOTTE",$C4:$Q4,AL$3)=0))+((AL5&lt;&gt;"Xn")*(COUNTIFS($C$3:$Q$3,"MAT",$C5:$Q5,AL$3)=0)*(COUNTIFS($C$3:$Q$3,"POM",$C5:$Q5,AL$3)=0)*(COUNTIFS($C$3:$Q$3,"NOTTE",$C5:$Q5,AL$3)=0)*(COUNTIFS($C$3:$Q$3,"NOTTE",$C4:$Q4,AL$3)=0))=3,AL$3&amp;", ",AL$3&amp;IF((AL5&lt;&gt;"Xm")*(AL5&lt;&gt;"Xg")*(COUNTIFS($C$3:$Q$3,"MAT",$C5:$Q5,AL$3)=0)*(COUNTIFS($C$3:$Q$3,"NOTTE",$C5:$Q5,AL$3)=0)*(COUNTIFS($C$3:$Q$3,"NOTTE",$C4:$Q4,AL$3)=0),"_m","")&amp;IF((AL5&lt;&gt;"Xp")*(AL5&lt;&gt;"Xg")*(COUNTIFS($C$3:$Q$3,"POM",$C5:$Q5,AL$3)=0)*(COUNTIFS($C$3:$Q$3,"NOTTE",$C5:$Q5,AL$3)=0)*(COUNTIFS($C$3:$Q$3,"NOTTE",$C4:$Q4,AL$3)=0),"_p","")&amp;IF((AL5&lt;&gt;"Xn")*(COUNTIFS($C$3:$Q$3,"MAT",$C5:$Q5,AL$3)=0)*(COUNTIFS($C$3:$Q$3,"POM",$C5:$Q5,AL$3)=0)*(COUNTIFS($C$3:$Q$3,"NOTTE",$C5:$Q5,AL$3)=0)*(COUNTIFS($C$3:$Q$3,"NOTTE",$C4:$Q4,AL$3)=0),"_n","")&amp;", ")))</f>
        <v xml:space="preserve">FERRARI, </v>
      </c>
      <c r="CP5" s="9" t="str">
        <f>IF(0+(AM5="X")&gt;0,"",IF(0+((AM5&lt;&gt;"Xm")*(AM5&lt;&gt;"Xg")*(COUNTIFS($C$3:$Q$3,"MAT",$C5:$Q5,AM$3)=0)*(COUNTIFS($C$3:$Q$3,"NOTTE",$C5:$Q5,AM$3)=0)*(COUNTIFS($C$3:$Q$3,"NOTTE",$C4:$Q4,AM$3)=0))+((AM5&lt;&gt;"Xp")*(AM5&lt;&gt;"Xg")*(COUNTIFS($C$3:$Q$3,"POM",$C5:$Q5,AM$3)=0)*(COUNTIFS($C$3:$Q$3,"NOTTE",$C5:$Q5,AM$3)=0)*(COUNTIFS($C$3:$Q$3,"NOTTE",$C4:$Q4,AM$3)=0))+((AM5&lt;&gt;"Xn")*(COUNTIFS($C$3:$Q$3,"MAT",$C5:$Q5,AM$3)=0)*(COUNTIFS($C$3:$Q$3,"POM",$C5:$Q5,AM$3)=0)*(COUNTIFS($C$3:$Q$3,"NOTTE",$C5:$Q5,AM$3)=0)*(COUNTIFS($C$3:$Q$3,"NOTTE",$C4:$Q4,AM$3)=0))=0,"",IF(0+((AM5&lt;&gt;"Xm")*(AM5&lt;&gt;"Xg")*(COUNTIFS($C$3:$Q$3,"MAT",$C5:$Q5,AM$3)=0)*(COUNTIFS($C$3:$Q$3,"NOTTE",$C5:$Q5,AM$3)=0)*(COUNTIFS($C$3:$Q$3,"NOTTE",$C4:$Q4,AM$3)=0))+((AM5&lt;&gt;"Xp")*(AM5&lt;&gt;"Xg")*(COUNTIFS($C$3:$Q$3,"POM",$C5:$Q5,AM$3)=0)*(COUNTIFS($C$3:$Q$3,"NOTTE",$C5:$Q5,AM$3)=0)*(COUNTIFS($C$3:$Q$3,"NOTTE",$C4:$Q4,AM$3)=0))+((AM5&lt;&gt;"Xn")*(COUNTIFS($C$3:$Q$3,"MAT",$C5:$Q5,AM$3)=0)*(COUNTIFS($C$3:$Q$3,"POM",$C5:$Q5,AM$3)=0)*(COUNTIFS($C$3:$Q$3,"NOTTE",$C5:$Q5,AM$3)=0)*(COUNTIFS($C$3:$Q$3,"NOTTE",$C4:$Q4,AM$3)=0))=3,AM$3&amp;", ",AM$3&amp;IF((AM5&lt;&gt;"Xm")*(AM5&lt;&gt;"Xg")*(COUNTIFS($C$3:$Q$3,"MAT",$C5:$Q5,AM$3)=0)*(COUNTIFS($C$3:$Q$3,"NOTTE",$C5:$Q5,AM$3)=0)*(COUNTIFS($C$3:$Q$3,"NOTTE",$C4:$Q4,AM$3)=0),"_m","")&amp;IF((AM5&lt;&gt;"Xp")*(AM5&lt;&gt;"Xg")*(COUNTIFS($C$3:$Q$3,"POM",$C5:$Q5,AM$3)=0)*(COUNTIFS($C$3:$Q$3,"NOTTE",$C5:$Q5,AM$3)=0)*(COUNTIFS($C$3:$Q$3,"NOTTE",$C4:$Q4,AM$3)=0),"_p","")&amp;IF((AM5&lt;&gt;"Xn")*(COUNTIFS($C$3:$Q$3,"MAT",$C5:$Q5,AM$3)=0)*(COUNTIFS($C$3:$Q$3,"POM",$C5:$Q5,AM$3)=0)*(COUNTIFS($C$3:$Q$3,"NOTTE",$C5:$Q5,AM$3)=0)*(COUNTIFS($C$3:$Q$3,"NOTTE",$C4:$Q4,AM$3)=0),"_n","")&amp;", ")))</f>
        <v xml:space="preserve">GRECO, </v>
      </c>
      <c r="CQ5" s="9" t="str">
        <f>IF(0+(AN5="X")&gt;0,"",IF(0+((AN5&lt;&gt;"Xm")*(AN5&lt;&gt;"Xg")*(COUNTIFS($C$3:$Q$3,"MAT",$C5:$Q5,AN$3)=0)*(COUNTIFS($C$3:$Q$3,"NOTTE",$C5:$Q5,AN$3)=0)*(COUNTIFS($C$3:$Q$3,"NOTTE",$C4:$Q4,AN$3)=0))+((AN5&lt;&gt;"Xp")*(AN5&lt;&gt;"Xg")*(COUNTIFS($C$3:$Q$3,"POM",$C5:$Q5,AN$3)=0)*(COUNTIFS($C$3:$Q$3,"NOTTE",$C5:$Q5,AN$3)=0)*(COUNTIFS($C$3:$Q$3,"NOTTE",$C4:$Q4,AN$3)=0))+((AN5&lt;&gt;"Xn")*(COUNTIFS($C$3:$Q$3,"MAT",$C5:$Q5,AN$3)=0)*(COUNTIFS($C$3:$Q$3,"POM",$C5:$Q5,AN$3)=0)*(COUNTIFS($C$3:$Q$3,"NOTTE",$C5:$Q5,AN$3)=0)*(COUNTIFS($C$3:$Q$3,"NOTTE",$C4:$Q4,AN$3)=0))=0,"",IF(0+((AN5&lt;&gt;"Xm")*(AN5&lt;&gt;"Xg")*(COUNTIFS($C$3:$Q$3,"MAT",$C5:$Q5,AN$3)=0)*(COUNTIFS($C$3:$Q$3,"NOTTE",$C5:$Q5,AN$3)=0)*(COUNTIFS($C$3:$Q$3,"NOTTE",$C4:$Q4,AN$3)=0))+((AN5&lt;&gt;"Xp")*(AN5&lt;&gt;"Xg")*(COUNTIFS($C$3:$Q$3,"POM",$C5:$Q5,AN$3)=0)*(COUNTIFS($C$3:$Q$3,"NOTTE",$C5:$Q5,AN$3)=0)*(COUNTIFS($C$3:$Q$3,"NOTTE",$C4:$Q4,AN$3)=0))+((AN5&lt;&gt;"Xn")*(COUNTIFS($C$3:$Q$3,"MAT",$C5:$Q5,AN$3)=0)*(COUNTIFS($C$3:$Q$3,"POM",$C5:$Q5,AN$3)=0)*(COUNTIFS($C$3:$Q$3,"NOTTE",$C5:$Q5,AN$3)=0)*(COUNTIFS($C$3:$Q$3,"NOTTE",$C4:$Q4,AN$3)=0))=3,AN$3&amp;", ",AN$3&amp;IF((AN5&lt;&gt;"Xm")*(AN5&lt;&gt;"Xg")*(COUNTIFS($C$3:$Q$3,"MAT",$C5:$Q5,AN$3)=0)*(COUNTIFS($C$3:$Q$3,"NOTTE",$C5:$Q5,AN$3)=0)*(COUNTIFS($C$3:$Q$3,"NOTTE",$C4:$Q4,AN$3)=0),"_m","")&amp;IF((AN5&lt;&gt;"Xp")*(AN5&lt;&gt;"Xg")*(COUNTIFS($C$3:$Q$3,"POM",$C5:$Q5,AN$3)=0)*(COUNTIFS($C$3:$Q$3,"NOTTE",$C5:$Q5,AN$3)=0)*(COUNTIFS($C$3:$Q$3,"NOTTE",$C4:$Q4,AN$3)=0),"_p","")&amp;IF((AN5&lt;&gt;"Xn")*(COUNTIFS($C$3:$Q$3,"MAT",$C5:$Q5,AN$3)=0)*(COUNTIFS($C$3:$Q$3,"POM",$C5:$Q5,AN$3)=0)*(COUNTIFS($C$3:$Q$3,"NOTTE",$C5:$Q5,AN$3)=0)*(COUNTIFS($C$3:$Q$3,"NOTTE",$C4:$Q4,AN$3)=0),"_n","")&amp;", ")))</f>
        <v xml:space="preserve">SANNA, </v>
      </c>
      <c r="CR5" s="9" t="str">
        <f>IF(0+(AO5="X")&gt;0,"",IF(0+((AO5&lt;&gt;"Xm")*(AO5&lt;&gt;"Xg")*(COUNTIFS($C$3:$Q$3,"MAT",$C5:$Q5,AO$3)=0)*(COUNTIFS($C$3:$Q$3,"NOTTE",$C5:$Q5,AO$3)=0)*(COUNTIFS($C$3:$Q$3,"NOTTE",$C4:$Q4,AO$3)=0))+((AO5&lt;&gt;"Xp")*(AO5&lt;&gt;"Xg")*(COUNTIFS($C$3:$Q$3,"POM",$C5:$Q5,AO$3)=0)*(COUNTIFS($C$3:$Q$3,"NOTTE",$C5:$Q5,AO$3)=0)*(COUNTIFS($C$3:$Q$3,"NOTTE",$C4:$Q4,AO$3)=0))+((AO5&lt;&gt;"Xn")*(COUNTIFS($C$3:$Q$3,"MAT",$C5:$Q5,AO$3)=0)*(COUNTIFS($C$3:$Q$3,"POM",$C5:$Q5,AO$3)=0)*(COUNTIFS($C$3:$Q$3,"NOTTE",$C5:$Q5,AO$3)=0)*(COUNTIFS($C$3:$Q$3,"NOTTE",$C4:$Q4,AO$3)=0))=0,"",IF(0+((AO5&lt;&gt;"Xm")*(AO5&lt;&gt;"Xg")*(COUNTIFS($C$3:$Q$3,"MAT",$C5:$Q5,AO$3)=0)*(COUNTIFS($C$3:$Q$3,"NOTTE",$C5:$Q5,AO$3)=0)*(COUNTIFS($C$3:$Q$3,"NOTTE",$C4:$Q4,AO$3)=0))+((AO5&lt;&gt;"Xp")*(AO5&lt;&gt;"Xg")*(COUNTIFS($C$3:$Q$3,"POM",$C5:$Q5,AO$3)=0)*(COUNTIFS($C$3:$Q$3,"NOTTE",$C5:$Q5,AO$3)=0)*(COUNTIFS($C$3:$Q$3,"NOTTE",$C4:$Q4,AO$3)=0))+((AO5&lt;&gt;"Xn")*(COUNTIFS($C$3:$Q$3,"MAT",$C5:$Q5,AO$3)=0)*(COUNTIFS($C$3:$Q$3,"POM",$C5:$Q5,AO$3)=0)*(COUNTIFS($C$3:$Q$3,"NOTTE",$C5:$Q5,AO$3)=0)*(COUNTIFS($C$3:$Q$3,"NOTTE",$C4:$Q4,AO$3)=0))=3,AO$3&amp;", ",AO$3&amp;IF((AO5&lt;&gt;"Xm")*(AO5&lt;&gt;"Xg")*(COUNTIFS($C$3:$Q$3,"MAT",$C5:$Q5,AO$3)=0)*(COUNTIFS($C$3:$Q$3,"NOTTE",$C5:$Q5,AO$3)=0)*(COUNTIFS($C$3:$Q$3,"NOTTE",$C4:$Q4,AO$3)=0),"_m","")&amp;IF((AO5&lt;&gt;"Xp")*(AO5&lt;&gt;"Xg")*(COUNTIFS($C$3:$Q$3,"POM",$C5:$Q5,AO$3)=0)*(COUNTIFS($C$3:$Q$3,"NOTTE",$C5:$Q5,AO$3)=0)*(COUNTIFS($C$3:$Q$3,"NOTTE",$C4:$Q4,AO$3)=0),"_p","")&amp;IF((AO5&lt;&gt;"Xn")*(COUNTIFS($C$3:$Q$3,"MAT",$C5:$Q5,AO$3)=0)*(COUNTIFS($C$3:$Q$3,"POM",$C5:$Q5,AO$3)=0)*(COUNTIFS($C$3:$Q$3,"NOTTE",$C5:$Q5,AO$3)=0)*(COUNTIFS($C$3:$Q$3,"NOTTE",$C4:$Q4,AO$3)=0),"_n","")&amp;", ")))</f>
        <v xml:space="preserve">LI, </v>
      </c>
    </row>
    <row r="6">
      <c r="A6" s="10" t="str">
        <f>CHOOSE(WEEKDAY(DATE($B$1,$A$2,B6),2),"lunedì","martedì","mercoledì","giovedì","venerdì","sabato","domenica")</f>
        <v>martedì</v>
      </c>
      <c r="B6" s="10" t="n">
        <v>3</v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4" t="n"/>
      <c r="Q6" s="11" t="n"/>
      <c r="R6" s="11" t="n"/>
      <c r="S6" s="11">
        <f>IF(SUMPRODUCT(($C$3:$Q$3&lt;&gt;"")*($C6:$Q6&lt;&gt;"")*(LEFT($C6:$Q6,6)&lt;&gt;"chiuso")*(COUNTIFS($C6:$Q6,$C6:$Q6,$C$3:$Q$3,$C$3:$Q$3)&gt;1))&gt;0,"X","")</f>
      </c>
      <c r="T6" s="11" t="str">
        <f>IF(LEN(BP6&amp;BQ6&amp;BR6&amp;BS6&amp;BT6&amp;BU6&amp;BV6&amp;BW6&amp;BX6&amp;BY6&amp;BZ6&amp;CA6&amp;CB6&amp;CC6)=0,"",LEFT(BP6&amp;BQ6&amp;BR6&amp;BS6&amp;BT6&amp;BU6&amp;BV6&amp;BW6&amp;BX6&amp;BY6&amp;BZ6&amp;CA6&amp;CB6&amp;CC6,LEN(BP6&amp;BQ6&amp;BR6&amp;BS6&amp;BT6&amp;BU6&amp;BV6&amp;BW6&amp;BX6&amp;BY6&amp;BZ6&amp;CA6&amp;CB6&amp;CC6)-2))</f>
        <v>LEONI, ROSSI M, ROSSI L, GALLINA, RUSSO, VERDI, HU, MARINI, CONTI A, CONTI S, FERRARI, GRECO, SANNA, LI</v>
      </c>
      <c r="U6" s="11" t="str">
        <f>IF(LEN(CE6&amp;CF6&amp;CG6&amp;CH6&amp;CI6&amp;CJ6&amp;CK6&amp;CL6&amp;CM6&amp;CN6&amp;CO6&amp;CP6&amp;CQ6&amp;CR6)=0,"",LEFT(CE6&amp;CF6&amp;CG6&amp;CH6&amp;CI6&amp;CJ6&amp;CK6&amp;CL6&amp;CM6&amp;CN6&amp;CO6&amp;CP6&amp;CQ6&amp;CR6,LEN(CE6&amp;CF6&amp;CG6&amp;CH6&amp;CI6&amp;CJ6&amp;CK6&amp;CL6&amp;CM6&amp;CN6&amp;CO6&amp;CP6&amp;CQ6&amp;CR6)-2))</f>
        <v>LEONI, ROSSI M, ROSSI L, GALLINA, RUSSO, VERDI, HU, MARINI, CONTI A, CONTI S, FERRARI, GRECO, SANNA, LI</v>
      </c>
      <c r="Z6" s="10" t="str">
        <f>A6</f>
        <v>martedì</v>
      </c>
      <c r="AA6" s="10">
        <f>B6</f>
        <v>3</v>
      </c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Q6" s="5" t="inlineStr">
        <is>
          <t>Xp</t>
        </is>
      </c>
      <c r="AR6" s="6" t="inlineStr">
        <is>
          <t>non disponibile il pomeriggio</t>
        </is>
      </c>
      <c r="AT6" s="7" t="str">
        <f>AD$3</f>
        <v>ROSSI L</v>
      </c>
      <c r="AU6" s="7">
        <f>COUNTIF($C$4:$D$33,$AT6)</f>
        <v>0</v>
      </c>
      <c r="AV6" s="7">
        <f>COUNTIF($E$4:$F$33,$AT6)</f>
        <v>0</v>
      </c>
      <c r="AW6" s="7">
        <f>COUNTIF($G$4:$H$33,$AT6)</f>
        <v>0</v>
      </c>
      <c r="AX6" s="7">
        <f>COUNTIF($I$4:$J$33,$AT6)</f>
        <v>0</v>
      </c>
      <c r="AY6" s="7">
        <f>COUNTIF($K$4:$K$33,$AT6)</f>
        <v>0</v>
      </c>
      <c r="AZ6" s="7">
        <f>COUNTIF($L$4:$L$33,$AT6)</f>
        <v>0</v>
      </c>
      <c r="BA6" s="7">
        <f>COUNTIF($M$4:$M$33,$AT6)</f>
        <v>0</v>
      </c>
      <c r="BB6" s="7">
        <f>COUNTIF($N$4:$Q$33,$AT6)</f>
        <v>0</v>
      </c>
      <c r="BC6" s="7">
        <f>COUNTIF($C$4:$Q$33,$AT6)</f>
        <v>0</v>
      </c>
      <c r="BE6" s="8" t="str">
        <f>AD$3</f>
        <v>ROSSI L</v>
      </c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P6" s="9" t="str">
        <f>IF(0+(AB6="X")&gt;0,"",IF(0+((AB6&lt;&gt;"Xm")*(AB6&lt;&gt;"Xg"))+((AB6&lt;&gt;"Xp")*(AB6&lt;&gt;"Xg"))+((AB6&lt;&gt;"Xn"))=0,"",IF(0+((AB6&lt;&gt;"Xm")*(AB6&lt;&gt;"Xg"))+((AB6&lt;&gt;"Xp")*(AB6&lt;&gt;"Xg"))+((AB6&lt;&gt;"Xn"))=3,AB$3&amp;", ",AB$3&amp;IF((AB6&lt;&gt;"Xm")*(AB6&lt;&gt;"Xg"),"_m","")&amp;IF((AB6&lt;&gt;"Xp")*(AB6&lt;&gt;"Xg"),"_p","")&amp;IF((AB6&lt;&gt;"Xn"),"_n","")&amp;", ")))</f>
        <v xml:space="preserve">LEONI, </v>
      </c>
      <c r="BQ6" s="9" t="str">
        <f>IF(0+(AC6="X")&gt;0,"",IF(0+((AC6&lt;&gt;"Xm")*(AC6&lt;&gt;"Xg"))+((AC6&lt;&gt;"Xp")*(AC6&lt;&gt;"Xg"))+((AC6&lt;&gt;"Xn"))=0,"",IF(0+((AC6&lt;&gt;"Xm")*(AC6&lt;&gt;"Xg"))+((AC6&lt;&gt;"Xp")*(AC6&lt;&gt;"Xg"))+((AC6&lt;&gt;"Xn"))=3,AC$3&amp;", ",AC$3&amp;IF((AC6&lt;&gt;"Xm")*(AC6&lt;&gt;"Xg"),"_m","")&amp;IF((AC6&lt;&gt;"Xp")*(AC6&lt;&gt;"Xg"),"_p","")&amp;IF((AC6&lt;&gt;"Xn"),"_n","")&amp;", ")))</f>
        <v xml:space="preserve">ROSSI M, </v>
      </c>
      <c r="BR6" s="9" t="str">
        <f>IF(0+(AD6="X")&gt;0,"",IF(0+((AD6&lt;&gt;"Xm")*(AD6&lt;&gt;"Xg"))+((AD6&lt;&gt;"Xp")*(AD6&lt;&gt;"Xg"))+((AD6&lt;&gt;"Xn"))=0,"",IF(0+((AD6&lt;&gt;"Xm")*(AD6&lt;&gt;"Xg"))+((AD6&lt;&gt;"Xp")*(AD6&lt;&gt;"Xg"))+((AD6&lt;&gt;"Xn"))=3,AD$3&amp;", ",AD$3&amp;IF((AD6&lt;&gt;"Xm")*(AD6&lt;&gt;"Xg"),"_m","")&amp;IF((AD6&lt;&gt;"Xp")*(AD6&lt;&gt;"Xg"),"_p","")&amp;IF((AD6&lt;&gt;"Xn"),"_n","")&amp;", ")))</f>
        <v xml:space="preserve">ROSSI L, </v>
      </c>
      <c r="BS6" s="9" t="str">
        <f>IF(0+(AE6="X")&gt;0,"",IF(0+((AE6&lt;&gt;"Xm")*(AE6&lt;&gt;"Xg"))+((AE6&lt;&gt;"Xp")*(AE6&lt;&gt;"Xg"))+((AE6&lt;&gt;"Xn"))=0,"",IF(0+((AE6&lt;&gt;"Xm")*(AE6&lt;&gt;"Xg"))+((AE6&lt;&gt;"Xp")*(AE6&lt;&gt;"Xg"))+((AE6&lt;&gt;"Xn"))=3,AE$3&amp;", ",AE$3&amp;IF((AE6&lt;&gt;"Xm")*(AE6&lt;&gt;"Xg"),"_m","")&amp;IF((AE6&lt;&gt;"Xp")*(AE6&lt;&gt;"Xg"),"_p","")&amp;IF((AE6&lt;&gt;"Xn"),"_n","")&amp;", ")))</f>
        <v xml:space="preserve">GALLINA, </v>
      </c>
      <c r="BT6" s="9" t="str">
        <f>IF(0+(AF6="X")&gt;0,"",IF(0+((AF6&lt;&gt;"Xm")*(AF6&lt;&gt;"Xg"))+((AF6&lt;&gt;"Xp")*(AF6&lt;&gt;"Xg"))+((AF6&lt;&gt;"Xn"))=0,"",IF(0+((AF6&lt;&gt;"Xm")*(AF6&lt;&gt;"Xg"))+((AF6&lt;&gt;"Xp")*(AF6&lt;&gt;"Xg"))+((AF6&lt;&gt;"Xn"))=3,AF$3&amp;", ",AF$3&amp;IF((AF6&lt;&gt;"Xm")*(AF6&lt;&gt;"Xg"),"_m","")&amp;IF((AF6&lt;&gt;"Xp")*(AF6&lt;&gt;"Xg"),"_p","")&amp;IF((AF6&lt;&gt;"Xn"),"_n","")&amp;", ")))</f>
        <v xml:space="preserve">RUSSO, </v>
      </c>
      <c r="BU6" s="9" t="str">
        <f>IF(0+(AG6="X")&gt;0,"",IF(0+((AG6&lt;&gt;"Xm")*(AG6&lt;&gt;"Xg"))+((AG6&lt;&gt;"Xp")*(AG6&lt;&gt;"Xg"))+((AG6&lt;&gt;"Xn"))=0,"",IF(0+((AG6&lt;&gt;"Xm")*(AG6&lt;&gt;"Xg"))+((AG6&lt;&gt;"Xp")*(AG6&lt;&gt;"Xg"))+((AG6&lt;&gt;"Xn"))=3,AG$3&amp;", ",AG$3&amp;IF((AG6&lt;&gt;"Xm")*(AG6&lt;&gt;"Xg"),"_m","")&amp;IF((AG6&lt;&gt;"Xp")*(AG6&lt;&gt;"Xg"),"_p","")&amp;IF((AG6&lt;&gt;"Xn"),"_n","")&amp;", ")))</f>
        <v xml:space="preserve">VERDI, </v>
      </c>
      <c r="BV6" s="9" t="str">
        <f>IF(0+(AH6="X")&gt;0,"",IF(0+((AH6&lt;&gt;"Xm")*(AH6&lt;&gt;"Xg"))+((AH6&lt;&gt;"Xp")*(AH6&lt;&gt;"Xg"))+((AH6&lt;&gt;"Xn"))=0,"",IF(0+((AH6&lt;&gt;"Xm")*(AH6&lt;&gt;"Xg"))+((AH6&lt;&gt;"Xp")*(AH6&lt;&gt;"Xg"))+((AH6&lt;&gt;"Xn"))=3,AH$3&amp;", ",AH$3&amp;IF((AH6&lt;&gt;"Xm")*(AH6&lt;&gt;"Xg"),"_m","")&amp;IF((AH6&lt;&gt;"Xp")*(AH6&lt;&gt;"Xg"),"_p","")&amp;IF((AH6&lt;&gt;"Xn"),"_n","")&amp;", ")))</f>
        <v xml:space="preserve">HU, </v>
      </c>
      <c r="BW6" s="9" t="str">
        <f>IF(0+(AI6="X")&gt;0,"",IF(0+((AI6&lt;&gt;"Xm")*(AI6&lt;&gt;"Xg"))+((AI6&lt;&gt;"Xp")*(AI6&lt;&gt;"Xg"))+((AI6&lt;&gt;"Xn"))=0,"",IF(0+((AI6&lt;&gt;"Xm")*(AI6&lt;&gt;"Xg"))+((AI6&lt;&gt;"Xp")*(AI6&lt;&gt;"Xg"))+((AI6&lt;&gt;"Xn"))=3,AI$3&amp;", ",AI$3&amp;IF((AI6&lt;&gt;"Xm")*(AI6&lt;&gt;"Xg"),"_m","")&amp;IF((AI6&lt;&gt;"Xp")*(AI6&lt;&gt;"Xg"),"_p","")&amp;IF((AI6&lt;&gt;"Xn"),"_n","")&amp;", ")))</f>
        <v xml:space="preserve">MARINI, </v>
      </c>
      <c r="BX6" s="9" t="str">
        <f>IF(0+(AJ6="X")&gt;0,"",IF(0+((AJ6&lt;&gt;"Xm")*(AJ6&lt;&gt;"Xg"))+((AJ6&lt;&gt;"Xp")*(AJ6&lt;&gt;"Xg"))+((AJ6&lt;&gt;"Xn"))=0,"",IF(0+((AJ6&lt;&gt;"Xm")*(AJ6&lt;&gt;"Xg"))+((AJ6&lt;&gt;"Xp")*(AJ6&lt;&gt;"Xg"))+((AJ6&lt;&gt;"Xn"))=3,AJ$3&amp;", ",AJ$3&amp;IF((AJ6&lt;&gt;"Xm")*(AJ6&lt;&gt;"Xg"),"_m","")&amp;IF((AJ6&lt;&gt;"Xp")*(AJ6&lt;&gt;"Xg"),"_p","")&amp;IF((AJ6&lt;&gt;"Xn"),"_n","")&amp;", ")))</f>
        <v xml:space="preserve">CONTI A, </v>
      </c>
      <c r="BY6" s="9" t="str">
        <f>IF(0+(AK6="X")&gt;0,"",IF(0+((AK6&lt;&gt;"Xm")*(AK6&lt;&gt;"Xg"))+((AK6&lt;&gt;"Xp")*(AK6&lt;&gt;"Xg"))+((AK6&lt;&gt;"Xn"))=0,"",IF(0+((AK6&lt;&gt;"Xm")*(AK6&lt;&gt;"Xg"))+((AK6&lt;&gt;"Xp")*(AK6&lt;&gt;"Xg"))+((AK6&lt;&gt;"Xn"))=3,AK$3&amp;", ",AK$3&amp;IF((AK6&lt;&gt;"Xm")*(AK6&lt;&gt;"Xg"),"_m","")&amp;IF((AK6&lt;&gt;"Xp")*(AK6&lt;&gt;"Xg"),"_p","")&amp;IF((AK6&lt;&gt;"Xn"),"_n","")&amp;", ")))</f>
        <v xml:space="preserve">CONTI S, </v>
      </c>
      <c r="BZ6" s="9" t="str">
        <f>IF(0+(AL6="X")&gt;0,"",IF(0+((AL6&lt;&gt;"Xm")*(AL6&lt;&gt;"Xg"))+((AL6&lt;&gt;"Xp")*(AL6&lt;&gt;"Xg"))+((AL6&lt;&gt;"Xn"))=0,"",IF(0+((AL6&lt;&gt;"Xm")*(AL6&lt;&gt;"Xg"))+((AL6&lt;&gt;"Xp")*(AL6&lt;&gt;"Xg"))+((AL6&lt;&gt;"Xn"))=3,AL$3&amp;", ",AL$3&amp;IF((AL6&lt;&gt;"Xm")*(AL6&lt;&gt;"Xg"),"_m","")&amp;IF((AL6&lt;&gt;"Xp")*(AL6&lt;&gt;"Xg"),"_p","")&amp;IF((AL6&lt;&gt;"Xn"),"_n","")&amp;", ")))</f>
        <v xml:space="preserve">FERRARI, </v>
      </c>
      <c r="CA6" s="9" t="str">
        <f>IF(0+(AM6="X")&gt;0,"",IF(0+((AM6&lt;&gt;"Xm")*(AM6&lt;&gt;"Xg"))+((AM6&lt;&gt;"Xp")*(AM6&lt;&gt;"Xg"))+((AM6&lt;&gt;"Xn"))=0,"",IF(0+((AM6&lt;&gt;"Xm")*(AM6&lt;&gt;"Xg"))+((AM6&lt;&gt;"Xp")*(AM6&lt;&gt;"Xg"))+((AM6&lt;&gt;"Xn"))=3,AM$3&amp;", ",AM$3&amp;IF((AM6&lt;&gt;"Xm")*(AM6&lt;&gt;"Xg"),"_m","")&amp;IF((AM6&lt;&gt;"Xp")*(AM6&lt;&gt;"Xg"),"_p","")&amp;IF((AM6&lt;&gt;"Xn"),"_n","")&amp;", ")))</f>
        <v xml:space="preserve">GRECO, </v>
      </c>
      <c r="CB6" s="9" t="str">
        <f>IF(0+(AN6="X")&gt;0,"",IF(0+((AN6&lt;&gt;"Xm")*(AN6&lt;&gt;"Xg"))+((AN6&lt;&gt;"Xp")*(AN6&lt;&gt;"Xg"))+((AN6&lt;&gt;"Xn"))=0,"",IF(0+((AN6&lt;&gt;"Xm")*(AN6&lt;&gt;"Xg"))+((AN6&lt;&gt;"Xp")*(AN6&lt;&gt;"Xg"))+((AN6&lt;&gt;"Xn"))=3,AN$3&amp;", ",AN$3&amp;IF((AN6&lt;&gt;"Xm")*(AN6&lt;&gt;"Xg"),"_m","")&amp;IF((AN6&lt;&gt;"Xp")*(AN6&lt;&gt;"Xg"),"_p","")&amp;IF((AN6&lt;&gt;"Xn"),"_n","")&amp;", ")))</f>
        <v xml:space="preserve">SANNA, </v>
      </c>
      <c r="CC6" s="9" t="str">
        <f>IF(0+(AO6="X")&gt;0,"",IF(0+((AO6&lt;&gt;"Xm")*(AO6&lt;&gt;"Xg"))+((AO6&lt;&gt;"Xp")*(AO6&lt;&gt;"Xg"))+((AO6&lt;&gt;"Xn"))=0,"",IF(0+((AO6&lt;&gt;"Xm")*(AO6&lt;&gt;"Xg"))+((AO6&lt;&gt;"Xp")*(AO6&lt;&gt;"Xg"))+((AO6&lt;&gt;"Xn"))=3,AO$3&amp;", ",AO$3&amp;IF((AO6&lt;&gt;"Xm")*(AO6&lt;&gt;"Xg"),"_m","")&amp;IF((AO6&lt;&gt;"Xp")*(AO6&lt;&gt;"Xg"),"_p","")&amp;IF((AO6&lt;&gt;"Xn"),"_n","")&amp;", ")))</f>
        <v xml:space="preserve">LI, </v>
      </c>
      <c r="CD6" s="9" t="n"/>
      <c r="CE6" s="9" t="str">
        <f>IF(0+(AB6="X")&gt;0,"",IF(0+((AB6&lt;&gt;"Xm")*(AB6&lt;&gt;"Xg")*(COUNTIFS($C$3:$Q$3,"MAT",$C6:$Q6,AB$3)=0)*(COUNTIFS($C$3:$Q$3,"NOTTE",$C6:$Q6,AB$3)=0)*(COUNTIFS($C$3:$Q$3,"NOTTE",$C5:$Q5,AB$3)=0))+((AB6&lt;&gt;"Xp")*(AB6&lt;&gt;"Xg")*(COUNTIFS($C$3:$Q$3,"POM",$C6:$Q6,AB$3)=0)*(COUNTIFS($C$3:$Q$3,"NOTTE",$C6:$Q6,AB$3)=0)*(COUNTIFS($C$3:$Q$3,"NOTTE",$C5:$Q5,AB$3)=0))+((AB6&lt;&gt;"Xn")*(COUNTIFS($C$3:$Q$3,"MAT",$C6:$Q6,AB$3)=0)*(COUNTIFS($C$3:$Q$3,"POM",$C6:$Q6,AB$3)=0)*(COUNTIFS($C$3:$Q$3,"NOTTE",$C6:$Q6,AB$3)=0)*(COUNTIFS($C$3:$Q$3,"NOTTE",$C5:$Q5,AB$3)=0))=0,"",IF(0+((AB6&lt;&gt;"Xm")*(AB6&lt;&gt;"Xg")*(COUNTIFS($C$3:$Q$3,"MAT",$C6:$Q6,AB$3)=0)*(COUNTIFS($C$3:$Q$3,"NOTTE",$C6:$Q6,AB$3)=0)*(COUNTIFS($C$3:$Q$3,"NOTTE",$C5:$Q5,AB$3)=0))+((AB6&lt;&gt;"Xp")*(AB6&lt;&gt;"Xg")*(COUNTIFS($C$3:$Q$3,"POM",$C6:$Q6,AB$3)=0)*(COUNTIFS($C$3:$Q$3,"NOTTE",$C6:$Q6,AB$3)=0)*(COUNTIFS($C$3:$Q$3,"NOTTE",$C5:$Q5,AB$3)=0))+((AB6&lt;&gt;"Xn")*(COUNTIFS($C$3:$Q$3,"MAT",$C6:$Q6,AB$3)=0)*(COUNTIFS($C$3:$Q$3,"POM",$C6:$Q6,AB$3)=0)*(COUNTIFS($C$3:$Q$3,"NOTTE",$C6:$Q6,AB$3)=0)*(COUNTIFS($C$3:$Q$3,"NOTTE",$C5:$Q5,AB$3)=0))=3,AB$3&amp;", ",AB$3&amp;IF((AB6&lt;&gt;"Xm")*(AB6&lt;&gt;"Xg")*(COUNTIFS($C$3:$Q$3,"MAT",$C6:$Q6,AB$3)=0)*(COUNTIFS($C$3:$Q$3,"NOTTE",$C6:$Q6,AB$3)=0)*(COUNTIFS($C$3:$Q$3,"NOTTE",$C5:$Q5,AB$3)=0),"_m","")&amp;IF((AB6&lt;&gt;"Xp")*(AB6&lt;&gt;"Xg")*(COUNTIFS($C$3:$Q$3,"POM",$C6:$Q6,AB$3)=0)*(COUNTIFS($C$3:$Q$3,"NOTTE",$C6:$Q6,AB$3)=0)*(COUNTIFS($C$3:$Q$3,"NOTTE",$C5:$Q5,AB$3)=0),"_p","")&amp;IF((AB6&lt;&gt;"Xn")*(COUNTIFS($C$3:$Q$3,"MAT",$C6:$Q6,AB$3)=0)*(COUNTIFS($C$3:$Q$3,"POM",$C6:$Q6,AB$3)=0)*(COUNTIFS($C$3:$Q$3,"NOTTE",$C6:$Q6,AB$3)=0)*(COUNTIFS($C$3:$Q$3,"NOTTE",$C5:$Q5,AB$3)=0),"_n","")&amp;", ")))</f>
        <v xml:space="preserve">LEONI, </v>
      </c>
      <c r="CF6" s="9" t="str">
        <f>IF(0+(AC6="X")&gt;0,"",IF(0+((AC6&lt;&gt;"Xm")*(AC6&lt;&gt;"Xg")*(COUNTIFS($C$3:$Q$3,"MAT",$C6:$Q6,AC$3)=0)*(COUNTIFS($C$3:$Q$3,"NOTTE",$C6:$Q6,AC$3)=0)*(COUNTIFS($C$3:$Q$3,"NOTTE",$C5:$Q5,AC$3)=0))+((AC6&lt;&gt;"Xp")*(AC6&lt;&gt;"Xg")*(COUNTIFS($C$3:$Q$3,"POM",$C6:$Q6,AC$3)=0)*(COUNTIFS($C$3:$Q$3,"NOTTE",$C6:$Q6,AC$3)=0)*(COUNTIFS($C$3:$Q$3,"NOTTE",$C5:$Q5,AC$3)=0))+((AC6&lt;&gt;"Xn")*(COUNTIFS($C$3:$Q$3,"MAT",$C6:$Q6,AC$3)=0)*(COUNTIFS($C$3:$Q$3,"POM",$C6:$Q6,AC$3)=0)*(COUNTIFS($C$3:$Q$3,"NOTTE",$C6:$Q6,AC$3)=0)*(COUNTIFS($C$3:$Q$3,"NOTTE",$C5:$Q5,AC$3)=0))=0,"",IF(0+((AC6&lt;&gt;"Xm")*(AC6&lt;&gt;"Xg")*(COUNTIFS($C$3:$Q$3,"MAT",$C6:$Q6,AC$3)=0)*(COUNTIFS($C$3:$Q$3,"NOTTE",$C6:$Q6,AC$3)=0)*(COUNTIFS($C$3:$Q$3,"NOTTE",$C5:$Q5,AC$3)=0))+((AC6&lt;&gt;"Xp")*(AC6&lt;&gt;"Xg")*(COUNTIFS($C$3:$Q$3,"POM",$C6:$Q6,AC$3)=0)*(COUNTIFS($C$3:$Q$3,"NOTTE",$C6:$Q6,AC$3)=0)*(COUNTIFS($C$3:$Q$3,"NOTTE",$C5:$Q5,AC$3)=0))+((AC6&lt;&gt;"Xn")*(COUNTIFS($C$3:$Q$3,"MAT",$C6:$Q6,AC$3)=0)*(COUNTIFS($C$3:$Q$3,"POM",$C6:$Q6,AC$3)=0)*(COUNTIFS($C$3:$Q$3,"NOTTE",$C6:$Q6,AC$3)=0)*(COUNTIFS($C$3:$Q$3,"NOTTE",$C5:$Q5,AC$3)=0))=3,AC$3&amp;", ",AC$3&amp;IF((AC6&lt;&gt;"Xm")*(AC6&lt;&gt;"Xg")*(COUNTIFS($C$3:$Q$3,"MAT",$C6:$Q6,AC$3)=0)*(COUNTIFS($C$3:$Q$3,"NOTTE",$C6:$Q6,AC$3)=0)*(COUNTIFS($C$3:$Q$3,"NOTTE",$C5:$Q5,AC$3)=0),"_m","")&amp;IF((AC6&lt;&gt;"Xp")*(AC6&lt;&gt;"Xg")*(COUNTIFS($C$3:$Q$3,"POM",$C6:$Q6,AC$3)=0)*(COUNTIFS($C$3:$Q$3,"NOTTE",$C6:$Q6,AC$3)=0)*(COUNTIFS($C$3:$Q$3,"NOTTE",$C5:$Q5,AC$3)=0),"_p","")&amp;IF((AC6&lt;&gt;"Xn")*(COUNTIFS($C$3:$Q$3,"MAT",$C6:$Q6,AC$3)=0)*(COUNTIFS($C$3:$Q$3,"POM",$C6:$Q6,AC$3)=0)*(COUNTIFS($C$3:$Q$3,"NOTTE",$C6:$Q6,AC$3)=0)*(COUNTIFS($C$3:$Q$3,"NOTTE",$C5:$Q5,AC$3)=0),"_n","")&amp;", ")))</f>
        <v xml:space="preserve">ROSSI M, </v>
      </c>
      <c r="CG6" s="9" t="str">
        <f>IF(0+(AD6="X")&gt;0,"",IF(0+((AD6&lt;&gt;"Xm")*(AD6&lt;&gt;"Xg")*(COUNTIFS($C$3:$Q$3,"MAT",$C6:$Q6,AD$3)=0)*(COUNTIFS($C$3:$Q$3,"NOTTE",$C6:$Q6,AD$3)=0)*(COUNTIFS($C$3:$Q$3,"NOTTE",$C5:$Q5,AD$3)=0))+((AD6&lt;&gt;"Xp")*(AD6&lt;&gt;"Xg")*(COUNTIFS($C$3:$Q$3,"POM",$C6:$Q6,AD$3)=0)*(COUNTIFS($C$3:$Q$3,"NOTTE",$C6:$Q6,AD$3)=0)*(COUNTIFS($C$3:$Q$3,"NOTTE",$C5:$Q5,AD$3)=0))+((AD6&lt;&gt;"Xn")*(COUNTIFS($C$3:$Q$3,"MAT",$C6:$Q6,AD$3)=0)*(COUNTIFS($C$3:$Q$3,"POM",$C6:$Q6,AD$3)=0)*(COUNTIFS($C$3:$Q$3,"NOTTE",$C6:$Q6,AD$3)=0)*(COUNTIFS($C$3:$Q$3,"NOTTE",$C5:$Q5,AD$3)=0))=0,"",IF(0+((AD6&lt;&gt;"Xm")*(AD6&lt;&gt;"Xg")*(COUNTIFS($C$3:$Q$3,"MAT",$C6:$Q6,AD$3)=0)*(COUNTIFS($C$3:$Q$3,"NOTTE",$C6:$Q6,AD$3)=0)*(COUNTIFS($C$3:$Q$3,"NOTTE",$C5:$Q5,AD$3)=0))+((AD6&lt;&gt;"Xp")*(AD6&lt;&gt;"Xg")*(COUNTIFS($C$3:$Q$3,"POM",$C6:$Q6,AD$3)=0)*(COUNTIFS($C$3:$Q$3,"NOTTE",$C6:$Q6,AD$3)=0)*(COUNTIFS($C$3:$Q$3,"NOTTE",$C5:$Q5,AD$3)=0))+((AD6&lt;&gt;"Xn")*(COUNTIFS($C$3:$Q$3,"MAT",$C6:$Q6,AD$3)=0)*(COUNTIFS($C$3:$Q$3,"POM",$C6:$Q6,AD$3)=0)*(COUNTIFS($C$3:$Q$3,"NOTTE",$C6:$Q6,AD$3)=0)*(COUNTIFS($C$3:$Q$3,"NOTTE",$C5:$Q5,AD$3)=0))=3,AD$3&amp;", ",AD$3&amp;IF((AD6&lt;&gt;"Xm")*(AD6&lt;&gt;"Xg")*(COUNTIFS($C$3:$Q$3,"MAT",$C6:$Q6,AD$3)=0)*(COUNTIFS($C$3:$Q$3,"NOTTE",$C6:$Q6,AD$3)=0)*(COUNTIFS($C$3:$Q$3,"NOTTE",$C5:$Q5,AD$3)=0),"_m","")&amp;IF((AD6&lt;&gt;"Xp")*(AD6&lt;&gt;"Xg")*(COUNTIFS($C$3:$Q$3,"POM",$C6:$Q6,AD$3)=0)*(COUNTIFS($C$3:$Q$3,"NOTTE",$C6:$Q6,AD$3)=0)*(COUNTIFS($C$3:$Q$3,"NOTTE",$C5:$Q5,AD$3)=0),"_p","")&amp;IF((AD6&lt;&gt;"Xn")*(COUNTIFS($C$3:$Q$3,"MAT",$C6:$Q6,AD$3)=0)*(COUNTIFS($C$3:$Q$3,"POM",$C6:$Q6,AD$3)=0)*(COUNTIFS($C$3:$Q$3,"NOTTE",$C6:$Q6,AD$3)=0)*(COUNTIFS($C$3:$Q$3,"NOTTE",$C5:$Q5,AD$3)=0),"_n","")&amp;", ")))</f>
        <v xml:space="preserve">ROSSI L, </v>
      </c>
      <c r="CH6" s="9" t="str">
        <f>IF(0+(AE6="X")&gt;0,"",IF(0+((AE6&lt;&gt;"Xm")*(AE6&lt;&gt;"Xg")*(COUNTIFS($C$3:$Q$3,"MAT",$C6:$Q6,AE$3)=0)*(COUNTIFS($C$3:$Q$3,"NOTTE",$C6:$Q6,AE$3)=0)*(COUNTIFS($C$3:$Q$3,"NOTTE",$C5:$Q5,AE$3)=0))+((AE6&lt;&gt;"Xp")*(AE6&lt;&gt;"Xg")*(COUNTIFS($C$3:$Q$3,"POM",$C6:$Q6,AE$3)=0)*(COUNTIFS($C$3:$Q$3,"NOTTE",$C6:$Q6,AE$3)=0)*(COUNTIFS($C$3:$Q$3,"NOTTE",$C5:$Q5,AE$3)=0))+((AE6&lt;&gt;"Xn")*(COUNTIFS($C$3:$Q$3,"MAT",$C6:$Q6,AE$3)=0)*(COUNTIFS($C$3:$Q$3,"POM",$C6:$Q6,AE$3)=0)*(COUNTIFS($C$3:$Q$3,"NOTTE",$C6:$Q6,AE$3)=0)*(COUNTIFS($C$3:$Q$3,"NOTTE",$C5:$Q5,AE$3)=0))=0,"",IF(0+((AE6&lt;&gt;"Xm")*(AE6&lt;&gt;"Xg")*(COUNTIFS($C$3:$Q$3,"MAT",$C6:$Q6,AE$3)=0)*(COUNTIFS($C$3:$Q$3,"NOTTE",$C6:$Q6,AE$3)=0)*(COUNTIFS($C$3:$Q$3,"NOTTE",$C5:$Q5,AE$3)=0))+((AE6&lt;&gt;"Xp")*(AE6&lt;&gt;"Xg")*(COUNTIFS($C$3:$Q$3,"POM",$C6:$Q6,AE$3)=0)*(COUNTIFS($C$3:$Q$3,"NOTTE",$C6:$Q6,AE$3)=0)*(COUNTIFS($C$3:$Q$3,"NOTTE",$C5:$Q5,AE$3)=0))+((AE6&lt;&gt;"Xn")*(COUNTIFS($C$3:$Q$3,"MAT",$C6:$Q6,AE$3)=0)*(COUNTIFS($C$3:$Q$3,"POM",$C6:$Q6,AE$3)=0)*(COUNTIFS($C$3:$Q$3,"NOTTE",$C6:$Q6,AE$3)=0)*(COUNTIFS($C$3:$Q$3,"NOTTE",$C5:$Q5,AE$3)=0))=3,AE$3&amp;", ",AE$3&amp;IF((AE6&lt;&gt;"Xm")*(AE6&lt;&gt;"Xg")*(COUNTIFS($C$3:$Q$3,"MAT",$C6:$Q6,AE$3)=0)*(COUNTIFS($C$3:$Q$3,"NOTTE",$C6:$Q6,AE$3)=0)*(COUNTIFS($C$3:$Q$3,"NOTTE",$C5:$Q5,AE$3)=0),"_m","")&amp;IF((AE6&lt;&gt;"Xp")*(AE6&lt;&gt;"Xg")*(COUNTIFS($C$3:$Q$3,"POM",$C6:$Q6,AE$3)=0)*(COUNTIFS($C$3:$Q$3,"NOTTE",$C6:$Q6,AE$3)=0)*(COUNTIFS($C$3:$Q$3,"NOTTE",$C5:$Q5,AE$3)=0),"_p","")&amp;IF((AE6&lt;&gt;"Xn")*(COUNTIFS($C$3:$Q$3,"MAT",$C6:$Q6,AE$3)=0)*(COUNTIFS($C$3:$Q$3,"POM",$C6:$Q6,AE$3)=0)*(COUNTIFS($C$3:$Q$3,"NOTTE",$C6:$Q6,AE$3)=0)*(COUNTIFS($C$3:$Q$3,"NOTTE",$C5:$Q5,AE$3)=0),"_n","")&amp;", ")))</f>
        <v xml:space="preserve">GALLINA, </v>
      </c>
      <c r="CI6" s="9" t="str">
        <f>IF(0+(AF6="X")&gt;0,"",IF(0+((AF6&lt;&gt;"Xm")*(AF6&lt;&gt;"Xg")*(COUNTIFS($C$3:$Q$3,"MAT",$C6:$Q6,AF$3)=0)*(COUNTIFS($C$3:$Q$3,"NOTTE",$C6:$Q6,AF$3)=0)*(COUNTIFS($C$3:$Q$3,"NOTTE",$C5:$Q5,AF$3)=0))+((AF6&lt;&gt;"Xp")*(AF6&lt;&gt;"Xg")*(COUNTIFS($C$3:$Q$3,"POM",$C6:$Q6,AF$3)=0)*(COUNTIFS($C$3:$Q$3,"NOTTE",$C6:$Q6,AF$3)=0)*(COUNTIFS($C$3:$Q$3,"NOTTE",$C5:$Q5,AF$3)=0))+((AF6&lt;&gt;"Xn")*(COUNTIFS($C$3:$Q$3,"MAT",$C6:$Q6,AF$3)=0)*(COUNTIFS($C$3:$Q$3,"POM",$C6:$Q6,AF$3)=0)*(COUNTIFS($C$3:$Q$3,"NOTTE",$C6:$Q6,AF$3)=0)*(COUNTIFS($C$3:$Q$3,"NOTTE",$C5:$Q5,AF$3)=0))=0,"",IF(0+((AF6&lt;&gt;"Xm")*(AF6&lt;&gt;"Xg")*(COUNTIFS($C$3:$Q$3,"MAT",$C6:$Q6,AF$3)=0)*(COUNTIFS($C$3:$Q$3,"NOTTE",$C6:$Q6,AF$3)=0)*(COUNTIFS($C$3:$Q$3,"NOTTE",$C5:$Q5,AF$3)=0))+((AF6&lt;&gt;"Xp")*(AF6&lt;&gt;"Xg")*(COUNTIFS($C$3:$Q$3,"POM",$C6:$Q6,AF$3)=0)*(COUNTIFS($C$3:$Q$3,"NOTTE",$C6:$Q6,AF$3)=0)*(COUNTIFS($C$3:$Q$3,"NOTTE",$C5:$Q5,AF$3)=0))+((AF6&lt;&gt;"Xn")*(COUNTIFS($C$3:$Q$3,"MAT",$C6:$Q6,AF$3)=0)*(COUNTIFS($C$3:$Q$3,"POM",$C6:$Q6,AF$3)=0)*(COUNTIFS($C$3:$Q$3,"NOTTE",$C6:$Q6,AF$3)=0)*(COUNTIFS($C$3:$Q$3,"NOTTE",$C5:$Q5,AF$3)=0))=3,AF$3&amp;", ",AF$3&amp;IF((AF6&lt;&gt;"Xm")*(AF6&lt;&gt;"Xg")*(COUNTIFS($C$3:$Q$3,"MAT",$C6:$Q6,AF$3)=0)*(COUNTIFS($C$3:$Q$3,"NOTTE",$C6:$Q6,AF$3)=0)*(COUNTIFS($C$3:$Q$3,"NOTTE",$C5:$Q5,AF$3)=0),"_m","")&amp;IF((AF6&lt;&gt;"Xp")*(AF6&lt;&gt;"Xg")*(COUNTIFS($C$3:$Q$3,"POM",$C6:$Q6,AF$3)=0)*(COUNTIFS($C$3:$Q$3,"NOTTE",$C6:$Q6,AF$3)=0)*(COUNTIFS($C$3:$Q$3,"NOTTE",$C5:$Q5,AF$3)=0),"_p","")&amp;IF((AF6&lt;&gt;"Xn")*(COUNTIFS($C$3:$Q$3,"MAT",$C6:$Q6,AF$3)=0)*(COUNTIFS($C$3:$Q$3,"POM",$C6:$Q6,AF$3)=0)*(COUNTIFS($C$3:$Q$3,"NOTTE",$C6:$Q6,AF$3)=0)*(COUNTIFS($C$3:$Q$3,"NOTTE",$C5:$Q5,AF$3)=0),"_n","")&amp;", ")))</f>
        <v xml:space="preserve">RUSSO, </v>
      </c>
      <c r="CJ6" s="9" t="str">
        <f>IF(0+(AG6="X")&gt;0,"",IF(0+((AG6&lt;&gt;"Xm")*(AG6&lt;&gt;"Xg")*(COUNTIFS($C$3:$Q$3,"MAT",$C6:$Q6,AG$3)=0)*(COUNTIFS($C$3:$Q$3,"NOTTE",$C6:$Q6,AG$3)=0)*(COUNTIFS($C$3:$Q$3,"NOTTE",$C5:$Q5,AG$3)=0))+((AG6&lt;&gt;"Xp")*(AG6&lt;&gt;"Xg")*(COUNTIFS($C$3:$Q$3,"POM",$C6:$Q6,AG$3)=0)*(COUNTIFS($C$3:$Q$3,"NOTTE",$C6:$Q6,AG$3)=0)*(COUNTIFS($C$3:$Q$3,"NOTTE",$C5:$Q5,AG$3)=0))+((AG6&lt;&gt;"Xn")*(COUNTIFS($C$3:$Q$3,"MAT",$C6:$Q6,AG$3)=0)*(COUNTIFS($C$3:$Q$3,"POM",$C6:$Q6,AG$3)=0)*(COUNTIFS($C$3:$Q$3,"NOTTE",$C6:$Q6,AG$3)=0)*(COUNTIFS($C$3:$Q$3,"NOTTE",$C5:$Q5,AG$3)=0))=0,"",IF(0+((AG6&lt;&gt;"Xm")*(AG6&lt;&gt;"Xg")*(COUNTIFS($C$3:$Q$3,"MAT",$C6:$Q6,AG$3)=0)*(COUNTIFS($C$3:$Q$3,"NOTTE",$C6:$Q6,AG$3)=0)*(COUNTIFS($C$3:$Q$3,"NOTTE",$C5:$Q5,AG$3)=0))+((AG6&lt;&gt;"Xp")*(AG6&lt;&gt;"Xg")*(COUNTIFS($C$3:$Q$3,"POM",$C6:$Q6,AG$3)=0)*(COUNTIFS($C$3:$Q$3,"NOTTE",$C6:$Q6,AG$3)=0)*(COUNTIFS($C$3:$Q$3,"NOTTE",$C5:$Q5,AG$3)=0))+((AG6&lt;&gt;"Xn")*(COUNTIFS($C$3:$Q$3,"MAT",$C6:$Q6,AG$3)=0)*(COUNTIFS($C$3:$Q$3,"POM",$C6:$Q6,AG$3)=0)*(COUNTIFS($C$3:$Q$3,"NOTTE",$C6:$Q6,AG$3)=0)*(COUNTIFS($C$3:$Q$3,"NOTTE",$C5:$Q5,AG$3)=0))=3,AG$3&amp;", ",AG$3&amp;IF((AG6&lt;&gt;"Xm")*(AG6&lt;&gt;"Xg")*(COUNTIFS($C$3:$Q$3,"MAT",$C6:$Q6,AG$3)=0)*(COUNTIFS($C$3:$Q$3,"NOTTE",$C6:$Q6,AG$3)=0)*(COUNTIFS($C$3:$Q$3,"NOTTE",$C5:$Q5,AG$3)=0),"_m","")&amp;IF((AG6&lt;&gt;"Xp")*(AG6&lt;&gt;"Xg")*(COUNTIFS($C$3:$Q$3,"POM",$C6:$Q6,AG$3)=0)*(COUNTIFS($C$3:$Q$3,"NOTTE",$C6:$Q6,AG$3)=0)*(COUNTIFS($C$3:$Q$3,"NOTTE",$C5:$Q5,AG$3)=0),"_p","")&amp;IF((AG6&lt;&gt;"Xn")*(COUNTIFS($C$3:$Q$3,"MAT",$C6:$Q6,AG$3)=0)*(COUNTIFS($C$3:$Q$3,"POM",$C6:$Q6,AG$3)=0)*(COUNTIFS($C$3:$Q$3,"NOTTE",$C6:$Q6,AG$3)=0)*(COUNTIFS($C$3:$Q$3,"NOTTE",$C5:$Q5,AG$3)=0),"_n","")&amp;", ")))</f>
        <v xml:space="preserve">VERDI, </v>
      </c>
      <c r="CK6" s="9" t="str">
        <f>IF(0+(AH6="X")&gt;0,"",IF(0+((AH6&lt;&gt;"Xm")*(AH6&lt;&gt;"Xg")*(COUNTIFS($C$3:$Q$3,"MAT",$C6:$Q6,AH$3)=0)*(COUNTIFS($C$3:$Q$3,"NOTTE",$C6:$Q6,AH$3)=0)*(COUNTIFS($C$3:$Q$3,"NOTTE",$C5:$Q5,AH$3)=0))+((AH6&lt;&gt;"Xp")*(AH6&lt;&gt;"Xg")*(COUNTIFS($C$3:$Q$3,"POM",$C6:$Q6,AH$3)=0)*(COUNTIFS($C$3:$Q$3,"NOTTE",$C6:$Q6,AH$3)=0)*(COUNTIFS($C$3:$Q$3,"NOTTE",$C5:$Q5,AH$3)=0))+((AH6&lt;&gt;"Xn")*(COUNTIFS($C$3:$Q$3,"MAT",$C6:$Q6,AH$3)=0)*(COUNTIFS($C$3:$Q$3,"POM",$C6:$Q6,AH$3)=0)*(COUNTIFS($C$3:$Q$3,"NOTTE",$C6:$Q6,AH$3)=0)*(COUNTIFS($C$3:$Q$3,"NOTTE",$C5:$Q5,AH$3)=0))=0,"",IF(0+((AH6&lt;&gt;"Xm")*(AH6&lt;&gt;"Xg")*(COUNTIFS($C$3:$Q$3,"MAT",$C6:$Q6,AH$3)=0)*(COUNTIFS($C$3:$Q$3,"NOTTE",$C6:$Q6,AH$3)=0)*(COUNTIFS($C$3:$Q$3,"NOTTE",$C5:$Q5,AH$3)=0))+((AH6&lt;&gt;"Xp")*(AH6&lt;&gt;"Xg")*(COUNTIFS($C$3:$Q$3,"POM",$C6:$Q6,AH$3)=0)*(COUNTIFS($C$3:$Q$3,"NOTTE",$C6:$Q6,AH$3)=0)*(COUNTIFS($C$3:$Q$3,"NOTTE",$C5:$Q5,AH$3)=0))+((AH6&lt;&gt;"Xn")*(COUNTIFS($C$3:$Q$3,"MAT",$C6:$Q6,AH$3)=0)*(COUNTIFS($C$3:$Q$3,"POM",$C6:$Q6,AH$3)=0)*(COUNTIFS($C$3:$Q$3,"NOTTE",$C6:$Q6,AH$3)=0)*(COUNTIFS($C$3:$Q$3,"NOTTE",$C5:$Q5,AH$3)=0))=3,AH$3&amp;", ",AH$3&amp;IF((AH6&lt;&gt;"Xm")*(AH6&lt;&gt;"Xg")*(COUNTIFS($C$3:$Q$3,"MAT",$C6:$Q6,AH$3)=0)*(COUNTIFS($C$3:$Q$3,"NOTTE",$C6:$Q6,AH$3)=0)*(COUNTIFS($C$3:$Q$3,"NOTTE",$C5:$Q5,AH$3)=0),"_m","")&amp;IF((AH6&lt;&gt;"Xp")*(AH6&lt;&gt;"Xg")*(COUNTIFS($C$3:$Q$3,"POM",$C6:$Q6,AH$3)=0)*(COUNTIFS($C$3:$Q$3,"NOTTE",$C6:$Q6,AH$3)=0)*(COUNTIFS($C$3:$Q$3,"NOTTE",$C5:$Q5,AH$3)=0),"_p","")&amp;IF((AH6&lt;&gt;"Xn")*(COUNTIFS($C$3:$Q$3,"MAT",$C6:$Q6,AH$3)=0)*(COUNTIFS($C$3:$Q$3,"POM",$C6:$Q6,AH$3)=0)*(COUNTIFS($C$3:$Q$3,"NOTTE",$C6:$Q6,AH$3)=0)*(COUNTIFS($C$3:$Q$3,"NOTTE",$C5:$Q5,AH$3)=0),"_n","")&amp;", ")))</f>
        <v xml:space="preserve">HU, </v>
      </c>
      <c r="CL6" s="9" t="str">
        <f>IF(0+(AI6="X")&gt;0,"",IF(0+((AI6&lt;&gt;"Xm")*(AI6&lt;&gt;"Xg")*(COUNTIFS($C$3:$Q$3,"MAT",$C6:$Q6,AI$3)=0)*(COUNTIFS($C$3:$Q$3,"NOTTE",$C6:$Q6,AI$3)=0)*(COUNTIFS($C$3:$Q$3,"NOTTE",$C5:$Q5,AI$3)=0))+((AI6&lt;&gt;"Xp")*(AI6&lt;&gt;"Xg")*(COUNTIFS($C$3:$Q$3,"POM",$C6:$Q6,AI$3)=0)*(COUNTIFS($C$3:$Q$3,"NOTTE",$C6:$Q6,AI$3)=0)*(COUNTIFS($C$3:$Q$3,"NOTTE",$C5:$Q5,AI$3)=0))+((AI6&lt;&gt;"Xn")*(COUNTIFS($C$3:$Q$3,"MAT",$C6:$Q6,AI$3)=0)*(COUNTIFS($C$3:$Q$3,"POM",$C6:$Q6,AI$3)=0)*(COUNTIFS($C$3:$Q$3,"NOTTE",$C6:$Q6,AI$3)=0)*(COUNTIFS($C$3:$Q$3,"NOTTE",$C5:$Q5,AI$3)=0))=0,"",IF(0+((AI6&lt;&gt;"Xm")*(AI6&lt;&gt;"Xg")*(COUNTIFS($C$3:$Q$3,"MAT",$C6:$Q6,AI$3)=0)*(COUNTIFS($C$3:$Q$3,"NOTTE",$C6:$Q6,AI$3)=0)*(COUNTIFS($C$3:$Q$3,"NOTTE",$C5:$Q5,AI$3)=0))+((AI6&lt;&gt;"Xp")*(AI6&lt;&gt;"Xg")*(COUNTIFS($C$3:$Q$3,"POM",$C6:$Q6,AI$3)=0)*(COUNTIFS($C$3:$Q$3,"NOTTE",$C6:$Q6,AI$3)=0)*(COUNTIFS($C$3:$Q$3,"NOTTE",$C5:$Q5,AI$3)=0))+((AI6&lt;&gt;"Xn")*(COUNTIFS($C$3:$Q$3,"MAT",$C6:$Q6,AI$3)=0)*(COUNTIFS($C$3:$Q$3,"POM",$C6:$Q6,AI$3)=0)*(COUNTIFS($C$3:$Q$3,"NOTTE",$C6:$Q6,AI$3)=0)*(COUNTIFS($C$3:$Q$3,"NOTTE",$C5:$Q5,AI$3)=0))=3,AI$3&amp;", ",AI$3&amp;IF((AI6&lt;&gt;"Xm")*(AI6&lt;&gt;"Xg")*(COUNTIFS($C$3:$Q$3,"MAT",$C6:$Q6,AI$3)=0)*(COUNTIFS($C$3:$Q$3,"NOTTE",$C6:$Q6,AI$3)=0)*(COUNTIFS($C$3:$Q$3,"NOTTE",$C5:$Q5,AI$3)=0),"_m","")&amp;IF((AI6&lt;&gt;"Xp")*(AI6&lt;&gt;"Xg")*(COUNTIFS($C$3:$Q$3,"POM",$C6:$Q6,AI$3)=0)*(COUNTIFS($C$3:$Q$3,"NOTTE",$C6:$Q6,AI$3)=0)*(COUNTIFS($C$3:$Q$3,"NOTTE",$C5:$Q5,AI$3)=0),"_p","")&amp;IF((AI6&lt;&gt;"Xn")*(COUNTIFS($C$3:$Q$3,"MAT",$C6:$Q6,AI$3)=0)*(COUNTIFS($C$3:$Q$3,"POM",$C6:$Q6,AI$3)=0)*(COUNTIFS($C$3:$Q$3,"NOTTE",$C6:$Q6,AI$3)=0)*(COUNTIFS($C$3:$Q$3,"NOTTE",$C5:$Q5,AI$3)=0),"_n","")&amp;", ")))</f>
        <v xml:space="preserve">MARINI, </v>
      </c>
      <c r="CM6" s="9" t="str">
        <f>IF(0+(AJ6="X")&gt;0,"",IF(0+((AJ6&lt;&gt;"Xm")*(AJ6&lt;&gt;"Xg")*(COUNTIFS($C$3:$Q$3,"MAT",$C6:$Q6,AJ$3)=0)*(COUNTIFS($C$3:$Q$3,"NOTTE",$C6:$Q6,AJ$3)=0)*(COUNTIFS($C$3:$Q$3,"NOTTE",$C5:$Q5,AJ$3)=0))+((AJ6&lt;&gt;"Xp")*(AJ6&lt;&gt;"Xg")*(COUNTIFS($C$3:$Q$3,"POM",$C6:$Q6,AJ$3)=0)*(COUNTIFS($C$3:$Q$3,"NOTTE",$C6:$Q6,AJ$3)=0)*(COUNTIFS($C$3:$Q$3,"NOTTE",$C5:$Q5,AJ$3)=0))+((AJ6&lt;&gt;"Xn")*(COUNTIFS($C$3:$Q$3,"MAT",$C6:$Q6,AJ$3)=0)*(COUNTIFS($C$3:$Q$3,"POM",$C6:$Q6,AJ$3)=0)*(COUNTIFS($C$3:$Q$3,"NOTTE",$C6:$Q6,AJ$3)=0)*(COUNTIFS($C$3:$Q$3,"NOTTE",$C5:$Q5,AJ$3)=0))=0,"",IF(0+((AJ6&lt;&gt;"Xm")*(AJ6&lt;&gt;"Xg")*(COUNTIFS($C$3:$Q$3,"MAT",$C6:$Q6,AJ$3)=0)*(COUNTIFS($C$3:$Q$3,"NOTTE",$C6:$Q6,AJ$3)=0)*(COUNTIFS($C$3:$Q$3,"NOTTE",$C5:$Q5,AJ$3)=0))+((AJ6&lt;&gt;"Xp")*(AJ6&lt;&gt;"Xg")*(COUNTIFS($C$3:$Q$3,"POM",$C6:$Q6,AJ$3)=0)*(COUNTIFS($C$3:$Q$3,"NOTTE",$C6:$Q6,AJ$3)=0)*(COUNTIFS($C$3:$Q$3,"NOTTE",$C5:$Q5,AJ$3)=0))+((AJ6&lt;&gt;"Xn")*(COUNTIFS($C$3:$Q$3,"MAT",$C6:$Q6,AJ$3)=0)*(COUNTIFS($C$3:$Q$3,"POM",$C6:$Q6,AJ$3)=0)*(COUNTIFS($C$3:$Q$3,"NOTTE",$C6:$Q6,AJ$3)=0)*(COUNTIFS($C$3:$Q$3,"NOTTE",$C5:$Q5,AJ$3)=0))=3,AJ$3&amp;", ",AJ$3&amp;IF((AJ6&lt;&gt;"Xm")*(AJ6&lt;&gt;"Xg")*(COUNTIFS($C$3:$Q$3,"MAT",$C6:$Q6,AJ$3)=0)*(COUNTIFS($C$3:$Q$3,"NOTTE",$C6:$Q6,AJ$3)=0)*(COUNTIFS($C$3:$Q$3,"NOTTE",$C5:$Q5,AJ$3)=0),"_m","")&amp;IF((AJ6&lt;&gt;"Xp")*(AJ6&lt;&gt;"Xg")*(COUNTIFS($C$3:$Q$3,"POM",$C6:$Q6,AJ$3)=0)*(COUNTIFS($C$3:$Q$3,"NOTTE",$C6:$Q6,AJ$3)=0)*(COUNTIFS($C$3:$Q$3,"NOTTE",$C5:$Q5,AJ$3)=0),"_p","")&amp;IF((AJ6&lt;&gt;"Xn")*(COUNTIFS($C$3:$Q$3,"MAT",$C6:$Q6,AJ$3)=0)*(COUNTIFS($C$3:$Q$3,"POM",$C6:$Q6,AJ$3)=0)*(COUNTIFS($C$3:$Q$3,"NOTTE",$C6:$Q6,AJ$3)=0)*(COUNTIFS($C$3:$Q$3,"NOTTE",$C5:$Q5,AJ$3)=0),"_n","")&amp;", ")))</f>
        <v xml:space="preserve">CONTI A, </v>
      </c>
      <c r="CN6" s="9" t="str">
        <f>IF(0+(AK6="X")&gt;0,"",IF(0+((AK6&lt;&gt;"Xm")*(AK6&lt;&gt;"Xg")*(COUNTIFS($C$3:$Q$3,"MAT",$C6:$Q6,AK$3)=0)*(COUNTIFS($C$3:$Q$3,"NOTTE",$C6:$Q6,AK$3)=0)*(COUNTIFS($C$3:$Q$3,"NOTTE",$C5:$Q5,AK$3)=0))+((AK6&lt;&gt;"Xp")*(AK6&lt;&gt;"Xg")*(COUNTIFS($C$3:$Q$3,"POM",$C6:$Q6,AK$3)=0)*(COUNTIFS($C$3:$Q$3,"NOTTE",$C6:$Q6,AK$3)=0)*(COUNTIFS($C$3:$Q$3,"NOTTE",$C5:$Q5,AK$3)=0))+((AK6&lt;&gt;"Xn")*(COUNTIFS($C$3:$Q$3,"MAT",$C6:$Q6,AK$3)=0)*(COUNTIFS($C$3:$Q$3,"POM",$C6:$Q6,AK$3)=0)*(COUNTIFS($C$3:$Q$3,"NOTTE",$C6:$Q6,AK$3)=0)*(COUNTIFS($C$3:$Q$3,"NOTTE",$C5:$Q5,AK$3)=0))=0,"",IF(0+((AK6&lt;&gt;"Xm")*(AK6&lt;&gt;"Xg")*(COUNTIFS($C$3:$Q$3,"MAT",$C6:$Q6,AK$3)=0)*(COUNTIFS($C$3:$Q$3,"NOTTE",$C6:$Q6,AK$3)=0)*(COUNTIFS($C$3:$Q$3,"NOTTE",$C5:$Q5,AK$3)=0))+((AK6&lt;&gt;"Xp")*(AK6&lt;&gt;"Xg")*(COUNTIFS($C$3:$Q$3,"POM",$C6:$Q6,AK$3)=0)*(COUNTIFS($C$3:$Q$3,"NOTTE",$C6:$Q6,AK$3)=0)*(COUNTIFS($C$3:$Q$3,"NOTTE",$C5:$Q5,AK$3)=0))+((AK6&lt;&gt;"Xn")*(COUNTIFS($C$3:$Q$3,"MAT",$C6:$Q6,AK$3)=0)*(COUNTIFS($C$3:$Q$3,"POM",$C6:$Q6,AK$3)=0)*(COUNTIFS($C$3:$Q$3,"NOTTE",$C6:$Q6,AK$3)=0)*(COUNTIFS($C$3:$Q$3,"NOTTE",$C5:$Q5,AK$3)=0))=3,AK$3&amp;", ",AK$3&amp;IF((AK6&lt;&gt;"Xm")*(AK6&lt;&gt;"Xg")*(COUNTIFS($C$3:$Q$3,"MAT",$C6:$Q6,AK$3)=0)*(COUNTIFS($C$3:$Q$3,"NOTTE",$C6:$Q6,AK$3)=0)*(COUNTIFS($C$3:$Q$3,"NOTTE",$C5:$Q5,AK$3)=0),"_m","")&amp;IF((AK6&lt;&gt;"Xp")*(AK6&lt;&gt;"Xg")*(COUNTIFS($C$3:$Q$3,"POM",$C6:$Q6,AK$3)=0)*(COUNTIFS($C$3:$Q$3,"NOTTE",$C6:$Q6,AK$3)=0)*(COUNTIFS($C$3:$Q$3,"NOTTE",$C5:$Q5,AK$3)=0),"_p","")&amp;IF((AK6&lt;&gt;"Xn")*(COUNTIFS($C$3:$Q$3,"MAT",$C6:$Q6,AK$3)=0)*(COUNTIFS($C$3:$Q$3,"POM",$C6:$Q6,AK$3)=0)*(COUNTIFS($C$3:$Q$3,"NOTTE",$C6:$Q6,AK$3)=0)*(COUNTIFS($C$3:$Q$3,"NOTTE",$C5:$Q5,AK$3)=0),"_n","")&amp;", ")))</f>
        <v xml:space="preserve">CONTI S, </v>
      </c>
      <c r="CO6" s="9" t="str">
        <f>IF(0+(AL6="X")&gt;0,"",IF(0+((AL6&lt;&gt;"Xm")*(AL6&lt;&gt;"Xg")*(COUNTIFS($C$3:$Q$3,"MAT",$C6:$Q6,AL$3)=0)*(COUNTIFS($C$3:$Q$3,"NOTTE",$C6:$Q6,AL$3)=0)*(COUNTIFS($C$3:$Q$3,"NOTTE",$C5:$Q5,AL$3)=0))+((AL6&lt;&gt;"Xp")*(AL6&lt;&gt;"Xg")*(COUNTIFS($C$3:$Q$3,"POM",$C6:$Q6,AL$3)=0)*(COUNTIFS($C$3:$Q$3,"NOTTE",$C6:$Q6,AL$3)=0)*(COUNTIFS($C$3:$Q$3,"NOTTE",$C5:$Q5,AL$3)=0))+((AL6&lt;&gt;"Xn")*(COUNTIFS($C$3:$Q$3,"MAT",$C6:$Q6,AL$3)=0)*(COUNTIFS($C$3:$Q$3,"POM",$C6:$Q6,AL$3)=0)*(COUNTIFS($C$3:$Q$3,"NOTTE",$C6:$Q6,AL$3)=0)*(COUNTIFS($C$3:$Q$3,"NOTTE",$C5:$Q5,AL$3)=0))=0,"",IF(0+((AL6&lt;&gt;"Xm")*(AL6&lt;&gt;"Xg")*(COUNTIFS($C$3:$Q$3,"MAT",$C6:$Q6,AL$3)=0)*(COUNTIFS($C$3:$Q$3,"NOTTE",$C6:$Q6,AL$3)=0)*(COUNTIFS($C$3:$Q$3,"NOTTE",$C5:$Q5,AL$3)=0))+((AL6&lt;&gt;"Xp")*(AL6&lt;&gt;"Xg")*(COUNTIFS($C$3:$Q$3,"POM",$C6:$Q6,AL$3)=0)*(COUNTIFS($C$3:$Q$3,"NOTTE",$C6:$Q6,AL$3)=0)*(COUNTIFS($C$3:$Q$3,"NOTTE",$C5:$Q5,AL$3)=0))+((AL6&lt;&gt;"Xn")*(COUNTIFS($C$3:$Q$3,"MAT",$C6:$Q6,AL$3)=0)*(COUNTIFS($C$3:$Q$3,"POM",$C6:$Q6,AL$3)=0)*(COUNTIFS($C$3:$Q$3,"NOTTE",$C6:$Q6,AL$3)=0)*(COUNTIFS($C$3:$Q$3,"NOTTE",$C5:$Q5,AL$3)=0))=3,AL$3&amp;", ",AL$3&amp;IF((AL6&lt;&gt;"Xm")*(AL6&lt;&gt;"Xg")*(COUNTIFS($C$3:$Q$3,"MAT",$C6:$Q6,AL$3)=0)*(COUNTIFS($C$3:$Q$3,"NOTTE",$C6:$Q6,AL$3)=0)*(COUNTIFS($C$3:$Q$3,"NOTTE",$C5:$Q5,AL$3)=0),"_m","")&amp;IF((AL6&lt;&gt;"Xp")*(AL6&lt;&gt;"Xg")*(COUNTIFS($C$3:$Q$3,"POM",$C6:$Q6,AL$3)=0)*(COUNTIFS($C$3:$Q$3,"NOTTE",$C6:$Q6,AL$3)=0)*(COUNTIFS($C$3:$Q$3,"NOTTE",$C5:$Q5,AL$3)=0),"_p","")&amp;IF((AL6&lt;&gt;"Xn")*(COUNTIFS($C$3:$Q$3,"MAT",$C6:$Q6,AL$3)=0)*(COUNTIFS($C$3:$Q$3,"POM",$C6:$Q6,AL$3)=0)*(COUNTIFS($C$3:$Q$3,"NOTTE",$C6:$Q6,AL$3)=0)*(COUNTIFS($C$3:$Q$3,"NOTTE",$C5:$Q5,AL$3)=0),"_n","")&amp;", ")))</f>
        <v xml:space="preserve">FERRARI, </v>
      </c>
      <c r="CP6" s="9" t="str">
        <f>IF(0+(AM6="X")&gt;0,"",IF(0+((AM6&lt;&gt;"Xm")*(AM6&lt;&gt;"Xg")*(COUNTIFS($C$3:$Q$3,"MAT",$C6:$Q6,AM$3)=0)*(COUNTIFS($C$3:$Q$3,"NOTTE",$C6:$Q6,AM$3)=0)*(COUNTIFS($C$3:$Q$3,"NOTTE",$C5:$Q5,AM$3)=0))+((AM6&lt;&gt;"Xp")*(AM6&lt;&gt;"Xg")*(COUNTIFS($C$3:$Q$3,"POM",$C6:$Q6,AM$3)=0)*(COUNTIFS($C$3:$Q$3,"NOTTE",$C6:$Q6,AM$3)=0)*(COUNTIFS($C$3:$Q$3,"NOTTE",$C5:$Q5,AM$3)=0))+((AM6&lt;&gt;"Xn")*(COUNTIFS($C$3:$Q$3,"MAT",$C6:$Q6,AM$3)=0)*(COUNTIFS($C$3:$Q$3,"POM",$C6:$Q6,AM$3)=0)*(COUNTIFS($C$3:$Q$3,"NOTTE",$C6:$Q6,AM$3)=0)*(COUNTIFS($C$3:$Q$3,"NOTTE",$C5:$Q5,AM$3)=0))=0,"",IF(0+((AM6&lt;&gt;"Xm")*(AM6&lt;&gt;"Xg")*(COUNTIFS($C$3:$Q$3,"MAT",$C6:$Q6,AM$3)=0)*(COUNTIFS($C$3:$Q$3,"NOTTE",$C6:$Q6,AM$3)=0)*(COUNTIFS($C$3:$Q$3,"NOTTE",$C5:$Q5,AM$3)=0))+((AM6&lt;&gt;"Xp")*(AM6&lt;&gt;"Xg")*(COUNTIFS($C$3:$Q$3,"POM",$C6:$Q6,AM$3)=0)*(COUNTIFS($C$3:$Q$3,"NOTTE",$C6:$Q6,AM$3)=0)*(COUNTIFS($C$3:$Q$3,"NOTTE",$C5:$Q5,AM$3)=0))+((AM6&lt;&gt;"Xn")*(COUNTIFS($C$3:$Q$3,"MAT",$C6:$Q6,AM$3)=0)*(COUNTIFS($C$3:$Q$3,"POM",$C6:$Q6,AM$3)=0)*(COUNTIFS($C$3:$Q$3,"NOTTE",$C6:$Q6,AM$3)=0)*(COUNTIFS($C$3:$Q$3,"NOTTE",$C5:$Q5,AM$3)=0))=3,AM$3&amp;", ",AM$3&amp;IF((AM6&lt;&gt;"Xm")*(AM6&lt;&gt;"Xg")*(COUNTIFS($C$3:$Q$3,"MAT",$C6:$Q6,AM$3)=0)*(COUNTIFS($C$3:$Q$3,"NOTTE",$C6:$Q6,AM$3)=0)*(COUNTIFS($C$3:$Q$3,"NOTTE",$C5:$Q5,AM$3)=0),"_m","")&amp;IF((AM6&lt;&gt;"Xp")*(AM6&lt;&gt;"Xg")*(COUNTIFS($C$3:$Q$3,"POM",$C6:$Q6,AM$3)=0)*(COUNTIFS($C$3:$Q$3,"NOTTE",$C6:$Q6,AM$3)=0)*(COUNTIFS($C$3:$Q$3,"NOTTE",$C5:$Q5,AM$3)=0),"_p","")&amp;IF((AM6&lt;&gt;"Xn")*(COUNTIFS($C$3:$Q$3,"MAT",$C6:$Q6,AM$3)=0)*(COUNTIFS($C$3:$Q$3,"POM",$C6:$Q6,AM$3)=0)*(COUNTIFS($C$3:$Q$3,"NOTTE",$C6:$Q6,AM$3)=0)*(COUNTIFS($C$3:$Q$3,"NOTTE",$C5:$Q5,AM$3)=0),"_n","")&amp;", ")))</f>
        <v xml:space="preserve">GRECO, </v>
      </c>
      <c r="CQ6" s="9" t="str">
        <f>IF(0+(AN6="X")&gt;0,"",IF(0+((AN6&lt;&gt;"Xm")*(AN6&lt;&gt;"Xg")*(COUNTIFS($C$3:$Q$3,"MAT",$C6:$Q6,AN$3)=0)*(COUNTIFS($C$3:$Q$3,"NOTTE",$C6:$Q6,AN$3)=0)*(COUNTIFS($C$3:$Q$3,"NOTTE",$C5:$Q5,AN$3)=0))+((AN6&lt;&gt;"Xp")*(AN6&lt;&gt;"Xg")*(COUNTIFS($C$3:$Q$3,"POM",$C6:$Q6,AN$3)=0)*(COUNTIFS($C$3:$Q$3,"NOTTE",$C6:$Q6,AN$3)=0)*(COUNTIFS($C$3:$Q$3,"NOTTE",$C5:$Q5,AN$3)=0))+((AN6&lt;&gt;"Xn")*(COUNTIFS($C$3:$Q$3,"MAT",$C6:$Q6,AN$3)=0)*(COUNTIFS($C$3:$Q$3,"POM",$C6:$Q6,AN$3)=0)*(COUNTIFS($C$3:$Q$3,"NOTTE",$C6:$Q6,AN$3)=0)*(COUNTIFS($C$3:$Q$3,"NOTTE",$C5:$Q5,AN$3)=0))=0,"",IF(0+((AN6&lt;&gt;"Xm")*(AN6&lt;&gt;"Xg")*(COUNTIFS($C$3:$Q$3,"MAT",$C6:$Q6,AN$3)=0)*(COUNTIFS($C$3:$Q$3,"NOTTE",$C6:$Q6,AN$3)=0)*(COUNTIFS($C$3:$Q$3,"NOTTE",$C5:$Q5,AN$3)=0))+((AN6&lt;&gt;"Xp")*(AN6&lt;&gt;"Xg")*(COUNTIFS($C$3:$Q$3,"POM",$C6:$Q6,AN$3)=0)*(COUNTIFS($C$3:$Q$3,"NOTTE",$C6:$Q6,AN$3)=0)*(COUNTIFS($C$3:$Q$3,"NOTTE",$C5:$Q5,AN$3)=0))+((AN6&lt;&gt;"Xn")*(COUNTIFS($C$3:$Q$3,"MAT",$C6:$Q6,AN$3)=0)*(COUNTIFS($C$3:$Q$3,"POM",$C6:$Q6,AN$3)=0)*(COUNTIFS($C$3:$Q$3,"NOTTE",$C6:$Q6,AN$3)=0)*(COUNTIFS($C$3:$Q$3,"NOTTE",$C5:$Q5,AN$3)=0))=3,AN$3&amp;", ",AN$3&amp;IF((AN6&lt;&gt;"Xm")*(AN6&lt;&gt;"Xg")*(COUNTIFS($C$3:$Q$3,"MAT",$C6:$Q6,AN$3)=0)*(COUNTIFS($C$3:$Q$3,"NOTTE",$C6:$Q6,AN$3)=0)*(COUNTIFS($C$3:$Q$3,"NOTTE",$C5:$Q5,AN$3)=0),"_m","")&amp;IF((AN6&lt;&gt;"Xp")*(AN6&lt;&gt;"Xg")*(COUNTIFS($C$3:$Q$3,"POM",$C6:$Q6,AN$3)=0)*(COUNTIFS($C$3:$Q$3,"NOTTE",$C6:$Q6,AN$3)=0)*(COUNTIFS($C$3:$Q$3,"NOTTE",$C5:$Q5,AN$3)=0),"_p","")&amp;IF((AN6&lt;&gt;"Xn")*(COUNTIFS($C$3:$Q$3,"MAT",$C6:$Q6,AN$3)=0)*(COUNTIFS($C$3:$Q$3,"POM",$C6:$Q6,AN$3)=0)*(COUNTIFS($C$3:$Q$3,"NOTTE",$C6:$Q6,AN$3)=0)*(COUNTIFS($C$3:$Q$3,"NOTTE",$C5:$Q5,AN$3)=0),"_n","")&amp;", ")))</f>
        <v xml:space="preserve">SANNA, </v>
      </c>
      <c r="CR6" s="9" t="str">
        <f>IF(0+(AO6="X")&gt;0,"",IF(0+((AO6&lt;&gt;"Xm")*(AO6&lt;&gt;"Xg")*(COUNTIFS($C$3:$Q$3,"MAT",$C6:$Q6,AO$3)=0)*(COUNTIFS($C$3:$Q$3,"NOTTE",$C6:$Q6,AO$3)=0)*(COUNTIFS($C$3:$Q$3,"NOTTE",$C5:$Q5,AO$3)=0))+((AO6&lt;&gt;"Xp")*(AO6&lt;&gt;"Xg")*(COUNTIFS($C$3:$Q$3,"POM",$C6:$Q6,AO$3)=0)*(COUNTIFS($C$3:$Q$3,"NOTTE",$C6:$Q6,AO$3)=0)*(COUNTIFS($C$3:$Q$3,"NOTTE",$C5:$Q5,AO$3)=0))+((AO6&lt;&gt;"Xn")*(COUNTIFS($C$3:$Q$3,"MAT",$C6:$Q6,AO$3)=0)*(COUNTIFS($C$3:$Q$3,"POM",$C6:$Q6,AO$3)=0)*(COUNTIFS($C$3:$Q$3,"NOTTE",$C6:$Q6,AO$3)=0)*(COUNTIFS($C$3:$Q$3,"NOTTE",$C5:$Q5,AO$3)=0))=0,"",IF(0+((AO6&lt;&gt;"Xm")*(AO6&lt;&gt;"Xg")*(COUNTIFS($C$3:$Q$3,"MAT",$C6:$Q6,AO$3)=0)*(COUNTIFS($C$3:$Q$3,"NOTTE",$C6:$Q6,AO$3)=0)*(COUNTIFS($C$3:$Q$3,"NOTTE",$C5:$Q5,AO$3)=0))+((AO6&lt;&gt;"Xp")*(AO6&lt;&gt;"Xg")*(COUNTIFS($C$3:$Q$3,"POM",$C6:$Q6,AO$3)=0)*(COUNTIFS($C$3:$Q$3,"NOTTE",$C6:$Q6,AO$3)=0)*(COUNTIFS($C$3:$Q$3,"NOTTE",$C5:$Q5,AO$3)=0))+((AO6&lt;&gt;"Xn")*(COUNTIFS($C$3:$Q$3,"MAT",$C6:$Q6,AO$3)=0)*(COUNTIFS($C$3:$Q$3,"POM",$C6:$Q6,AO$3)=0)*(COUNTIFS($C$3:$Q$3,"NOTTE",$C6:$Q6,AO$3)=0)*(COUNTIFS($C$3:$Q$3,"NOTTE",$C5:$Q5,AO$3)=0))=3,AO$3&amp;", ",AO$3&amp;IF((AO6&lt;&gt;"Xm")*(AO6&lt;&gt;"Xg")*(COUNTIFS($C$3:$Q$3,"MAT",$C6:$Q6,AO$3)=0)*(COUNTIFS($C$3:$Q$3,"NOTTE",$C6:$Q6,AO$3)=0)*(COUNTIFS($C$3:$Q$3,"NOTTE",$C5:$Q5,AO$3)=0),"_m","")&amp;IF((AO6&lt;&gt;"Xp")*(AO6&lt;&gt;"Xg")*(COUNTIFS($C$3:$Q$3,"POM",$C6:$Q6,AO$3)=0)*(COUNTIFS($C$3:$Q$3,"NOTTE",$C6:$Q6,AO$3)=0)*(COUNTIFS($C$3:$Q$3,"NOTTE",$C5:$Q5,AO$3)=0),"_p","")&amp;IF((AO6&lt;&gt;"Xn")*(COUNTIFS($C$3:$Q$3,"MAT",$C6:$Q6,AO$3)=0)*(COUNTIFS($C$3:$Q$3,"POM",$C6:$Q6,AO$3)=0)*(COUNTIFS($C$3:$Q$3,"NOTTE",$C6:$Q6,AO$3)=0)*(COUNTIFS($C$3:$Q$3,"NOTTE",$C5:$Q5,AO$3)=0),"_n","")&amp;", ")))</f>
        <v xml:space="preserve">LI, </v>
      </c>
    </row>
    <row r="7">
      <c r="A7" s="10" t="str">
        <f>CHOOSE(WEEKDAY(DATE($B$1,$A$2,B7),2),"lunedì","martedì","mercoledì","giovedì","venerdì","sabato","domenica")</f>
        <v>mercoledì</v>
      </c>
      <c r="B7" s="10" t="n">
        <v>4</v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4" t="n"/>
      <c r="Q7" s="11" t="n"/>
      <c r="R7" s="11" t="n"/>
      <c r="S7" s="11">
        <f>IF(SUMPRODUCT(($C$3:$Q$3&lt;&gt;"")*($C7:$Q7&lt;&gt;"")*(LEFT($C7:$Q7,6)&lt;&gt;"chiuso")*(COUNTIFS($C7:$Q7,$C7:$Q7,$C$3:$Q$3,$C$3:$Q$3)&gt;1))&gt;0,"X","")</f>
      </c>
      <c r="T7" s="11" t="str">
        <f>IF(LEN(BP7&amp;BQ7&amp;BR7&amp;BS7&amp;BT7&amp;BU7&amp;BV7&amp;BW7&amp;BX7&amp;BY7&amp;BZ7&amp;CA7&amp;CB7&amp;CC7)=0,"",LEFT(BP7&amp;BQ7&amp;BR7&amp;BS7&amp;BT7&amp;BU7&amp;BV7&amp;BW7&amp;BX7&amp;BY7&amp;BZ7&amp;CA7&amp;CB7&amp;CC7,LEN(BP7&amp;BQ7&amp;BR7&amp;BS7&amp;BT7&amp;BU7&amp;BV7&amp;BW7&amp;BX7&amp;BY7&amp;BZ7&amp;CA7&amp;CB7&amp;CC7)-2))</f>
        <v>LEONI, ROSSI M, ROSSI L, GALLINA, RUSSO, VERDI, HU, MARINI, CONTI A, CONTI S, FERRARI, GRECO, SANNA, LI</v>
      </c>
      <c r="U7" s="11" t="str">
        <f>IF(LEN(CE7&amp;CF7&amp;CG7&amp;CH7&amp;CI7&amp;CJ7&amp;CK7&amp;CL7&amp;CM7&amp;CN7&amp;CO7&amp;CP7&amp;CQ7&amp;CR7)=0,"",LEFT(CE7&amp;CF7&amp;CG7&amp;CH7&amp;CI7&amp;CJ7&amp;CK7&amp;CL7&amp;CM7&amp;CN7&amp;CO7&amp;CP7&amp;CQ7&amp;CR7,LEN(CE7&amp;CF7&amp;CG7&amp;CH7&amp;CI7&amp;CJ7&amp;CK7&amp;CL7&amp;CM7&amp;CN7&amp;CO7&amp;CP7&amp;CQ7&amp;CR7)-2))</f>
        <v>LEONI, ROSSI M, ROSSI L, GALLINA, RUSSO, VERDI, HU, MARINI, CONTI A, CONTI S, FERRARI, GRECO, SANNA, LI</v>
      </c>
      <c r="Z7" s="10" t="str">
        <f>A7</f>
        <v>mercoledì</v>
      </c>
      <c r="AA7" s="10">
        <f>B7</f>
        <v>4</v>
      </c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Q7" s="5" t="inlineStr">
        <is>
          <t>Xg</t>
        </is>
      </c>
      <c r="AR7" s="6" t="inlineStr">
        <is>
          <t>non disponibile di giorno, cioè mattina e pomeriggio: la notte resta disponibile</t>
        </is>
      </c>
      <c r="AT7" s="7" t="str">
        <f>AE$3</f>
        <v>GALLINA</v>
      </c>
      <c r="AU7" s="7">
        <f>COUNTIF($C$4:$D$33,$AT7)</f>
        <v>0</v>
      </c>
      <c r="AV7" s="7">
        <f>COUNTIF($E$4:$F$33,$AT7)</f>
        <v>0</v>
      </c>
      <c r="AW7" s="7">
        <f>COUNTIF($G$4:$H$33,$AT7)</f>
        <v>0</v>
      </c>
      <c r="AX7" s="7">
        <f>COUNTIF($I$4:$J$33,$AT7)</f>
        <v>0</v>
      </c>
      <c r="AY7" s="7">
        <f>COUNTIF($K$4:$K$33,$AT7)</f>
        <v>0</v>
      </c>
      <c r="AZ7" s="7">
        <f>COUNTIF($L$4:$L$33,$AT7)</f>
        <v>0</v>
      </c>
      <c r="BA7" s="7">
        <f>COUNTIF($M$4:$M$33,$AT7)</f>
        <v>0</v>
      </c>
      <c r="BB7" s="7">
        <f>COUNTIF($N$4:$Q$33,$AT7)</f>
        <v>0</v>
      </c>
      <c r="BC7" s="7">
        <f>COUNTIF($C$4:$Q$33,$AT7)</f>
        <v>0</v>
      </c>
      <c r="BE7" s="8" t="str">
        <f>AE$3</f>
        <v>GALLINA</v>
      </c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P7" s="9" t="str">
        <f>IF(0+(AB7="X")&gt;0,"",IF(0+((AB7&lt;&gt;"Xm")*(AB7&lt;&gt;"Xg"))+((AB7&lt;&gt;"Xp")*(AB7&lt;&gt;"Xg"))+((AB7&lt;&gt;"Xn"))=0,"",IF(0+((AB7&lt;&gt;"Xm")*(AB7&lt;&gt;"Xg"))+((AB7&lt;&gt;"Xp")*(AB7&lt;&gt;"Xg"))+((AB7&lt;&gt;"Xn"))=3,AB$3&amp;", ",AB$3&amp;IF((AB7&lt;&gt;"Xm")*(AB7&lt;&gt;"Xg"),"_m","")&amp;IF((AB7&lt;&gt;"Xp")*(AB7&lt;&gt;"Xg"),"_p","")&amp;IF((AB7&lt;&gt;"Xn"),"_n","")&amp;", ")))</f>
        <v xml:space="preserve">LEONI, </v>
      </c>
      <c r="BQ7" s="9" t="str">
        <f>IF(0+(AC7="X")&gt;0,"",IF(0+((AC7&lt;&gt;"Xm")*(AC7&lt;&gt;"Xg"))+((AC7&lt;&gt;"Xp")*(AC7&lt;&gt;"Xg"))+((AC7&lt;&gt;"Xn"))=0,"",IF(0+((AC7&lt;&gt;"Xm")*(AC7&lt;&gt;"Xg"))+((AC7&lt;&gt;"Xp")*(AC7&lt;&gt;"Xg"))+((AC7&lt;&gt;"Xn"))=3,AC$3&amp;", ",AC$3&amp;IF((AC7&lt;&gt;"Xm")*(AC7&lt;&gt;"Xg"),"_m","")&amp;IF((AC7&lt;&gt;"Xp")*(AC7&lt;&gt;"Xg"),"_p","")&amp;IF((AC7&lt;&gt;"Xn"),"_n","")&amp;", ")))</f>
        <v xml:space="preserve">ROSSI M, </v>
      </c>
      <c r="BR7" s="9" t="str">
        <f>IF(0+(AD7="X")&gt;0,"",IF(0+((AD7&lt;&gt;"Xm")*(AD7&lt;&gt;"Xg"))+((AD7&lt;&gt;"Xp")*(AD7&lt;&gt;"Xg"))+((AD7&lt;&gt;"Xn"))=0,"",IF(0+((AD7&lt;&gt;"Xm")*(AD7&lt;&gt;"Xg"))+((AD7&lt;&gt;"Xp")*(AD7&lt;&gt;"Xg"))+((AD7&lt;&gt;"Xn"))=3,AD$3&amp;", ",AD$3&amp;IF((AD7&lt;&gt;"Xm")*(AD7&lt;&gt;"Xg"),"_m","")&amp;IF((AD7&lt;&gt;"Xp")*(AD7&lt;&gt;"Xg"),"_p","")&amp;IF((AD7&lt;&gt;"Xn"),"_n","")&amp;", ")))</f>
        <v xml:space="preserve">ROSSI L, </v>
      </c>
      <c r="BS7" s="9" t="str">
        <f>IF(0+(AE7="X")&gt;0,"",IF(0+((AE7&lt;&gt;"Xm")*(AE7&lt;&gt;"Xg"))+((AE7&lt;&gt;"Xp")*(AE7&lt;&gt;"Xg"))+((AE7&lt;&gt;"Xn"))=0,"",IF(0+((AE7&lt;&gt;"Xm")*(AE7&lt;&gt;"Xg"))+((AE7&lt;&gt;"Xp")*(AE7&lt;&gt;"Xg"))+((AE7&lt;&gt;"Xn"))=3,AE$3&amp;", ",AE$3&amp;IF((AE7&lt;&gt;"Xm")*(AE7&lt;&gt;"Xg"),"_m","")&amp;IF((AE7&lt;&gt;"Xp")*(AE7&lt;&gt;"Xg"),"_p","")&amp;IF((AE7&lt;&gt;"Xn"),"_n","")&amp;", ")))</f>
        <v xml:space="preserve">GALLINA, </v>
      </c>
      <c r="BT7" s="9" t="str">
        <f>IF(0+(AF7="X")&gt;0,"",IF(0+((AF7&lt;&gt;"Xm")*(AF7&lt;&gt;"Xg"))+((AF7&lt;&gt;"Xp")*(AF7&lt;&gt;"Xg"))+((AF7&lt;&gt;"Xn"))=0,"",IF(0+((AF7&lt;&gt;"Xm")*(AF7&lt;&gt;"Xg"))+((AF7&lt;&gt;"Xp")*(AF7&lt;&gt;"Xg"))+((AF7&lt;&gt;"Xn"))=3,AF$3&amp;", ",AF$3&amp;IF((AF7&lt;&gt;"Xm")*(AF7&lt;&gt;"Xg"),"_m","")&amp;IF((AF7&lt;&gt;"Xp")*(AF7&lt;&gt;"Xg"),"_p","")&amp;IF((AF7&lt;&gt;"Xn"),"_n","")&amp;", ")))</f>
        <v xml:space="preserve">RUSSO, </v>
      </c>
      <c r="BU7" s="9" t="str">
        <f>IF(0+(AG7="X")&gt;0,"",IF(0+((AG7&lt;&gt;"Xm")*(AG7&lt;&gt;"Xg"))+((AG7&lt;&gt;"Xp")*(AG7&lt;&gt;"Xg"))+((AG7&lt;&gt;"Xn"))=0,"",IF(0+((AG7&lt;&gt;"Xm")*(AG7&lt;&gt;"Xg"))+((AG7&lt;&gt;"Xp")*(AG7&lt;&gt;"Xg"))+((AG7&lt;&gt;"Xn"))=3,AG$3&amp;", ",AG$3&amp;IF((AG7&lt;&gt;"Xm")*(AG7&lt;&gt;"Xg"),"_m","")&amp;IF((AG7&lt;&gt;"Xp")*(AG7&lt;&gt;"Xg"),"_p","")&amp;IF((AG7&lt;&gt;"Xn"),"_n","")&amp;", ")))</f>
        <v xml:space="preserve">VERDI, </v>
      </c>
      <c r="BV7" s="9" t="str">
        <f>IF(0+(AH7="X")&gt;0,"",IF(0+((AH7&lt;&gt;"Xm")*(AH7&lt;&gt;"Xg"))+((AH7&lt;&gt;"Xp")*(AH7&lt;&gt;"Xg"))+((AH7&lt;&gt;"Xn"))=0,"",IF(0+((AH7&lt;&gt;"Xm")*(AH7&lt;&gt;"Xg"))+((AH7&lt;&gt;"Xp")*(AH7&lt;&gt;"Xg"))+((AH7&lt;&gt;"Xn"))=3,AH$3&amp;", ",AH$3&amp;IF((AH7&lt;&gt;"Xm")*(AH7&lt;&gt;"Xg"),"_m","")&amp;IF((AH7&lt;&gt;"Xp")*(AH7&lt;&gt;"Xg"),"_p","")&amp;IF((AH7&lt;&gt;"Xn"),"_n","")&amp;", ")))</f>
        <v xml:space="preserve">HU, </v>
      </c>
      <c r="BW7" s="9" t="str">
        <f>IF(0+(AI7="X")&gt;0,"",IF(0+((AI7&lt;&gt;"Xm")*(AI7&lt;&gt;"Xg"))+((AI7&lt;&gt;"Xp")*(AI7&lt;&gt;"Xg"))+((AI7&lt;&gt;"Xn"))=0,"",IF(0+((AI7&lt;&gt;"Xm")*(AI7&lt;&gt;"Xg"))+((AI7&lt;&gt;"Xp")*(AI7&lt;&gt;"Xg"))+((AI7&lt;&gt;"Xn"))=3,AI$3&amp;", ",AI$3&amp;IF((AI7&lt;&gt;"Xm")*(AI7&lt;&gt;"Xg"),"_m","")&amp;IF((AI7&lt;&gt;"Xp")*(AI7&lt;&gt;"Xg"),"_p","")&amp;IF((AI7&lt;&gt;"Xn"),"_n","")&amp;", ")))</f>
        <v xml:space="preserve">MARINI, </v>
      </c>
      <c r="BX7" s="9" t="str">
        <f>IF(0+(AJ7="X")&gt;0,"",IF(0+((AJ7&lt;&gt;"Xm")*(AJ7&lt;&gt;"Xg"))+((AJ7&lt;&gt;"Xp")*(AJ7&lt;&gt;"Xg"))+((AJ7&lt;&gt;"Xn"))=0,"",IF(0+((AJ7&lt;&gt;"Xm")*(AJ7&lt;&gt;"Xg"))+((AJ7&lt;&gt;"Xp")*(AJ7&lt;&gt;"Xg"))+((AJ7&lt;&gt;"Xn"))=3,AJ$3&amp;", ",AJ$3&amp;IF((AJ7&lt;&gt;"Xm")*(AJ7&lt;&gt;"Xg"),"_m","")&amp;IF((AJ7&lt;&gt;"Xp")*(AJ7&lt;&gt;"Xg"),"_p","")&amp;IF((AJ7&lt;&gt;"Xn"),"_n","")&amp;", ")))</f>
        <v xml:space="preserve">CONTI A, </v>
      </c>
      <c r="BY7" s="9" t="str">
        <f>IF(0+(AK7="X")&gt;0,"",IF(0+((AK7&lt;&gt;"Xm")*(AK7&lt;&gt;"Xg"))+((AK7&lt;&gt;"Xp")*(AK7&lt;&gt;"Xg"))+((AK7&lt;&gt;"Xn"))=0,"",IF(0+((AK7&lt;&gt;"Xm")*(AK7&lt;&gt;"Xg"))+((AK7&lt;&gt;"Xp")*(AK7&lt;&gt;"Xg"))+((AK7&lt;&gt;"Xn"))=3,AK$3&amp;", ",AK$3&amp;IF((AK7&lt;&gt;"Xm")*(AK7&lt;&gt;"Xg"),"_m","")&amp;IF((AK7&lt;&gt;"Xp")*(AK7&lt;&gt;"Xg"),"_p","")&amp;IF((AK7&lt;&gt;"Xn"),"_n","")&amp;", ")))</f>
        <v xml:space="preserve">CONTI S, </v>
      </c>
      <c r="BZ7" s="9" t="str">
        <f>IF(0+(AL7="X")&gt;0,"",IF(0+((AL7&lt;&gt;"Xm")*(AL7&lt;&gt;"Xg"))+((AL7&lt;&gt;"Xp")*(AL7&lt;&gt;"Xg"))+((AL7&lt;&gt;"Xn"))=0,"",IF(0+((AL7&lt;&gt;"Xm")*(AL7&lt;&gt;"Xg"))+((AL7&lt;&gt;"Xp")*(AL7&lt;&gt;"Xg"))+((AL7&lt;&gt;"Xn"))=3,AL$3&amp;", ",AL$3&amp;IF((AL7&lt;&gt;"Xm")*(AL7&lt;&gt;"Xg"),"_m","")&amp;IF((AL7&lt;&gt;"Xp")*(AL7&lt;&gt;"Xg"),"_p","")&amp;IF((AL7&lt;&gt;"Xn"),"_n","")&amp;", ")))</f>
        <v xml:space="preserve">FERRARI, </v>
      </c>
      <c r="CA7" s="9" t="str">
        <f>IF(0+(AM7="X")&gt;0,"",IF(0+((AM7&lt;&gt;"Xm")*(AM7&lt;&gt;"Xg"))+((AM7&lt;&gt;"Xp")*(AM7&lt;&gt;"Xg"))+((AM7&lt;&gt;"Xn"))=0,"",IF(0+((AM7&lt;&gt;"Xm")*(AM7&lt;&gt;"Xg"))+((AM7&lt;&gt;"Xp")*(AM7&lt;&gt;"Xg"))+((AM7&lt;&gt;"Xn"))=3,AM$3&amp;", ",AM$3&amp;IF((AM7&lt;&gt;"Xm")*(AM7&lt;&gt;"Xg"),"_m","")&amp;IF((AM7&lt;&gt;"Xp")*(AM7&lt;&gt;"Xg"),"_p","")&amp;IF((AM7&lt;&gt;"Xn"),"_n","")&amp;", ")))</f>
        <v xml:space="preserve">GRECO, </v>
      </c>
      <c r="CB7" s="9" t="str">
        <f>IF(0+(AN7="X")&gt;0,"",IF(0+((AN7&lt;&gt;"Xm")*(AN7&lt;&gt;"Xg"))+((AN7&lt;&gt;"Xp")*(AN7&lt;&gt;"Xg"))+((AN7&lt;&gt;"Xn"))=0,"",IF(0+((AN7&lt;&gt;"Xm")*(AN7&lt;&gt;"Xg"))+((AN7&lt;&gt;"Xp")*(AN7&lt;&gt;"Xg"))+((AN7&lt;&gt;"Xn"))=3,AN$3&amp;", ",AN$3&amp;IF((AN7&lt;&gt;"Xm")*(AN7&lt;&gt;"Xg"),"_m","")&amp;IF((AN7&lt;&gt;"Xp")*(AN7&lt;&gt;"Xg"),"_p","")&amp;IF((AN7&lt;&gt;"Xn"),"_n","")&amp;", ")))</f>
        <v xml:space="preserve">SANNA, </v>
      </c>
      <c r="CC7" s="9" t="str">
        <f>IF(0+(AO7="X")&gt;0,"",IF(0+((AO7&lt;&gt;"Xm")*(AO7&lt;&gt;"Xg"))+((AO7&lt;&gt;"Xp")*(AO7&lt;&gt;"Xg"))+((AO7&lt;&gt;"Xn"))=0,"",IF(0+((AO7&lt;&gt;"Xm")*(AO7&lt;&gt;"Xg"))+((AO7&lt;&gt;"Xp")*(AO7&lt;&gt;"Xg"))+((AO7&lt;&gt;"Xn"))=3,AO$3&amp;", ",AO$3&amp;IF((AO7&lt;&gt;"Xm")*(AO7&lt;&gt;"Xg"),"_m","")&amp;IF((AO7&lt;&gt;"Xp")*(AO7&lt;&gt;"Xg"),"_p","")&amp;IF((AO7&lt;&gt;"Xn"),"_n","")&amp;", ")))</f>
        <v xml:space="preserve">LI, </v>
      </c>
      <c r="CD7" s="9" t="n"/>
      <c r="CE7" s="9" t="str">
        <f>IF(0+(AB7="X")&gt;0,"",IF(0+((AB7&lt;&gt;"Xm")*(AB7&lt;&gt;"Xg")*(COUNTIFS($C$3:$Q$3,"MAT",$C7:$Q7,AB$3)=0)*(COUNTIFS($C$3:$Q$3,"NOTTE",$C7:$Q7,AB$3)=0)*(COUNTIFS($C$3:$Q$3,"NOTTE",$C6:$Q6,AB$3)=0))+((AB7&lt;&gt;"Xp")*(AB7&lt;&gt;"Xg")*(COUNTIFS($C$3:$Q$3,"POM",$C7:$Q7,AB$3)=0)*(COUNTIFS($C$3:$Q$3,"NOTTE",$C7:$Q7,AB$3)=0)*(COUNTIFS($C$3:$Q$3,"NOTTE",$C6:$Q6,AB$3)=0))+((AB7&lt;&gt;"Xn")*(COUNTIFS($C$3:$Q$3,"MAT",$C7:$Q7,AB$3)=0)*(COUNTIFS($C$3:$Q$3,"POM",$C7:$Q7,AB$3)=0)*(COUNTIFS($C$3:$Q$3,"NOTTE",$C7:$Q7,AB$3)=0)*(COUNTIFS($C$3:$Q$3,"NOTTE",$C6:$Q6,AB$3)=0))=0,"",IF(0+((AB7&lt;&gt;"Xm")*(AB7&lt;&gt;"Xg")*(COUNTIFS($C$3:$Q$3,"MAT",$C7:$Q7,AB$3)=0)*(COUNTIFS($C$3:$Q$3,"NOTTE",$C7:$Q7,AB$3)=0)*(COUNTIFS($C$3:$Q$3,"NOTTE",$C6:$Q6,AB$3)=0))+((AB7&lt;&gt;"Xp")*(AB7&lt;&gt;"Xg")*(COUNTIFS($C$3:$Q$3,"POM",$C7:$Q7,AB$3)=0)*(COUNTIFS($C$3:$Q$3,"NOTTE",$C7:$Q7,AB$3)=0)*(COUNTIFS($C$3:$Q$3,"NOTTE",$C6:$Q6,AB$3)=0))+((AB7&lt;&gt;"Xn")*(COUNTIFS($C$3:$Q$3,"MAT",$C7:$Q7,AB$3)=0)*(COUNTIFS($C$3:$Q$3,"POM",$C7:$Q7,AB$3)=0)*(COUNTIFS($C$3:$Q$3,"NOTTE",$C7:$Q7,AB$3)=0)*(COUNTIFS($C$3:$Q$3,"NOTTE",$C6:$Q6,AB$3)=0))=3,AB$3&amp;", ",AB$3&amp;IF((AB7&lt;&gt;"Xm")*(AB7&lt;&gt;"Xg")*(COUNTIFS($C$3:$Q$3,"MAT",$C7:$Q7,AB$3)=0)*(COUNTIFS($C$3:$Q$3,"NOTTE",$C7:$Q7,AB$3)=0)*(COUNTIFS($C$3:$Q$3,"NOTTE",$C6:$Q6,AB$3)=0),"_m","")&amp;IF((AB7&lt;&gt;"Xp")*(AB7&lt;&gt;"Xg")*(COUNTIFS($C$3:$Q$3,"POM",$C7:$Q7,AB$3)=0)*(COUNTIFS($C$3:$Q$3,"NOTTE",$C7:$Q7,AB$3)=0)*(COUNTIFS($C$3:$Q$3,"NOTTE",$C6:$Q6,AB$3)=0),"_p","")&amp;IF((AB7&lt;&gt;"Xn")*(COUNTIFS($C$3:$Q$3,"MAT",$C7:$Q7,AB$3)=0)*(COUNTIFS($C$3:$Q$3,"POM",$C7:$Q7,AB$3)=0)*(COUNTIFS($C$3:$Q$3,"NOTTE",$C7:$Q7,AB$3)=0)*(COUNTIFS($C$3:$Q$3,"NOTTE",$C6:$Q6,AB$3)=0),"_n","")&amp;", ")))</f>
        <v xml:space="preserve">LEONI, </v>
      </c>
      <c r="CF7" s="9" t="str">
        <f>IF(0+(AC7="X")&gt;0,"",IF(0+((AC7&lt;&gt;"Xm")*(AC7&lt;&gt;"Xg")*(COUNTIFS($C$3:$Q$3,"MAT",$C7:$Q7,AC$3)=0)*(COUNTIFS($C$3:$Q$3,"NOTTE",$C7:$Q7,AC$3)=0)*(COUNTIFS($C$3:$Q$3,"NOTTE",$C6:$Q6,AC$3)=0))+((AC7&lt;&gt;"Xp")*(AC7&lt;&gt;"Xg")*(COUNTIFS($C$3:$Q$3,"POM",$C7:$Q7,AC$3)=0)*(COUNTIFS($C$3:$Q$3,"NOTTE",$C7:$Q7,AC$3)=0)*(COUNTIFS($C$3:$Q$3,"NOTTE",$C6:$Q6,AC$3)=0))+((AC7&lt;&gt;"Xn")*(COUNTIFS($C$3:$Q$3,"MAT",$C7:$Q7,AC$3)=0)*(COUNTIFS($C$3:$Q$3,"POM",$C7:$Q7,AC$3)=0)*(COUNTIFS($C$3:$Q$3,"NOTTE",$C7:$Q7,AC$3)=0)*(COUNTIFS($C$3:$Q$3,"NOTTE",$C6:$Q6,AC$3)=0))=0,"",IF(0+((AC7&lt;&gt;"Xm")*(AC7&lt;&gt;"Xg")*(COUNTIFS($C$3:$Q$3,"MAT",$C7:$Q7,AC$3)=0)*(COUNTIFS($C$3:$Q$3,"NOTTE",$C7:$Q7,AC$3)=0)*(COUNTIFS($C$3:$Q$3,"NOTTE",$C6:$Q6,AC$3)=0))+((AC7&lt;&gt;"Xp")*(AC7&lt;&gt;"Xg")*(COUNTIFS($C$3:$Q$3,"POM",$C7:$Q7,AC$3)=0)*(COUNTIFS($C$3:$Q$3,"NOTTE",$C7:$Q7,AC$3)=0)*(COUNTIFS($C$3:$Q$3,"NOTTE",$C6:$Q6,AC$3)=0))+((AC7&lt;&gt;"Xn")*(COUNTIFS($C$3:$Q$3,"MAT",$C7:$Q7,AC$3)=0)*(COUNTIFS($C$3:$Q$3,"POM",$C7:$Q7,AC$3)=0)*(COUNTIFS($C$3:$Q$3,"NOTTE",$C7:$Q7,AC$3)=0)*(COUNTIFS($C$3:$Q$3,"NOTTE",$C6:$Q6,AC$3)=0))=3,AC$3&amp;", ",AC$3&amp;IF((AC7&lt;&gt;"Xm")*(AC7&lt;&gt;"Xg")*(COUNTIFS($C$3:$Q$3,"MAT",$C7:$Q7,AC$3)=0)*(COUNTIFS($C$3:$Q$3,"NOTTE",$C7:$Q7,AC$3)=0)*(COUNTIFS($C$3:$Q$3,"NOTTE",$C6:$Q6,AC$3)=0),"_m","")&amp;IF((AC7&lt;&gt;"Xp")*(AC7&lt;&gt;"Xg")*(COUNTIFS($C$3:$Q$3,"POM",$C7:$Q7,AC$3)=0)*(COUNTIFS($C$3:$Q$3,"NOTTE",$C7:$Q7,AC$3)=0)*(COUNTIFS($C$3:$Q$3,"NOTTE",$C6:$Q6,AC$3)=0),"_p","")&amp;IF((AC7&lt;&gt;"Xn")*(COUNTIFS($C$3:$Q$3,"MAT",$C7:$Q7,AC$3)=0)*(COUNTIFS($C$3:$Q$3,"POM",$C7:$Q7,AC$3)=0)*(COUNTIFS($C$3:$Q$3,"NOTTE",$C7:$Q7,AC$3)=0)*(COUNTIFS($C$3:$Q$3,"NOTTE",$C6:$Q6,AC$3)=0),"_n","")&amp;", ")))</f>
        <v xml:space="preserve">ROSSI M, </v>
      </c>
      <c r="CG7" s="9" t="str">
        <f>IF(0+(AD7="X")&gt;0,"",IF(0+((AD7&lt;&gt;"Xm")*(AD7&lt;&gt;"Xg")*(COUNTIFS($C$3:$Q$3,"MAT",$C7:$Q7,AD$3)=0)*(COUNTIFS($C$3:$Q$3,"NOTTE",$C7:$Q7,AD$3)=0)*(COUNTIFS($C$3:$Q$3,"NOTTE",$C6:$Q6,AD$3)=0))+((AD7&lt;&gt;"Xp")*(AD7&lt;&gt;"Xg")*(COUNTIFS($C$3:$Q$3,"POM",$C7:$Q7,AD$3)=0)*(COUNTIFS($C$3:$Q$3,"NOTTE",$C7:$Q7,AD$3)=0)*(COUNTIFS($C$3:$Q$3,"NOTTE",$C6:$Q6,AD$3)=0))+((AD7&lt;&gt;"Xn")*(COUNTIFS($C$3:$Q$3,"MAT",$C7:$Q7,AD$3)=0)*(COUNTIFS($C$3:$Q$3,"POM",$C7:$Q7,AD$3)=0)*(COUNTIFS($C$3:$Q$3,"NOTTE",$C7:$Q7,AD$3)=0)*(COUNTIFS($C$3:$Q$3,"NOTTE",$C6:$Q6,AD$3)=0))=0,"",IF(0+((AD7&lt;&gt;"Xm")*(AD7&lt;&gt;"Xg")*(COUNTIFS($C$3:$Q$3,"MAT",$C7:$Q7,AD$3)=0)*(COUNTIFS($C$3:$Q$3,"NOTTE",$C7:$Q7,AD$3)=0)*(COUNTIFS($C$3:$Q$3,"NOTTE",$C6:$Q6,AD$3)=0))+((AD7&lt;&gt;"Xp")*(AD7&lt;&gt;"Xg")*(COUNTIFS($C$3:$Q$3,"POM",$C7:$Q7,AD$3)=0)*(COUNTIFS($C$3:$Q$3,"NOTTE",$C7:$Q7,AD$3)=0)*(COUNTIFS($C$3:$Q$3,"NOTTE",$C6:$Q6,AD$3)=0))+((AD7&lt;&gt;"Xn")*(COUNTIFS($C$3:$Q$3,"MAT",$C7:$Q7,AD$3)=0)*(COUNTIFS($C$3:$Q$3,"POM",$C7:$Q7,AD$3)=0)*(COUNTIFS($C$3:$Q$3,"NOTTE",$C7:$Q7,AD$3)=0)*(COUNTIFS($C$3:$Q$3,"NOTTE",$C6:$Q6,AD$3)=0))=3,AD$3&amp;", ",AD$3&amp;IF((AD7&lt;&gt;"Xm")*(AD7&lt;&gt;"Xg")*(COUNTIFS($C$3:$Q$3,"MAT",$C7:$Q7,AD$3)=0)*(COUNTIFS($C$3:$Q$3,"NOTTE",$C7:$Q7,AD$3)=0)*(COUNTIFS($C$3:$Q$3,"NOTTE",$C6:$Q6,AD$3)=0),"_m","")&amp;IF((AD7&lt;&gt;"Xp")*(AD7&lt;&gt;"Xg")*(COUNTIFS($C$3:$Q$3,"POM",$C7:$Q7,AD$3)=0)*(COUNTIFS($C$3:$Q$3,"NOTTE",$C7:$Q7,AD$3)=0)*(COUNTIFS($C$3:$Q$3,"NOTTE",$C6:$Q6,AD$3)=0),"_p","")&amp;IF((AD7&lt;&gt;"Xn")*(COUNTIFS($C$3:$Q$3,"MAT",$C7:$Q7,AD$3)=0)*(COUNTIFS($C$3:$Q$3,"POM",$C7:$Q7,AD$3)=0)*(COUNTIFS($C$3:$Q$3,"NOTTE",$C7:$Q7,AD$3)=0)*(COUNTIFS($C$3:$Q$3,"NOTTE",$C6:$Q6,AD$3)=0),"_n","")&amp;", ")))</f>
        <v xml:space="preserve">ROSSI L, </v>
      </c>
      <c r="CH7" s="9" t="str">
        <f>IF(0+(AE7="X")&gt;0,"",IF(0+((AE7&lt;&gt;"Xm")*(AE7&lt;&gt;"Xg")*(COUNTIFS($C$3:$Q$3,"MAT",$C7:$Q7,AE$3)=0)*(COUNTIFS($C$3:$Q$3,"NOTTE",$C7:$Q7,AE$3)=0)*(COUNTIFS($C$3:$Q$3,"NOTTE",$C6:$Q6,AE$3)=0))+((AE7&lt;&gt;"Xp")*(AE7&lt;&gt;"Xg")*(COUNTIFS($C$3:$Q$3,"POM",$C7:$Q7,AE$3)=0)*(COUNTIFS($C$3:$Q$3,"NOTTE",$C7:$Q7,AE$3)=0)*(COUNTIFS($C$3:$Q$3,"NOTTE",$C6:$Q6,AE$3)=0))+((AE7&lt;&gt;"Xn")*(COUNTIFS($C$3:$Q$3,"MAT",$C7:$Q7,AE$3)=0)*(COUNTIFS($C$3:$Q$3,"POM",$C7:$Q7,AE$3)=0)*(COUNTIFS($C$3:$Q$3,"NOTTE",$C7:$Q7,AE$3)=0)*(COUNTIFS($C$3:$Q$3,"NOTTE",$C6:$Q6,AE$3)=0))=0,"",IF(0+((AE7&lt;&gt;"Xm")*(AE7&lt;&gt;"Xg")*(COUNTIFS($C$3:$Q$3,"MAT",$C7:$Q7,AE$3)=0)*(COUNTIFS($C$3:$Q$3,"NOTTE",$C7:$Q7,AE$3)=0)*(COUNTIFS($C$3:$Q$3,"NOTTE",$C6:$Q6,AE$3)=0))+((AE7&lt;&gt;"Xp")*(AE7&lt;&gt;"Xg")*(COUNTIFS($C$3:$Q$3,"POM",$C7:$Q7,AE$3)=0)*(COUNTIFS($C$3:$Q$3,"NOTTE",$C7:$Q7,AE$3)=0)*(COUNTIFS($C$3:$Q$3,"NOTTE",$C6:$Q6,AE$3)=0))+((AE7&lt;&gt;"Xn")*(COUNTIFS($C$3:$Q$3,"MAT",$C7:$Q7,AE$3)=0)*(COUNTIFS($C$3:$Q$3,"POM",$C7:$Q7,AE$3)=0)*(COUNTIFS($C$3:$Q$3,"NOTTE",$C7:$Q7,AE$3)=0)*(COUNTIFS($C$3:$Q$3,"NOTTE",$C6:$Q6,AE$3)=0))=3,AE$3&amp;", ",AE$3&amp;IF((AE7&lt;&gt;"Xm")*(AE7&lt;&gt;"Xg")*(COUNTIFS($C$3:$Q$3,"MAT",$C7:$Q7,AE$3)=0)*(COUNTIFS($C$3:$Q$3,"NOTTE",$C7:$Q7,AE$3)=0)*(COUNTIFS($C$3:$Q$3,"NOTTE",$C6:$Q6,AE$3)=0),"_m","")&amp;IF((AE7&lt;&gt;"Xp")*(AE7&lt;&gt;"Xg")*(COUNTIFS($C$3:$Q$3,"POM",$C7:$Q7,AE$3)=0)*(COUNTIFS($C$3:$Q$3,"NOTTE",$C7:$Q7,AE$3)=0)*(COUNTIFS($C$3:$Q$3,"NOTTE",$C6:$Q6,AE$3)=0),"_p","")&amp;IF((AE7&lt;&gt;"Xn")*(COUNTIFS($C$3:$Q$3,"MAT",$C7:$Q7,AE$3)=0)*(COUNTIFS($C$3:$Q$3,"POM",$C7:$Q7,AE$3)=0)*(COUNTIFS($C$3:$Q$3,"NOTTE",$C7:$Q7,AE$3)=0)*(COUNTIFS($C$3:$Q$3,"NOTTE",$C6:$Q6,AE$3)=0),"_n","")&amp;", ")))</f>
        <v xml:space="preserve">GALLINA, </v>
      </c>
      <c r="CI7" s="9" t="str">
        <f>IF(0+(AF7="X")&gt;0,"",IF(0+((AF7&lt;&gt;"Xm")*(AF7&lt;&gt;"Xg")*(COUNTIFS($C$3:$Q$3,"MAT",$C7:$Q7,AF$3)=0)*(COUNTIFS($C$3:$Q$3,"NOTTE",$C7:$Q7,AF$3)=0)*(COUNTIFS($C$3:$Q$3,"NOTTE",$C6:$Q6,AF$3)=0))+((AF7&lt;&gt;"Xp")*(AF7&lt;&gt;"Xg")*(COUNTIFS($C$3:$Q$3,"POM",$C7:$Q7,AF$3)=0)*(COUNTIFS($C$3:$Q$3,"NOTTE",$C7:$Q7,AF$3)=0)*(COUNTIFS($C$3:$Q$3,"NOTTE",$C6:$Q6,AF$3)=0))+((AF7&lt;&gt;"Xn")*(COUNTIFS($C$3:$Q$3,"MAT",$C7:$Q7,AF$3)=0)*(COUNTIFS($C$3:$Q$3,"POM",$C7:$Q7,AF$3)=0)*(COUNTIFS($C$3:$Q$3,"NOTTE",$C7:$Q7,AF$3)=0)*(COUNTIFS($C$3:$Q$3,"NOTTE",$C6:$Q6,AF$3)=0))=0,"",IF(0+((AF7&lt;&gt;"Xm")*(AF7&lt;&gt;"Xg")*(COUNTIFS($C$3:$Q$3,"MAT",$C7:$Q7,AF$3)=0)*(COUNTIFS($C$3:$Q$3,"NOTTE",$C7:$Q7,AF$3)=0)*(COUNTIFS($C$3:$Q$3,"NOTTE",$C6:$Q6,AF$3)=0))+((AF7&lt;&gt;"Xp")*(AF7&lt;&gt;"Xg")*(COUNTIFS($C$3:$Q$3,"POM",$C7:$Q7,AF$3)=0)*(COUNTIFS($C$3:$Q$3,"NOTTE",$C7:$Q7,AF$3)=0)*(COUNTIFS($C$3:$Q$3,"NOTTE",$C6:$Q6,AF$3)=0))+((AF7&lt;&gt;"Xn")*(COUNTIFS($C$3:$Q$3,"MAT",$C7:$Q7,AF$3)=0)*(COUNTIFS($C$3:$Q$3,"POM",$C7:$Q7,AF$3)=0)*(COUNTIFS($C$3:$Q$3,"NOTTE",$C7:$Q7,AF$3)=0)*(COUNTIFS($C$3:$Q$3,"NOTTE",$C6:$Q6,AF$3)=0))=3,AF$3&amp;", ",AF$3&amp;IF((AF7&lt;&gt;"Xm")*(AF7&lt;&gt;"Xg")*(COUNTIFS($C$3:$Q$3,"MAT",$C7:$Q7,AF$3)=0)*(COUNTIFS($C$3:$Q$3,"NOTTE",$C7:$Q7,AF$3)=0)*(COUNTIFS($C$3:$Q$3,"NOTTE",$C6:$Q6,AF$3)=0),"_m","")&amp;IF((AF7&lt;&gt;"Xp")*(AF7&lt;&gt;"Xg")*(COUNTIFS($C$3:$Q$3,"POM",$C7:$Q7,AF$3)=0)*(COUNTIFS($C$3:$Q$3,"NOTTE",$C7:$Q7,AF$3)=0)*(COUNTIFS($C$3:$Q$3,"NOTTE",$C6:$Q6,AF$3)=0),"_p","")&amp;IF((AF7&lt;&gt;"Xn")*(COUNTIFS($C$3:$Q$3,"MAT",$C7:$Q7,AF$3)=0)*(COUNTIFS($C$3:$Q$3,"POM",$C7:$Q7,AF$3)=0)*(COUNTIFS($C$3:$Q$3,"NOTTE",$C7:$Q7,AF$3)=0)*(COUNTIFS($C$3:$Q$3,"NOTTE",$C6:$Q6,AF$3)=0),"_n","")&amp;", ")))</f>
        <v xml:space="preserve">RUSSO, </v>
      </c>
      <c r="CJ7" s="9" t="str">
        <f>IF(0+(AG7="X")&gt;0,"",IF(0+((AG7&lt;&gt;"Xm")*(AG7&lt;&gt;"Xg")*(COUNTIFS($C$3:$Q$3,"MAT",$C7:$Q7,AG$3)=0)*(COUNTIFS($C$3:$Q$3,"NOTTE",$C7:$Q7,AG$3)=0)*(COUNTIFS($C$3:$Q$3,"NOTTE",$C6:$Q6,AG$3)=0))+((AG7&lt;&gt;"Xp")*(AG7&lt;&gt;"Xg")*(COUNTIFS($C$3:$Q$3,"POM",$C7:$Q7,AG$3)=0)*(COUNTIFS($C$3:$Q$3,"NOTTE",$C7:$Q7,AG$3)=0)*(COUNTIFS($C$3:$Q$3,"NOTTE",$C6:$Q6,AG$3)=0))+((AG7&lt;&gt;"Xn")*(COUNTIFS($C$3:$Q$3,"MAT",$C7:$Q7,AG$3)=0)*(COUNTIFS($C$3:$Q$3,"POM",$C7:$Q7,AG$3)=0)*(COUNTIFS($C$3:$Q$3,"NOTTE",$C7:$Q7,AG$3)=0)*(COUNTIFS($C$3:$Q$3,"NOTTE",$C6:$Q6,AG$3)=0))=0,"",IF(0+((AG7&lt;&gt;"Xm")*(AG7&lt;&gt;"Xg")*(COUNTIFS($C$3:$Q$3,"MAT",$C7:$Q7,AG$3)=0)*(COUNTIFS($C$3:$Q$3,"NOTTE",$C7:$Q7,AG$3)=0)*(COUNTIFS($C$3:$Q$3,"NOTTE",$C6:$Q6,AG$3)=0))+((AG7&lt;&gt;"Xp")*(AG7&lt;&gt;"Xg")*(COUNTIFS($C$3:$Q$3,"POM",$C7:$Q7,AG$3)=0)*(COUNTIFS($C$3:$Q$3,"NOTTE",$C7:$Q7,AG$3)=0)*(COUNTIFS($C$3:$Q$3,"NOTTE",$C6:$Q6,AG$3)=0))+((AG7&lt;&gt;"Xn")*(COUNTIFS($C$3:$Q$3,"MAT",$C7:$Q7,AG$3)=0)*(COUNTIFS($C$3:$Q$3,"POM",$C7:$Q7,AG$3)=0)*(COUNTIFS($C$3:$Q$3,"NOTTE",$C7:$Q7,AG$3)=0)*(COUNTIFS($C$3:$Q$3,"NOTTE",$C6:$Q6,AG$3)=0))=3,AG$3&amp;", ",AG$3&amp;IF((AG7&lt;&gt;"Xm")*(AG7&lt;&gt;"Xg")*(COUNTIFS($C$3:$Q$3,"MAT",$C7:$Q7,AG$3)=0)*(COUNTIFS($C$3:$Q$3,"NOTTE",$C7:$Q7,AG$3)=0)*(COUNTIFS($C$3:$Q$3,"NOTTE",$C6:$Q6,AG$3)=0),"_m","")&amp;IF((AG7&lt;&gt;"Xp")*(AG7&lt;&gt;"Xg")*(COUNTIFS($C$3:$Q$3,"POM",$C7:$Q7,AG$3)=0)*(COUNTIFS($C$3:$Q$3,"NOTTE",$C7:$Q7,AG$3)=0)*(COUNTIFS($C$3:$Q$3,"NOTTE",$C6:$Q6,AG$3)=0),"_p","")&amp;IF((AG7&lt;&gt;"Xn")*(COUNTIFS($C$3:$Q$3,"MAT",$C7:$Q7,AG$3)=0)*(COUNTIFS($C$3:$Q$3,"POM",$C7:$Q7,AG$3)=0)*(COUNTIFS($C$3:$Q$3,"NOTTE",$C7:$Q7,AG$3)=0)*(COUNTIFS($C$3:$Q$3,"NOTTE",$C6:$Q6,AG$3)=0),"_n","")&amp;", ")))</f>
        <v xml:space="preserve">VERDI, </v>
      </c>
      <c r="CK7" s="9" t="str">
        <f>IF(0+(AH7="X")&gt;0,"",IF(0+((AH7&lt;&gt;"Xm")*(AH7&lt;&gt;"Xg")*(COUNTIFS($C$3:$Q$3,"MAT",$C7:$Q7,AH$3)=0)*(COUNTIFS($C$3:$Q$3,"NOTTE",$C7:$Q7,AH$3)=0)*(COUNTIFS($C$3:$Q$3,"NOTTE",$C6:$Q6,AH$3)=0))+((AH7&lt;&gt;"Xp")*(AH7&lt;&gt;"Xg")*(COUNTIFS($C$3:$Q$3,"POM",$C7:$Q7,AH$3)=0)*(COUNTIFS($C$3:$Q$3,"NOTTE",$C7:$Q7,AH$3)=0)*(COUNTIFS($C$3:$Q$3,"NOTTE",$C6:$Q6,AH$3)=0))+((AH7&lt;&gt;"Xn")*(COUNTIFS($C$3:$Q$3,"MAT",$C7:$Q7,AH$3)=0)*(COUNTIFS($C$3:$Q$3,"POM",$C7:$Q7,AH$3)=0)*(COUNTIFS($C$3:$Q$3,"NOTTE",$C7:$Q7,AH$3)=0)*(COUNTIFS($C$3:$Q$3,"NOTTE",$C6:$Q6,AH$3)=0))=0,"",IF(0+((AH7&lt;&gt;"Xm")*(AH7&lt;&gt;"Xg")*(COUNTIFS($C$3:$Q$3,"MAT",$C7:$Q7,AH$3)=0)*(COUNTIFS($C$3:$Q$3,"NOTTE",$C7:$Q7,AH$3)=0)*(COUNTIFS($C$3:$Q$3,"NOTTE",$C6:$Q6,AH$3)=0))+((AH7&lt;&gt;"Xp")*(AH7&lt;&gt;"Xg")*(COUNTIFS($C$3:$Q$3,"POM",$C7:$Q7,AH$3)=0)*(COUNTIFS($C$3:$Q$3,"NOTTE",$C7:$Q7,AH$3)=0)*(COUNTIFS($C$3:$Q$3,"NOTTE",$C6:$Q6,AH$3)=0))+((AH7&lt;&gt;"Xn")*(COUNTIFS($C$3:$Q$3,"MAT",$C7:$Q7,AH$3)=0)*(COUNTIFS($C$3:$Q$3,"POM",$C7:$Q7,AH$3)=0)*(COUNTIFS($C$3:$Q$3,"NOTTE",$C7:$Q7,AH$3)=0)*(COUNTIFS($C$3:$Q$3,"NOTTE",$C6:$Q6,AH$3)=0))=3,AH$3&amp;", ",AH$3&amp;IF((AH7&lt;&gt;"Xm")*(AH7&lt;&gt;"Xg")*(COUNTIFS($C$3:$Q$3,"MAT",$C7:$Q7,AH$3)=0)*(COUNTIFS($C$3:$Q$3,"NOTTE",$C7:$Q7,AH$3)=0)*(COUNTIFS($C$3:$Q$3,"NOTTE",$C6:$Q6,AH$3)=0),"_m","")&amp;IF((AH7&lt;&gt;"Xp")*(AH7&lt;&gt;"Xg")*(COUNTIFS($C$3:$Q$3,"POM",$C7:$Q7,AH$3)=0)*(COUNTIFS($C$3:$Q$3,"NOTTE",$C7:$Q7,AH$3)=0)*(COUNTIFS($C$3:$Q$3,"NOTTE",$C6:$Q6,AH$3)=0),"_p","")&amp;IF((AH7&lt;&gt;"Xn")*(COUNTIFS($C$3:$Q$3,"MAT",$C7:$Q7,AH$3)=0)*(COUNTIFS($C$3:$Q$3,"POM",$C7:$Q7,AH$3)=0)*(COUNTIFS($C$3:$Q$3,"NOTTE",$C7:$Q7,AH$3)=0)*(COUNTIFS($C$3:$Q$3,"NOTTE",$C6:$Q6,AH$3)=0),"_n","")&amp;", ")))</f>
        <v xml:space="preserve">HU, </v>
      </c>
      <c r="CL7" s="9" t="str">
        <f>IF(0+(AI7="X")&gt;0,"",IF(0+((AI7&lt;&gt;"Xm")*(AI7&lt;&gt;"Xg")*(COUNTIFS($C$3:$Q$3,"MAT",$C7:$Q7,AI$3)=0)*(COUNTIFS($C$3:$Q$3,"NOTTE",$C7:$Q7,AI$3)=0)*(COUNTIFS($C$3:$Q$3,"NOTTE",$C6:$Q6,AI$3)=0))+((AI7&lt;&gt;"Xp")*(AI7&lt;&gt;"Xg")*(COUNTIFS($C$3:$Q$3,"POM",$C7:$Q7,AI$3)=0)*(COUNTIFS($C$3:$Q$3,"NOTTE",$C7:$Q7,AI$3)=0)*(COUNTIFS($C$3:$Q$3,"NOTTE",$C6:$Q6,AI$3)=0))+((AI7&lt;&gt;"Xn")*(COUNTIFS($C$3:$Q$3,"MAT",$C7:$Q7,AI$3)=0)*(COUNTIFS($C$3:$Q$3,"POM",$C7:$Q7,AI$3)=0)*(COUNTIFS($C$3:$Q$3,"NOTTE",$C7:$Q7,AI$3)=0)*(COUNTIFS($C$3:$Q$3,"NOTTE",$C6:$Q6,AI$3)=0))=0,"",IF(0+((AI7&lt;&gt;"Xm")*(AI7&lt;&gt;"Xg")*(COUNTIFS($C$3:$Q$3,"MAT",$C7:$Q7,AI$3)=0)*(COUNTIFS($C$3:$Q$3,"NOTTE",$C7:$Q7,AI$3)=0)*(COUNTIFS($C$3:$Q$3,"NOTTE",$C6:$Q6,AI$3)=0))+((AI7&lt;&gt;"Xp")*(AI7&lt;&gt;"Xg")*(COUNTIFS($C$3:$Q$3,"POM",$C7:$Q7,AI$3)=0)*(COUNTIFS($C$3:$Q$3,"NOTTE",$C7:$Q7,AI$3)=0)*(COUNTIFS($C$3:$Q$3,"NOTTE",$C6:$Q6,AI$3)=0))+((AI7&lt;&gt;"Xn")*(COUNTIFS($C$3:$Q$3,"MAT",$C7:$Q7,AI$3)=0)*(COUNTIFS($C$3:$Q$3,"POM",$C7:$Q7,AI$3)=0)*(COUNTIFS($C$3:$Q$3,"NOTTE",$C7:$Q7,AI$3)=0)*(COUNTIFS($C$3:$Q$3,"NOTTE",$C6:$Q6,AI$3)=0))=3,AI$3&amp;", ",AI$3&amp;IF((AI7&lt;&gt;"Xm")*(AI7&lt;&gt;"Xg")*(COUNTIFS($C$3:$Q$3,"MAT",$C7:$Q7,AI$3)=0)*(COUNTIFS($C$3:$Q$3,"NOTTE",$C7:$Q7,AI$3)=0)*(COUNTIFS($C$3:$Q$3,"NOTTE",$C6:$Q6,AI$3)=0),"_m","")&amp;IF((AI7&lt;&gt;"Xp")*(AI7&lt;&gt;"Xg")*(COUNTIFS($C$3:$Q$3,"POM",$C7:$Q7,AI$3)=0)*(COUNTIFS($C$3:$Q$3,"NOTTE",$C7:$Q7,AI$3)=0)*(COUNTIFS($C$3:$Q$3,"NOTTE",$C6:$Q6,AI$3)=0),"_p","")&amp;IF((AI7&lt;&gt;"Xn")*(COUNTIFS($C$3:$Q$3,"MAT",$C7:$Q7,AI$3)=0)*(COUNTIFS($C$3:$Q$3,"POM",$C7:$Q7,AI$3)=0)*(COUNTIFS($C$3:$Q$3,"NOTTE",$C7:$Q7,AI$3)=0)*(COUNTIFS($C$3:$Q$3,"NOTTE",$C6:$Q6,AI$3)=0),"_n","")&amp;", ")))</f>
        <v xml:space="preserve">MARINI, </v>
      </c>
      <c r="CM7" s="9" t="str">
        <f>IF(0+(AJ7="X")&gt;0,"",IF(0+((AJ7&lt;&gt;"Xm")*(AJ7&lt;&gt;"Xg")*(COUNTIFS($C$3:$Q$3,"MAT",$C7:$Q7,AJ$3)=0)*(COUNTIFS($C$3:$Q$3,"NOTTE",$C7:$Q7,AJ$3)=0)*(COUNTIFS($C$3:$Q$3,"NOTTE",$C6:$Q6,AJ$3)=0))+((AJ7&lt;&gt;"Xp")*(AJ7&lt;&gt;"Xg")*(COUNTIFS($C$3:$Q$3,"POM",$C7:$Q7,AJ$3)=0)*(COUNTIFS($C$3:$Q$3,"NOTTE",$C7:$Q7,AJ$3)=0)*(COUNTIFS($C$3:$Q$3,"NOTTE",$C6:$Q6,AJ$3)=0))+((AJ7&lt;&gt;"Xn")*(COUNTIFS($C$3:$Q$3,"MAT",$C7:$Q7,AJ$3)=0)*(COUNTIFS($C$3:$Q$3,"POM",$C7:$Q7,AJ$3)=0)*(COUNTIFS($C$3:$Q$3,"NOTTE",$C7:$Q7,AJ$3)=0)*(COUNTIFS($C$3:$Q$3,"NOTTE",$C6:$Q6,AJ$3)=0))=0,"",IF(0+((AJ7&lt;&gt;"Xm")*(AJ7&lt;&gt;"Xg")*(COUNTIFS($C$3:$Q$3,"MAT",$C7:$Q7,AJ$3)=0)*(COUNTIFS($C$3:$Q$3,"NOTTE",$C7:$Q7,AJ$3)=0)*(COUNTIFS($C$3:$Q$3,"NOTTE",$C6:$Q6,AJ$3)=0))+((AJ7&lt;&gt;"Xp")*(AJ7&lt;&gt;"Xg")*(COUNTIFS($C$3:$Q$3,"POM",$C7:$Q7,AJ$3)=0)*(COUNTIFS($C$3:$Q$3,"NOTTE",$C7:$Q7,AJ$3)=0)*(COUNTIFS($C$3:$Q$3,"NOTTE",$C6:$Q6,AJ$3)=0))+((AJ7&lt;&gt;"Xn")*(COUNTIFS($C$3:$Q$3,"MAT",$C7:$Q7,AJ$3)=0)*(COUNTIFS($C$3:$Q$3,"POM",$C7:$Q7,AJ$3)=0)*(COUNTIFS($C$3:$Q$3,"NOTTE",$C7:$Q7,AJ$3)=0)*(COUNTIFS($C$3:$Q$3,"NOTTE",$C6:$Q6,AJ$3)=0))=3,AJ$3&amp;", ",AJ$3&amp;IF((AJ7&lt;&gt;"Xm")*(AJ7&lt;&gt;"Xg")*(COUNTIFS($C$3:$Q$3,"MAT",$C7:$Q7,AJ$3)=0)*(COUNTIFS($C$3:$Q$3,"NOTTE",$C7:$Q7,AJ$3)=0)*(COUNTIFS($C$3:$Q$3,"NOTTE",$C6:$Q6,AJ$3)=0),"_m","")&amp;IF((AJ7&lt;&gt;"Xp")*(AJ7&lt;&gt;"Xg")*(COUNTIFS($C$3:$Q$3,"POM",$C7:$Q7,AJ$3)=0)*(COUNTIFS($C$3:$Q$3,"NOTTE",$C7:$Q7,AJ$3)=0)*(COUNTIFS($C$3:$Q$3,"NOTTE",$C6:$Q6,AJ$3)=0),"_p","")&amp;IF((AJ7&lt;&gt;"Xn")*(COUNTIFS($C$3:$Q$3,"MAT",$C7:$Q7,AJ$3)=0)*(COUNTIFS($C$3:$Q$3,"POM",$C7:$Q7,AJ$3)=0)*(COUNTIFS($C$3:$Q$3,"NOTTE",$C7:$Q7,AJ$3)=0)*(COUNTIFS($C$3:$Q$3,"NOTTE",$C6:$Q6,AJ$3)=0),"_n","")&amp;", ")))</f>
        <v xml:space="preserve">CONTI A, </v>
      </c>
      <c r="CN7" s="9" t="str">
        <f>IF(0+(AK7="X")&gt;0,"",IF(0+((AK7&lt;&gt;"Xm")*(AK7&lt;&gt;"Xg")*(COUNTIFS($C$3:$Q$3,"MAT",$C7:$Q7,AK$3)=0)*(COUNTIFS($C$3:$Q$3,"NOTTE",$C7:$Q7,AK$3)=0)*(COUNTIFS($C$3:$Q$3,"NOTTE",$C6:$Q6,AK$3)=0))+((AK7&lt;&gt;"Xp")*(AK7&lt;&gt;"Xg")*(COUNTIFS($C$3:$Q$3,"POM",$C7:$Q7,AK$3)=0)*(COUNTIFS($C$3:$Q$3,"NOTTE",$C7:$Q7,AK$3)=0)*(COUNTIFS($C$3:$Q$3,"NOTTE",$C6:$Q6,AK$3)=0))+((AK7&lt;&gt;"Xn")*(COUNTIFS($C$3:$Q$3,"MAT",$C7:$Q7,AK$3)=0)*(COUNTIFS($C$3:$Q$3,"POM",$C7:$Q7,AK$3)=0)*(COUNTIFS($C$3:$Q$3,"NOTTE",$C7:$Q7,AK$3)=0)*(COUNTIFS($C$3:$Q$3,"NOTTE",$C6:$Q6,AK$3)=0))=0,"",IF(0+((AK7&lt;&gt;"Xm")*(AK7&lt;&gt;"Xg")*(COUNTIFS($C$3:$Q$3,"MAT",$C7:$Q7,AK$3)=0)*(COUNTIFS($C$3:$Q$3,"NOTTE",$C7:$Q7,AK$3)=0)*(COUNTIFS($C$3:$Q$3,"NOTTE",$C6:$Q6,AK$3)=0))+((AK7&lt;&gt;"Xp")*(AK7&lt;&gt;"Xg")*(COUNTIFS($C$3:$Q$3,"POM",$C7:$Q7,AK$3)=0)*(COUNTIFS($C$3:$Q$3,"NOTTE",$C7:$Q7,AK$3)=0)*(COUNTIFS($C$3:$Q$3,"NOTTE",$C6:$Q6,AK$3)=0))+((AK7&lt;&gt;"Xn")*(COUNTIFS($C$3:$Q$3,"MAT",$C7:$Q7,AK$3)=0)*(COUNTIFS($C$3:$Q$3,"POM",$C7:$Q7,AK$3)=0)*(COUNTIFS($C$3:$Q$3,"NOTTE",$C7:$Q7,AK$3)=0)*(COUNTIFS($C$3:$Q$3,"NOTTE",$C6:$Q6,AK$3)=0))=3,AK$3&amp;", ",AK$3&amp;IF((AK7&lt;&gt;"Xm")*(AK7&lt;&gt;"Xg")*(COUNTIFS($C$3:$Q$3,"MAT",$C7:$Q7,AK$3)=0)*(COUNTIFS($C$3:$Q$3,"NOTTE",$C7:$Q7,AK$3)=0)*(COUNTIFS($C$3:$Q$3,"NOTTE",$C6:$Q6,AK$3)=0),"_m","")&amp;IF((AK7&lt;&gt;"Xp")*(AK7&lt;&gt;"Xg")*(COUNTIFS($C$3:$Q$3,"POM",$C7:$Q7,AK$3)=0)*(COUNTIFS($C$3:$Q$3,"NOTTE",$C7:$Q7,AK$3)=0)*(COUNTIFS($C$3:$Q$3,"NOTTE",$C6:$Q6,AK$3)=0),"_p","")&amp;IF((AK7&lt;&gt;"Xn")*(COUNTIFS($C$3:$Q$3,"MAT",$C7:$Q7,AK$3)=0)*(COUNTIFS($C$3:$Q$3,"POM",$C7:$Q7,AK$3)=0)*(COUNTIFS($C$3:$Q$3,"NOTTE",$C7:$Q7,AK$3)=0)*(COUNTIFS($C$3:$Q$3,"NOTTE",$C6:$Q6,AK$3)=0),"_n","")&amp;", ")))</f>
        <v xml:space="preserve">CONTI S, </v>
      </c>
      <c r="CO7" s="9" t="str">
        <f>IF(0+(AL7="X")&gt;0,"",IF(0+((AL7&lt;&gt;"Xm")*(AL7&lt;&gt;"Xg")*(COUNTIFS($C$3:$Q$3,"MAT",$C7:$Q7,AL$3)=0)*(COUNTIFS($C$3:$Q$3,"NOTTE",$C7:$Q7,AL$3)=0)*(COUNTIFS($C$3:$Q$3,"NOTTE",$C6:$Q6,AL$3)=0))+((AL7&lt;&gt;"Xp")*(AL7&lt;&gt;"Xg")*(COUNTIFS($C$3:$Q$3,"POM",$C7:$Q7,AL$3)=0)*(COUNTIFS($C$3:$Q$3,"NOTTE",$C7:$Q7,AL$3)=0)*(COUNTIFS($C$3:$Q$3,"NOTTE",$C6:$Q6,AL$3)=0))+((AL7&lt;&gt;"Xn")*(COUNTIFS($C$3:$Q$3,"MAT",$C7:$Q7,AL$3)=0)*(COUNTIFS($C$3:$Q$3,"POM",$C7:$Q7,AL$3)=0)*(COUNTIFS($C$3:$Q$3,"NOTTE",$C7:$Q7,AL$3)=0)*(COUNTIFS($C$3:$Q$3,"NOTTE",$C6:$Q6,AL$3)=0))=0,"",IF(0+((AL7&lt;&gt;"Xm")*(AL7&lt;&gt;"Xg")*(COUNTIFS($C$3:$Q$3,"MAT",$C7:$Q7,AL$3)=0)*(COUNTIFS($C$3:$Q$3,"NOTTE",$C7:$Q7,AL$3)=0)*(COUNTIFS($C$3:$Q$3,"NOTTE",$C6:$Q6,AL$3)=0))+((AL7&lt;&gt;"Xp")*(AL7&lt;&gt;"Xg")*(COUNTIFS($C$3:$Q$3,"POM",$C7:$Q7,AL$3)=0)*(COUNTIFS($C$3:$Q$3,"NOTTE",$C7:$Q7,AL$3)=0)*(COUNTIFS($C$3:$Q$3,"NOTTE",$C6:$Q6,AL$3)=0))+((AL7&lt;&gt;"Xn")*(COUNTIFS($C$3:$Q$3,"MAT",$C7:$Q7,AL$3)=0)*(COUNTIFS($C$3:$Q$3,"POM",$C7:$Q7,AL$3)=0)*(COUNTIFS($C$3:$Q$3,"NOTTE",$C7:$Q7,AL$3)=0)*(COUNTIFS($C$3:$Q$3,"NOTTE",$C6:$Q6,AL$3)=0))=3,AL$3&amp;", ",AL$3&amp;IF((AL7&lt;&gt;"Xm")*(AL7&lt;&gt;"Xg")*(COUNTIFS($C$3:$Q$3,"MAT",$C7:$Q7,AL$3)=0)*(COUNTIFS($C$3:$Q$3,"NOTTE",$C7:$Q7,AL$3)=0)*(COUNTIFS($C$3:$Q$3,"NOTTE",$C6:$Q6,AL$3)=0),"_m","")&amp;IF((AL7&lt;&gt;"Xp")*(AL7&lt;&gt;"Xg")*(COUNTIFS($C$3:$Q$3,"POM",$C7:$Q7,AL$3)=0)*(COUNTIFS($C$3:$Q$3,"NOTTE",$C7:$Q7,AL$3)=0)*(COUNTIFS($C$3:$Q$3,"NOTTE",$C6:$Q6,AL$3)=0),"_p","")&amp;IF((AL7&lt;&gt;"Xn")*(COUNTIFS($C$3:$Q$3,"MAT",$C7:$Q7,AL$3)=0)*(COUNTIFS($C$3:$Q$3,"POM",$C7:$Q7,AL$3)=0)*(COUNTIFS($C$3:$Q$3,"NOTTE",$C7:$Q7,AL$3)=0)*(COUNTIFS($C$3:$Q$3,"NOTTE",$C6:$Q6,AL$3)=0),"_n","")&amp;", ")))</f>
        <v xml:space="preserve">FERRARI, </v>
      </c>
      <c r="CP7" s="9" t="str">
        <f>IF(0+(AM7="X")&gt;0,"",IF(0+((AM7&lt;&gt;"Xm")*(AM7&lt;&gt;"Xg")*(COUNTIFS($C$3:$Q$3,"MAT",$C7:$Q7,AM$3)=0)*(COUNTIFS($C$3:$Q$3,"NOTTE",$C7:$Q7,AM$3)=0)*(COUNTIFS($C$3:$Q$3,"NOTTE",$C6:$Q6,AM$3)=0))+((AM7&lt;&gt;"Xp")*(AM7&lt;&gt;"Xg")*(COUNTIFS($C$3:$Q$3,"POM",$C7:$Q7,AM$3)=0)*(COUNTIFS($C$3:$Q$3,"NOTTE",$C7:$Q7,AM$3)=0)*(COUNTIFS($C$3:$Q$3,"NOTTE",$C6:$Q6,AM$3)=0))+((AM7&lt;&gt;"Xn")*(COUNTIFS($C$3:$Q$3,"MAT",$C7:$Q7,AM$3)=0)*(COUNTIFS($C$3:$Q$3,"POM",$C7:$Q7,AM$3)=0)*(COUNTIFS($C$3:$Q$3,"NOTTE",$C7:$Q7,AM$3)=0)*(COUNTIFS($C$3:$Q$3,"NOTTE",$C6:$Q6,AM$3)=0))=0,"",IF(0+((AM7&lt;&gt;"Xm")*(AM7&lt;&gt;"Xg")*(COUNTIFS($C$3:$Q$3,"MAT",$C7:$Q7,AM$3)=0)*(COUNTIFS($C$3:$Q$3,"NOTTE",$C7:$Q7,AM$3)=0)*(COUNTIFS($C$3:$Q$3,"NOTTE",$C6:$Q6,AM$3)=0))+((AM7&lt;&gt;"Xp")*(AM7&lt;&gt;"Xg")*(COUNTIFS($C$3:$Q$3,"POM",$C7:$Q7,AM$3)=0)*(COUNTIFS($C$3:$Q$3,"NOTTE",$C7:$Q7,AM$3)=0)*(COUNTIFS($C$3:$Q$3,"NOTTE",$C6:$Q6,AM$3)=0))+((AM7&lt;&gt;"Xn")*(COUNTIFS($C$3:$Q$3,"MAT",$C7:$Q7,AM$3)=0)*(COUNTIFS($C$3:$Q$3,"POM",$C7:$Q7,AM$3)=0)*(COUNTIFS($C$3:$Q$3,"NOTTE",$C7:$Q7,AM$3)=0)*(COUNTIFS($C$3:$Q$3,"NOTTE",$C6:$Q6,AM$3)=0))=3,AM$3&amp;", ",AM$3&amp;IF((AM7&lt;&gt;"Xm")*(AM7&lt;&gt;"Xg")*(COUNTIFS($C$3:$Q$3,"MAT",$C7:$Q7,AM$3)=0)*(COUNTIFS($C$3:$Q$3,"NOTTE",$C7:$Q7,AM$3)=0)*(COUNTIFS($C$3:$Q$3,"NOTTE",$C6:$Q6,AM$3)=0),"_m","")&amp;IF((AM7&lt;&gt;"Xp")*(AM7&lt;&gt;"Xg")*(COUNTIFS($C$3:$Q$3,"POM",$C7:$Q7,AM$3)=0)*(COUNTIFS($C$3:$Q$3,"NOTTE",$C7:$Q7,AM$3)=0)*(COUNTIFS($C$3:$Q$3,"NOTTE",$C6:$Q6,AM$3)=0),"_p","")&amp;IF((AM7&lt;&gt;"Xn")*(COUNTIFS($C$3:$Q$3,"MAT",$C7:$Q7,AM$3)=0)*(COUNTIFS($C$3:$Q$3,"POM",$C7:$Q7,AM$3)=0)*(COUNTIFS($C$3:$Q$3,"NOTTE",$C7:$Q7,AM$3)=0)*(COUNTIFS($C$3:$Q$3,"NOTTE",$C6:$Q6,AM$3)=0),"_n","")&amp;", ")))</f>
        <v xml:space="preserve">GRECO, </v>
      </c>
      <c r="CQ7" s="9" t="str">
        <f>IF(0+(AN7="X")&gt;0,"",IF(0+((AN7&lt;&gt;"Xm")*(AN7&lt;&gt;"Xg")*(COUNTIFS($C$3:$Q$3,"MAT",$C7:$Q7,AN$3)=0)*(COUNTIFS($C$3:$Q$3,"NOTTE",$C7:$Q7,AN$3)=0)*(COUNTIFS($C$3:$Q$3,"NOTTE",$C6:$Q6,AN$3)=0))+((AN7&lt;&gt;"Xp")*(AN7&lt;&gt;"Xg")*(COUNTIFS($C$3:$Q$3,"POM",$C7:$Q7,AN$3)=0)*(COUNTIFS($C$3:$Q$3,"NOTTE",$C7:$Q7,AN$3)=0)*(COUNTIFS($C$3:$Q$3,"NOTTE",$C6:$Q6,AN$3)=0))+((AN7&lt;&gt;"Xn")*(COUNTIFS($C$3:$Q$3,"MAT",$C7:$Q7,AN$3)=0)*(COUNTIFS($C$3:$Q$3,"POM",$C7:$Q7,AN$3)=0)*(COUNTIFS($C$3:$Q$3,"NOTTE",$C7:$Q7,AN$3)=0)*(COUNTIFS($C$3:$Q$3,"NOTTE",$C6:$Q6,AN$3)=0))=0,"",IF(0+((AN7&lt;&gt;"Xm")*(AN7&lt;&gt;"Xg")*(COUNTIFS($C$3:$Q$3,"MAT",$C7:$Q7,AN$3)=0)*(COUNTIFS($C$3:$Q$3,"NOTTE",$C7:$Q7,AN$3)=0)*(COUNTIFS($C$3:$Q$3,"NOTTE",$C6:$Q6,AN$3)=0))+((AN7&lt;&gt;"Xp")*(AN7&lt;&gt;"Xg")*(COUNTIFS($C$3:$Q$3,"POM",$C7:$Q7,AN$3)=0)*(COUNTIFS($C$3:$Q$3,"NOTTE",$C7:$Q7,AN$3)=0)*(COUNTIFS($C$3:$Q$3,"NOTTE",$C6:$Q6,AN$3)=0))+((AN7&lt;&gt;"Xn")*(COUNTIFS($C$3:$Q$3,"MAT",$C7:$Q7,AN$3)=0)*(COUNTIFS($C$3:$Q$3,"POM",$C7:$Q7,AN$3)=0)*(COUNTIFS($C$3:$Q$3,"NOTTE",$C7:$Q7,AN$3)=0)*(COUNTIFS($C$3:$Q$3,"NOTTE",$C6:$Q6,AN$3)=0))=3,AN$3&amp;", ",AN$3&amp;IF((AN7&lt;&gt;"Xm")*(AN7&lt;&gt;"Xg")*(COUNTIFS($C$3:$Q$3,"MAT",$C7:$Q7,AN$3)=0)*(COUNTIFS($C$3:$Q$3,"NOTTE",$C7:$Q7,AN$3)=0)*(COUNTIFS($C$3:$Q$3,"NOTTE",$C6:$Q6,AN$3)=0),"_m","")&amp;IF((AN7&lt;&gt;"Xp")*(AN7&lt;&gt;"Xg")*(COUNTIFS($C$3:$Q$3,"POM",$C7:$Q7,AN$3)=0)*(COUNTIFS($C$3:$Q$3,"NOTTE",$C7:$Q7,AN$3)=0)*(COUNTIFS($C$3:$Q$3,"NOTTE",$C6:$Q6,AN$3)=0),"_p","")&amp;IF((AN7&lt;&gt;"Xn")*(COUNTIFS($C$3:$Q$3,"MAT",$C7:$Q7,AN$3)=0)*(COUNTIFS($C$3:$Q$3,"POM",$C7:$Q7,AN$3)=0)*(COUNTIFS($C$3:$Q$3,"NOTTE",$C7:$Q7,AN$3)=0)*(COUNTIFS($C$3:$Q$3,"NOTTE",$C6:$Q6,AN$3)=0),"_n","")&amp;", ")))</f>
        <v xml:space="preserve">SANNA, </v>
      </c>
      <c r="CR7" s="9" t="str">
        <f>IF(0+(AO7="X")&gt;0,"",IF(0+((AO7&lt;&gt;"Xm")*(AO7&lt;&gt;"Xg")*(COUNTIFS($C$3:$Q$3,"MAT",$C7:$Q7,AO$3)=0)*(COUNTIFS($C$3:$Q$3,"NOTTE",$C7:$Q7,AO$3)=0)*(COUNTIFS($C$3:$Q$3,"NOTTE",$C6:$Q6,AO$3)=0))+((AO7&lt;&gt;"Xp")*(AO7&lt;&gt;"Xg")*(COUNTIFS($C$3:$Q$3,"POM",$C7:$Q7,AO$3)=0)*(COUNTIFS($C$3:$Q$3,"NOTTE",$C7:$Q7,AO$3)=0)*(COUNTIFS($C$3:$Q$3,"NOTTE",$C6:$Q6,AO$3)=0))+((AO7&lt;&gt;"Xn")*(COUNTIFS($C$3:$Q$3,"MAT",$C7:$Q7,AO$3)=0)*(COUNTIFS($C$3:$Q$3,"POM",$C7:$Q7,AO$3)=0)*(COUNTIFS($C$3:$Q$3,"NOTTE",$C7:$Q7,AO$3)=0)*(COUNTIFS($C$3:$Q$3,"NOTTE",$C6:$Q6,AO$3)=0))=0,"",IF(0+((AO7&lt;&gt;"Xm")*(AO7&lt;&gt;"Xg")*(COUNTIFS($C$3:$Q$3,"MAT",$C7:$Q7,AO$3)=0)*(COUNTIFS($C$3:$Q$3,"NOTTE",$C7:$Q7,AO$3)=0)*(COUNTIFS($C$3:$Q$3,"NOTTE",$C6:$Q6,AO$3)=0))+((AO7&lt;&gt;"Xp")*(AO7&lt;&gt;"Xg")*(COUNTIFS($C$3:$Q$3,"POM",$C7:$Q7,AO$3)=0)*(COUNTIFS($C$3:$Q$3,"NOTTE",$C7:$Q7,AO$3)=0)*(COUNTIFS($C$3:$Q$3,"NOTTE",$C6:$Q6,AO$3)=0))+((AO7&lt;&gt;"Xn")*(COUNTIFS($C$3:$Q$3,"MAT",$C7:$Q7,AO$3)=0)*(COUNTIFS($C$3:$Q$3,"POM",$C7:$Q7,AO$3)=0)*(COUNTIFS($C$3:$Q$3,"NOTTE",$C7:$Q7,AO$3)=0)*(COUNTIFS($C$3:$Q$3,"NOTTE",$C6:$Q6,AO$3)=0))=3,AO$3&amp;", ",AO$3&amp;IF((AO7&lt;&gt;"Xm")*(AO7&lt;&gt;"Xg")*(COUNTIFS($C$3:$Q$3,"MAT",$C7:$Q7,AO$3)=0)*(COUNTIFS($C$3:$Q$3,"NOTTE",$C7:$Q7,AO$3)=0)*(COUNTIFS($C$3:$Q$3,"NOTTE",$C6:$Q6,AO$3)=0),"_m","")&amp;IF((AO7&lt;&gt;"Xp")*(AO7&lt;&gt;"Xg")*(COUNTIFS($C$3:$Q$3,"POM",$C7:$Q7,AO$3)=0)*(COUNTIFS($C$3:$Q$3,"NOTTE",$C7:$Q7,AO$3)=0)*(COUNTIFS($C$3:$Q$3,"NOTTE",$C6:$Q6,AO$3)=0),"_p","")&amp;IF((AO7&lt;&gt;"Xn")*(COUNTIFS($C$3:$Q$3,"MAT",$C7:$Q7,AO$3)=0)*(COUNTIFS($C$3:$Q$3,"POM",$C7:$Q7,AO$3)=0)*(COUNTIFS($C$3:$Q$3,"NOTTE",$C7:$Q7,AO$3)=0)*(COUNTIFS($C$3:$Q$3,"NOTTE",$C6:$Q6,AO$3)=0),"_n","")&amp;", ")))</f>
        <v xml:space="preserve">LI, </v>
      </c>
    </row>
    <row r="8">
      <c r="A8" s="10" t="str">
        <f>CHOOSE(WEEKDAY(DATE($B$1,$A$2,B8),2),"lunedì","martedì","mercoledì","giovedì","venerdì","sabato","domenica")</f>
        <v>giovedì</v>
      </c>
      <c r="B8" s="10" t="n">
        <v>5</v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4" t="n"/>
      <c r="M8" s="11" t="n"/>
      <c r="N8" s="11" t="n"/>
      <c r="O8" s="11" t="n"/>
      <c r="P8" s="4" t="n"/>
      <c r="Q8" s="11" t="n"/>
      <c r="R8" s="11" t="n"/>
      <c r="S8" s="11">
        <f>IF(SUMPRODUCT(($C$3:$Q$3&lt;&gt;"")*($C8:$Q8&lt;&gt;"")*(LEFT($C8:$Q8,6)&lt;&gt;"chiuso")*(COUNTIFS($C8:$Q8,$C8:$Q8,$C$3:$Q$3,$C$3:$Q$3)&gt;1))&gt;0,"X","")</f>
      </c>
      <c r="T8" s="11" t="str">
        <f>IF(LEN(BP8&amp;BQ8&amp;BR8&amp;BS8&amp;BT8&amp;BU8&amp;BV8&amp;BW8&amp;BX8&amp;BY8&amp;BZ8&amp;CA8&amp;CB8&amp;CC8)=0,"",LEFT(BP8&amp;BQ8&amp;BR8&amp;BS8&amp;BT8&amp;BU8&amp;BV8&amp;BW8&amp;BX8&amp;BY8&amp;BZ8&amp;CA8&amp;CB8&amp;CC8,LEN(BP8&amp;BQ8&amp;BR8&amp;BS8&amp;BT8&amp;BU8&amp;BV8&amp;BW8&amp;BX8&amp;BY8&amp;BZ8&amp;CA8&amp;CB8&amp;CC8)-2))</f>
        <v>LEONI, ROSSI M, ROSSI L, GALLINA, RUSSO, VERDI, HU, MARINI, CONTI A, CONTI S, FERRARI, GRECO, SANNA, LI</v>
      </c>
      <c r="U8" s="11" t="str">
        <f>IF(LEN(CE8&amp;CF8&amp;CG8&amp;CH8&amp;CI8&amp;CJ8&amp;CK8&amp;CL8&amp;CM8&amp;CN8&amp;CO8&amp;CP8&amp;CQ8&amp;CR8)=0,"",LEFT(CE8&amp;CF8&amp;CG8&amp;CH8&amp;CI8&amp;CJ8&amp;CK8&amp;CL8&amp;CM8&amp;CN8&amp;CO8&amp;CP8&amp;CQ8&amp;CR8,LEN(CE8&amp;CF8&amp;CG8&amp;CH8&amp;CI8&amp;CJ8&amp;CK8&amp;CL8&amp;CM8&amp;CN8&amp;CO8&amp;CP8&amp;CQ8&amp;CR8)-2))</f>
        <v>LEONI, ROSSI M, ROSSI L, GALLINA, RUSSO, VERDI, HU, MARINI, CONTI A, CONTI S, FERRARI, GRECO, SANNA, LI</v>
      </c>
      <c r="Z8" s="10" t="str">
        <f>A8</f>
        <v>giovedì</v>
      </c>
      <c r="AA8" s="10">
        <f>B8</f>
        <v>5</v>
      </c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Q8" s="5" t="inlineStr">
        <is>
          <t>Xn</t>
        </is>
      </c>
      <c r="AR8" s="6" t="inlineStr">
        <is>
          <t>non disponibile la notte</t>
        </is>
      </c>
      <c r="AT8" s="7" t="str">
        <f>AF$3</f>
        <v>RUSSO</v>
      </c>
      <c r="AU8" s="7">
        <f>COUNTIF($C$4:$D$33,$AT8)</f>
        <v>0</v>
      </c>
      <c r="AV8" s="7">
        <f>COUNTIF($E$4:$F$33,$AT8)</f>
        <v>0</v>
      </c>
      <c r="AW8" s="7">
        <f>COUNTIF($G$4:$H$33,$AT8)</f>
        <v>0</v>
      </c>
      <c r="AX8" s="7">
        <f>COUNTIF($I$4:$J$33,$AT8)</f>
        <v>0</v>
      </c>
      <c r="AY8" s="7">
        <f>COUNTIF($K$4:$K$33,$AT8)</f>
        <v>0</v>
      </c>
      <c r="AZ8" s="7">
        <f>COUNTIF($L$4:$L$33,$AT8)</f>
        <v>0</v>
      </c>
      <c r="BA8" s="7">
        <f>COUNTIF($M$4:$M$33,$AT8)</f>
        <v>0</v>
      </c>
      <c r="BB8" s="7">
        <f>COUNTIF($N$4:$Q$33,$AT8)</f>
        <v>0</v>
      </c>
      <c r="BC8" s="7">
        <f>COUNTIF($C$4:$Q$33,$AT8)</f>
        <v>0</v>
      </c>
      <c r="BE8" s="8" t="str">
        <f>AF$3</f>
        <v>RUSSO</v>
      </c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P8" s="9" t="str">
        <f>IF(0+(AB8="X")&gt;0,"",IF(0+((AB8&lt;&gt;"Xm")*(AB8&lt;&gt;"Xg"))+((AB8&lt;&gt;"Xp")*(AB8&lt;&gt;"Xg"))+((AB8&lt;&gt;"Xn"))=0,"",IF(0+((AB8&lt;&gt;"Xm")*(AB8&lt;&gt;"Xg"))+((AB8&lt;&gt;"Xp")*(AB8&lt;&gt;"Xg"))+((AB8&lt;&gt;"Xn"))=3,AB$3&amp;", ",AB$3&amp;IF((AB8&lt;&gt;"Xm")*(AB8&lt;&gt;"Xg"),"_m","")&amp;IF((AB8&lt;&gt;"Xp")*(AB8&lt;&gt;"Xg"),"_p","")&amp;IF((AB8&lt;&gt;"Xn"),"_n","")&amp;", ")))</f>
        <v xml:space="preserve">LEONI, </v>
      </c>
      <c r="BQ8" s="9" t="str">
        <f>IF(0+(AC8="X")&gt;0,"",IF(0+((AC8&lt;&gt;"Xm")*(AC8&lt;&gt;"Xg"))+((AC8&lt;&gt;"Xp")*(AC8&lt;&gt;"Xg"))+((AC8&lt;&gt;"Xn"))=0,"",IF(0+((AC8&lt;&gt;"Xm")*(AC8&lt;&gt;"Xg"))+((AC8&lt;&gt;"Xp")*(AC8&lt;&gt;"Xg"))+((AC8&lt;&gt;"Xn"))=3,AC$3&amp;", ",AC$3&amp;IF((AC8&lt;&gt;"Xm")*(AC8&lt;&gt;"Xg"),"_m","")&amp;IF((AC8&lt;&gt;"Xp")*(AC8&lt;&gt;"Xg"),"_p","")&amp;IF((AC8&lt;&gt;"Xn"),"_n","")&amp;", ")))</f>
        <v xml:space="preserve">ROSSI M, </v>
      </c>
      <c r="BR8" s="9" t="str">
        <f>IF(0+(AD8="X")&gt;0,"",IF(0+((AD8&lt;&gt;"Xm")*(AD8&lt;&gt;"Xg"))+((AD8&lt;&gt;"Xp")*(AD8&lt;&gt;"Xg"))+((AD8&lt;&gt;"Xn"))=0,"",IF(0+((AD8&lt;&gt;"Xm")*(AD8&lt;&gt;"Xg"))+((AD8&lt;&gt;"Xp")*(AD8&lt;&gt;"Xg"))+((AD8&lt;&gt;"Xn"))=3,AD$3&amp;", ",AD$3&amp;IF((AD8&lt;&gt;"Xm")*(AD8&lt;&gt;"Xg"),"_m","")&amp;IF((AD8&lt;&gt;"Xp")*(AD8&lt;&gt;"Xg"),"_p","")&amp;IF((AD8&lt;&gt;"Xn"),"_n","")&amp;", ")))</f>
        <v xml:space="preserve">ROSSI L, </v>
      </c>
      <c r="BS8" s="9" t="str">
        <f>IF(0+(AE8="X")&gt;0,"",IF(0+((AE8&lt;&gt;"Xm")*(AE8&lt;&gt;"Xg"))+((AE8&lt;&gt;"Xp")*(AE8&lt;&gt;"Xg"))+((AE8&lt;&gt;"Xn"))=0,"",IF(0+((AE8&lt;&gt;"Xm")*(AE8&lt;&gt;"Xg"))+((AE8&lt;&gt;"Xp")*(AE8&lt;&gt;"Xg"))+((AE8&lt;&gt;"Xn"))=3,AE$3&amp;", ",AE$3&amp;IF((AE8&lt;&gt;"Xm")*(AE8&lt;&gt;"Xg"),"_m","")&amp;IF((AE8&lt;&gt;"Xp")*(AE8&lt;&gt;"Xg"),"_p","")&amp;IF((AE8&lt;&gt;"Xn"),"_n","")&amp;", ")))</f>
        <v xml:space="preserve">GALLINA, </v>
      </c>
      <c r="BT8" s="9" t="str">
        <f>IF(0+(AF8="X")&gt;0,"",IF(0+((AF8&lt;&gt;"Xm")*(AF8&lt;&gt;"Xg"))+((AF8&lt;&gt;"Xp")*(AF8&lt;&gt;"Xg"))+((AF8&lt;&gt;"Xn"))=0,"",IF(0+((AF8&lt;&gt;"Xm")*(AF8&lt;&gt;"Xg"))+((AF8&lt;&gt;"Xp")*(AF8&lt;&gt;"Xg"))+((AF8&lt;&gt;"Xn"))=3,AF$3&amp;", ",AF$3&amp;IF((AF8&lt;&gt;"Xm")*(AF8&lt;&gt;"Xg"),"_m","")&amp;IF((AF8&lt;&gt;"Xp")*(AF8&lt;&gt;"Xg"),"_p","")&amp;IF((AF8&lt;&gt;"Xn"),"_n","")&amp;", ")))</f>
        <v xml:space="preserve">RUSSO, </v>
      </c>
      <c r="BU8" s="9" t="str">
        <f>IF(0+(AG8="X")&gt;0,"",IF(0+((AG8&lt;&gt;"Xm")*(AG8&lt;&gt;"Xg"))+((AG8&lt;&gt;"Xp")*(AG8&lt;&gt;"Xg"))+((AG8&lt;&gt;"Xn"))=0,"",IF(0+((AG8&lt;&gt;"Xm")*(AG8&lt;&gt;"Xg"))+((AG8&lt;&gt;"Xp")*(AG8&lt;&gt;"Xg"))+((AG8&lt;&gt;"Xn"))=3,AG$3&amp;", ",AG$3&amp;IF((AG8&lt;&gt;"Xm")*(AG8&lt;&gt;"Xg"),"_m","")&amp;IF((AG8&lt;&gt;"Xp")*(AG8&lt;&gt;"Xg"),"_p","")&amp;IF((AG8&lt;&gt;"Xn"),"_n","")&amp;", ")))</f>
        <v xml:space="preserve">VERDI, </v>
      </c>
      <c r="BV8" s="9" t="str">
        <f>IF(0+(AH8="X")&gt;0,"",IF(0+((AH8&lt;&gt;"Xm")*(AH8&lt;&gt;"Xg"))+((AH8&lt;&gt;"Xp")*(AH8&lt;&gt;"Xg"))+((AH8&lt;&gt;"Xn"))=0,"",IF(0+((AH8&lt;&gt;"Xm")*(AH8&lt;&gt;"Xg"))+((AH8&lt;&gt;"Xp")*(AH8&lt;&gt;"Xg"))+((AH8&lt;&gt;"Xn"))=3,AH$3&amp;", ",AH$3&amp;IF((AH8&lt;&gt;"Xm")*(AH8&lt;&gt;"Xg"),"_m","")&amp;IF((AH8&lt;&gt;"Xp")*(AH8&lt;&gt;"Xg"),"_p","")&amp;IF((AH8&lt;&gt;"Xn"),"_n","")&amp;", ")))</f>
        <v xml:space="preserve">HU, </v>
      </c>
      <c r="BW8" s="9" t="str">
        <f>IF(0+(AI8="X")&gt;0,"",IF(0+((AI8&lt;&gt;"Xm")*(AI8&lt;&gt;"Xg"))+((AI8&lt;&gt;"Xp")*(AI8&lt;&gt;"Xg"))+((AI8&lt;&gt;"Xn"))=0,"",IF(0+((AI8&lt;&gt;"Xm")*(AI8&lt;&gt;"Xg"))+((AI8&lt;&gt;"Xp")*(AI8&lt;&gt;"Xg"))+((AI8&lt;&gt;"Xn"))=3,AI$3&amp;", ",AI$3&amp;IF((AI8&lt;&gt;"Xm")*(AI8&lt;&gt;"Xg"),"_m","")&amp;IF((AI8&lt;&gt;"Xp")*(AI8&lt;&gt;"Xg"),"_p","")&amp;IF((AI8&lt;&gt;"Xn"),"_n","")&amp;", ")))</f>
        <v xml:space="preserve">MARINI, </v>
      </c>
      <c r="BX8" s="9" t="str">
        <f>IF(0+(AJ8="X")&gt;0,"",IF(0+((AJ8&lt;&gt;"Xm")*(AJ8&lt;&gt;"Xg"))+((AJ8&lt;&gt;"Xp")*(AJ8&lt;&gt;"Xg"))+((AJ8&lt;&gt;"Xn"))=0,"",IF(0+((AJ8&lt;&gt;"Xm")*(AJ8&lt;&gt;"Xg"))+((AJ8&lt;&gt;"Xp")*(AJ8&lt;&gt;"Xg"))+((AJ8&lt;&gt;"Xn"))=3,AJ$3&amp;", ",AJ$3&amp;IF((AJ8&lt;&gt;"Xm")*(AJ8&lt;&gt;"Xg"),"_m","")&amp;IF((AJ8&lt;&gt;"Xp")*(AJ8&lt;&gt;"Xg"),"_p","")&amp;IF((AJ8&lt;&gt;"Xn"),"_n","")&amp;", ")))</f>
        <v xml:space="preserve">CONTI A, </v>
      </c>
      <c r="BY8" s="9" t="str">
        <f>IF(0+(AK8="X")&gt;0,"",IF(0+((AK8&lt;&gt;"Xm")*(AK8&lt;&gt;"Xg"))+((AK8&lt;&gt;"Xp")*(AK8&lt;&gt;"Xg"))+((AK8&lt;&gt;"Xn"))=0,"",IF(0+((AK8&lt;&gt;"Xm")*(AK8&lt;&gt;"Xg"))+((AK8&lt;&gt;"Xp")*(AK8&lt;&gt;"Xg"))+((AK8&lt;&gt;"Xn"))=3,AK$3&amp;", ",AK$3&amp;IF((AK8&lt;&gt;"Xm")*(AK8&lt;&gt;"Xg"),"_m","")&amp;IF((AK8&lt;&gt;"Xp")*(AK8&lt;&gt;"Xg"),"_p","")&amp;IF((AK8&lt;&gt;"Xn"),"_n","")&amp;", ")))</f>
        <v xml:space="preserve">CONTI S, </v>
      </c>
      <c r="BZ8" s="9" t="str">
        <f>IF(0+(AL8="X")&gt;0,"",IF(0+((AL8&lt;&gt;"Xm")*(AL8&lt;&gt;"Xg"))+((AL8&lt;&gt;"Xp")*(AL8&lt;&gt;"Xg"))+((AL8&lt;&gt;"Xn"))=0,"",IF(0+((AL8&lt;&gt;"Xm")*(AL8&lt;&gt;"Xg"))+((AL8&lt;&gt;"Xp")*(AL8&lt;&gt;"Xg"))+((AL8&lt;&gt;"Xn"))=3,AL$3&amp;", ",AL$3&amp;IF((AL8&lt;&gt;"Xm")*(AL8&lt;&gt;"Xg"),"_m","")&amp;IF((AL8&lt;&gt;"Xp")*(AL8&lt;&gt;"Xg"),"_p","")&amp;IF((AL8&lt;&gt;"Xn"),"_n","")&amp;", ")))</f>
        <v xml:space="preserve">FERRARI, </v>
      </c>
      <c r="CA8" s="9" t="str">
        <f>IF(0+(AM8="X")&gt;0,"",IF(0+((AM8&lt;&gt;"Xm")*(AM8&lt;&gt;"Xg"))+((AM8&lt;&gt;"Xp")*(AM8&lt;&gt;"Xg"))+((AM8&lt;&gt;"Xn"))=0,"",IF(0+((AM8&lt;&gt;"Xm")*(AM8&lt;&gt;"Xg"))+((AM8&lt;&gt;"Xp")*(AM8&lt;&gt;"Xg"))+((AM8&lt;&gt;"Xn"))=3,AM$3&amp;", ",AM$3&amp;IF((AM8&lt;&gt;"Xm")*(AM8&lt;&gt;"Xg"),"_m","")&amp;IF((AM8&lt;&gt;"Xp")*(AM8&lt;&gt;"Xg"),"_p","")&amp;IF((AM8&lt;&gt;"Xn"),"_n","")&amp;", ")))</f>
        <v xml:space="preserve">GRECO, </v>
      </c>
      <c r="CB8" s="9" t="str">
        <f>IF(0+(AN8="X")&gt;0,"",IF(0+((AN8&lt;&gt;"Xm")*(AN8&lt;&gt;"Xg"))+((AN8&lt;&gt;"Xp")*(AN8&lt;&gt;"Xg"))+((AN8&lt;&gt;"Xn"))=0,"",IF(0+((AN8&lt;&gt;"Xm")*(AN8&lt;&gt;"Xg"))+((AN8&lt;&gt;"Xp")*(AN8&lt;&gt;"Xg"))+((AN8&lt;&gt;"Xn"))=3,AN$3&amp;", ",AN$3&amp;IF((AN8&lt;&gt;"Xm")*(AN8&lt;&gt;"Xg"),"_m","")&amp;IF((AN8&lt;&gt;"Xp")*(AN8&lt;&gt;"Xg"),"_p","")&amp;IF((AN8&lt;&gt;"Xn"),"_n","")&amp;", ")))</f>
        <v xml:space="preserve">SANNA, </v>
      </c>
      <c r="CC8" s="9" t="str">
        <f>IF(0+(AO8="X")&gt;0,"",IF(0+((AO8&lt;&gt;"Xm")*(AO8&lt;&gt;"Xg"))+((AO8&lt;&gt;"Xp")*(AO8&lt;&gt;"Xg"))+((AO8&lt;&gt;"Xn"))=0,"",IF(0+((AO8&lt;&gt;"Xm")*(AO8&lt;&gt;"Xg"))+((AO8&lt;&gt;"Xp")*(AO8&lt;&gt;"Xg"))+((AO8&lt;&gt;"Xn"))=3,AO$3&amp;", ",AO$3&amp;IF((AO8&lt;&gt;"Xm")*(AO8&lt;&gt;"Xg"),"_m","")&amp;IF((AO8&lt;&gt;"Xp")*(AO8&lt;&gt;"Xg"),"_p","")&amp;IF((AO8&lt;&gt;"Xn"),"_n","")&amp;", ")))</f>
        <v xml:space="preserve">LI, </v>
      </c>
      <c r="CD8" s="9" t="n"/>
      <c r="CE8" s="9" t="str">
        <f>IF(0+(AB8="X")&gt;0,"",IF(0+((AB8&lt;&gt;"Xm")*(AB8&lt;&gt;"Xg")*(COUNTIFS($C$3:$Q$3,"MAT",$C8:$Q8,AB$3)=0)*(COUNTIFS($C$3:$Q$3,"NOTTE",$C8:$Q8,AB$3)=0)*(COUNTIFS($C$3:$Q$3,"NOTTE",$C7:$Q7,AB$3)=0))+((AB8&lt;&gt;"Xp")*(AB8&lt;&gt;"Xg")*(COUNTIFS($C$3:$Q$3,"POM",$C8:$Q8,AB$3)=0)*(COUNTIFS($C$3:$Q$3,"NOTTE",$C8:$Q8,AB$3)=0)*(COUNTIFS($C$3:$Q$3,"NOTTE",$C7:$Q7,AB$3)=0))+((AB8&lt;&gt;"Xn")*(COUNTIFS($C$3:$Q$3,"MAT",$C8:$Q8,AB$3)=0)*(COUNTIFS($C$3:$Q$3,"POM",$C8:$Q8,AB$3)=0)*(COUNTIFS($C$3:$Q$3,"NOTTE",$C8:$Q8,AB$3)=0)*(COUNTIFS($C$3:$Q$3,"NOTTE",$C7:$Q7,AB$3)=0))=0,"",IF(0+((AB8&lt;&gt;"Xm")*(AB8&lt;&gt;"Xg")*(COUNTIFS($C$3:$Q$3,"MAT",$C8:$Q8,AB$3)=0)*(COUNTIFS($C$3:$Q$3,"NOTTE",$C8:$Q8,AB$3)=0)*(COUNTIFS($C$3:$Q$3,"NOTTE",$C7:$Q7,AB$3)=0))+((AB8&lt;&gt;"Xp")*(AB8&lt;&gt;"Xg")*(COUNTIFS($C$3:$Q$3,"POM",$C8:$Q8,AB$3)=0)*(COUNTIFS($C$3:$Q$3,"NOTTE",$C8:$Q8,AB$3)=0)*(COUNTIFS($C$3:$Q$3,"NOTTE",$C7:$Q7,AB$3)=0))+((AB8&lt;&gt;"Xn")*(COUNTIFS($C$3:$Q$3,"MAT",$C8:$Q8,AB$3)=0)*(COUNTIFS($C$3:$Q$3,"POM",$C8:$Q8,AB$3)=0)*(COUNTIFS($C$3:$Q$3,"NOTTE",$C8:$Q8,AB$3)=0)*(COUNTIFS($C$3:$Q$3,"NOTTE",$C7:$Q7,AB$3)=0))=3,AB$3&amp;", ",AB$3&amp;IF((AB8&lt;&gt;"Xm")*(AB8&lt;&gt;"Xg")*(COUNTIFS($C$3:$Q$3,"MAT",$C8:$Q8,AB$3)=0)*(COUNTIFS($C$3:$Q$3,"NOTTE",$C8:$Q8,AB$3)=0)*(COUNTIFS($C$3:$Q$3,"NOTTE",$C7:$Q7,AB$3)=0),"_m","")&amp;IF((AB8&lt;&gt;"Xp")*(AB8&lt;&gt;"Xg")*(COUNTIFS($C$3:$Q$3,"POM",$C8:$Q8,AB$3)=0)*(COUNTIFS($C$3:$Q$3,"NOTTE",$C8:$Q8,AB$3)=0)*(COUNTIFS($C$3:$Q$3,"NOTTE",$C7:$Q7,AB$3)=0),"_p","")&amp;IF((AB8&lt;&gt;"Xn")*(COUNTIFS($C$3:$Q$3,"MAT",$C8:$Q8,AB$3)=0)*(COUNTIFS($C$3:$Q$3,"POM",$C8:$Q8,AB$3)=0)*(COUNTIFS($C$3:$Q$3,"NOTTE",$C8:$Q8,AB$3)=0)*(COUNTIFS($C$3:$Q$3,"NOTTE",$C7:$Q7,AB$3)=0),"_n","")&amp;", ")))</f>
        <v xml:space="preserve">LEONI, </v>
      </c>
      <c r="CF8" s="9" t="str">
        <f>IF(0+(AC8="X")&gt;0,"",IF(0+((AC8&lt;&gt;"Xm")*(AC8&lt;&gt;"Xg")*(COUNTIFS($C$3:$Q$3,"MAT",$C8:$Q8,AC$3)=0)*(COUNTIFS($C$3:$Q$3,"NOTTE",$C8:$Q8,AC$3)=0)*(COUNTIFS($C$3:$Q$3,"NOTTE",$C7:$Q7,AC$3)=0))+((AC8&lt;&gt;"Xp")*(AC8&lt;&gt;"Xg")*(COUNTIFS($C$3:$Q$3,"POM",$C8:$Q8,AC$3)=0)*(COUNTIFS($C$3:$Q$3,"NOTTE",$C8:$Q8,AC$3)=0)*(COUNTIFS($C$3:$Q$3,"NOTTE",$C7:$Q7,AC$3)=0))+((AC8&lt;&gt;"Xn")*(COUNTIFS($C$3:$Q$3,"MAT",$C8:$Q8,AC$3)=0)*(COUNTIFS($C$3:$Q$3,"POM",$C8:$Q8,AC$3)=0)*(COUNTIFS($C$3:$Q$3,"NOTTE",$C8:$Q8,AC$3)=0)*(COUNTIFS($C$3:$Q$3,"NOTTE",$C7:$Q7,AC$3)=0))=0,"",IF(0+((AC8&lt;&gt;"Xm")*(AC8&lt;&gt;"Xg")*(COUNTIFS($C$3:$Q$3,"MAT",$C8:$Q8,AC$3)=0)*(COUNTIFS($C$3:$Q$3,"NOTTE",$C8:$Q8,AC$3)=0)*(COUNTIFS($C$3:$Q$3,"NOTTE",$C7:$Q7,AC$3)=0))+((AC8&lt;&gt;"Xp")*(AC8&lt;&gt;"Xg")*(COUNTIFS($C$3:$Q$3,"POM",$C8:$Q8,AC$3)=0)*(COUNTIFS($C$3:$Q$3,"NOTTE",$C8:$Q8,AC$3)=0)*(COUNTIFS($C$3:$Q$3,"NOTTE",$C7:$Q7,AC$3)=0))+((AC8&lt;&gt;"Xn")*(COUNTIFS($C$3:$Q$3,"MAT",$C8:$Q8,AC$3)=0)*(COUNTIFS($C$3:$Q$3,"POM",$C8:$Q8,AC$3)=0)*(COUNTIFS($C$3:$Q$3,"NOTTE",$C8:$Q8,AC$3)=0)*(COUNTIFS($C$3:$Q$3,"NOTTE",$C7:$Q7,AC$3)=0))=3,AC$3&amp;", ",AC$3&amp;IF((AC8&lt;&gt;"Xm")*(AC8&lt;&gt;"Xg")*(COUNTIFS($C$3:$Q$3,"MAT",$C8:$Q8,AC$3)=0)*(COUNTIFS($C$3:$Q$3,"NOTTE",$C8:$Q8,AC$3)=0)*(COUNTIFS($C$3:$Q$3,"NOTTE",$C7:$Q7,AC$3)=0),"_m","")&amp;IF((AC8&lt;&gt;"Xp")*(AC8&lt;&gt;"Xg")*(COUNTIFS($C$3:$Q$3,"POM",$C8:$Q8,AC$3)=0)*(COUNTIFS($C$3:$Q$3,"NOTTE",$C8:$Q8,AC$3)=0)*(COUNTIFS($C$3:$Q$3,"NOTTE",$C7:$Q7,AC$3)=0),"_p","")&amp;IF((AC8&lt;&gt;"Xn")*(COUNTIFS($C$3:$Q$3,"MAT",$C8:$Q8,AC$3)=0)*(COUNTIFS($C$3:$Q$3,"POM",$C8:$Q8,AC$3)=0)*(COUNTIFS($C$3:$Q$3,"NOTTE",$C8:$Q8,AC$3)=0)*(COUNTIFS($C$3:$Q$3,"NOTTE",$C7:$Q7,AC$3)=0),"_n","")&amp;", ")))</f>
        <v xml:space="preserve">ROSSI M, </v>
      </c>
      <c r="CG8" s="9" t="str">
        <f>IF(0+(AD8="X")&gt;0,"",IF(0+((AD8&lt;&gt;"Xm")*(AD8&lt;&gt;"Xg")*(COUNTIFS($C$3:$Q$3,"MAT",$C8:$Q8,AD$3)=0)*(COUNTIFS($C$3:$Q$3,"NOTTE",$C8:$Q8,AD$3)=0)*(COUNTIFS($C$3:$Q$3,"NOTTE",$C7:$Q7,AD$3)=0))+((AD8&lt;&gt;"Xp")*(AD8&lt;&gt;"Xg")*(COUNTIFS($C$3:$Q$3,"POM",$C8:$Q8,AD$3)=0)*(COUNTIFS($C$3:$Q$3,"NOTTE",$C8:$Q8,AD$3)=0)*(COUNTIFS($C$3:$Q$3,"NOTTE",$C7:$Q7,AD$3)=0))+((AD8&lt;&gt;"Xn")*(COUNTIFS($C$3:$Q$3,"MAT",$C8:$Q8,AD$3)=0)*(COUNTIFS($C$3:$Q$3,"POM",$C8:$Q8,AD$3)=0)*(COUNTIFS($C$3:$Q$3,"NOTTE",$C8:$Q8,AD$3)=0)*(COUNTIFS($C$3:$Q$3,"NOTTE",$C7:$Q7,AD$3)=0))=0,"",IF(0+((AD8&lt;&gt;"Xm")*(AD8&lt;&gt;"Xg")*(COUNTIFS($C$3:$Q$3,"MAT",$C8:$Q8,AD$3)=0)*(COUNTIFS($C$3:$Q$3,"NOTTE",$C8:$Q8,AD$3)=0)*(COUNTIFS($C$3:$Q$3,"NOTTE",$C7:$Q7,AD$3)=0))+((AD8&lt;&gt;"Xp")*(AD8&lt;&gt;"Xg")*(COUNTIFS($C$3:$Q$3,"POM",$C8:$Q8,AD$3)=0)*(COUNTIFS($C$3:$Q$3,"NOTTE",$C8:$Q8,AD$3)=0)*(COUNTIFS($C$3:$Q$3,"NOTTE",$C7:$Q7,AD$3)=0))+((AD8&lt;&gt;"Xn")*(COUNTIFS($C$3:$Q$3,"MAT",$C8:$Q8,AD$3)=0)*(COUNTIFS($C$3:$Q$3,"POM",$C8:$Q8,AD$3)=0)*(COUNTIFS($C$3:$Q$3,"NOTTE",$C8:$Q8,AD$3)=0)*(COUNTIFS($C$3:$Q$3,"NOTTE",$C7:$Q7,AD$3)=0))=3,AD$3&amp;", ",AD$3&amp;IF((AD8&lt;&gt;"Xm")*(AD8&lt;&gt;"Xg")*(COUNTIFS($C$3:$Q$3,"MAT",$C8:$Q8,AD$3)=0)*(COUNTIFS($C$3:$Q$3,"NOTTE",$C8:$Q8,AD$3)=0)*(COUNTIFS($C$3:$Q$3,"NOTTE",$C7:$Q7,AD$3)=0),"_m","")&amp;IF((AD8&lt;&gt;"Xp")*(AD8&lt;&gt;"Xg")*(COUNTIFS($C$3:$Q$3,"POM",$C8:$Q8,AD$3)=0)*(COUNTIFS($C$3:$Q$3,"NOTTE",$C8:$Q8,AD$3)=0)*(COUNTIFS($C$3:$Q$3,"NOTTE",$C7:$Q7,AD$3)=0),"_p","")&amp;IF((AD8&lt;&gt;"Xn")*(COUNTIFS($C$3:$Q$3,"MAT",$C8:$Q8,AD$3)=0)*(COUNTIFS($C$3:$Q$3,"POM",$C8:$Q8,AD$3)=0)*(COUNTIFS($C$3:$Q$3,"NOTTE",$C8:$Q8,AD$3)=0)*(COUNTIFS($C$3:$Q$3,"NOTTE",$C7:$Q7,AD$3)=0),"_n","")&amp;", ")))</f>
        <v xml:space="preserve">ROSSI L, </v>
      </c>
      <c r="CH8" s="9" t="str">
        <f>IF(0+(AE8="X")&gt;0,"",IF(0+((AE8&lt;&gt;"Xm")*(AE8&lt;&gt;"Xg")*(COUNTIFS($C$3:$Q$3,"MAT",$C8:$Q8,AE$3)=0)*(COUNTIFS($C$3:$Q$3,"NOTTE",$C8:$Q8,AE$3)=0)*(COUNTIFS($C$3:$Q$3,"NOTTE",$C7:$Q7,AE$3)=0))+((AE8&lt;&gt;"Xp")*(AE8&lt;&gt;"Xg")*(COUNTIFS($C$3:$Q$3,"POM",$C8:$Q8,AE$3)=0)*(COUNTIFS($C$3:$Q$3,"NOTTE",$C8:$Q8,AE$3)=0)*(COUNTIFS($C$3:$Q$3,"NOTTE",$C7:$Q7,AE$3)=0))+((AE8&lt;&gt;"Xn")*(COUNTIFS($C$3:$Q$3,"MAT",$C8:$Q8,AE$3)=0)*(COUNTIFS($C$3:$Q$3,"POM",$C8:$Q8,AE$3)=0)*(COUNTIFS($C$3:$Q$3,"NOTTE",$C8:$Q8,AE$3)=0)*(COUNTIFS($C$3:$Q$3,"NOTTE",$C7:$Q7,AE$3)=0))=0,"",IF(0+((AE8&lt;&gt;"Xm")*(AE8&lt;&gt;"Xg")*(COUNTIFS($C$3:$Q$3,"MAT",$C8:$Q8,AE$3)=0)*(COUNTIFS($C$3:$Q$3,"NOTTE",$C8:$Q8,AE$3)=0)*(COUNTIFS($C$3:$Q$3,"NOTTE",$C7:$Q7,AE$3)=0))+((AE8&lt;&gt;"Xp")*(AE8&lt;&gt;"Xg")*(COUNTIFS($C$3:$Q$3,"POM",$C8:$Q8,AE$3)=0)*(COUNTIFS($C$3:$Q$3,"NOTTE",$C8:$Q8,AE$3)=0)*(COUNTIFS($C$3:$Q$3,"NOTTE",$C7:$Q7,AE$3)=0))+((AE8&lt;&gt;"Xn")*(COUNTIFS($C$3:$Q$3,"MAT",$C8:$Q8,AE$3)=0)*(COUNTIFS($C$3:$Q$3,"POM",$C8:$Q8,AE$3)=0)*(COUNTIFS($C$3:$Q$3,"NOTTE",$C8:$Q8,AE$3)=0)*(COUNTIFS($C$3:$Q$3,"NOTTE",$C7:$Q7,AE$3)=0))=3,AE$3&amp;", ",AE$3&amp;IF((AE8&lt;&gt;"Xm")*(AE8&lt;&gt;"Xg")*(COUNTIFS($C$3:$Q$3,"MAT",$C8:$Q8,AE$3)=0)*(COUNTIFS($C$3:$Q$3,"NOTTE",$C8:$Q8,AE$3)=0)*(COUNTIFS($C$3:$Q$3,"NOTTE",$C7:$Q7,AE$3)=0),"_m","")&amp;IF((AE8&lt;&gt;"Xp")*(AE8&lt;&gt;"Xg")*(COUNTIFS($C$3:$Q$3,"POM",$C8:$Q8,AE$3)=0)*(COUNTIFS($C$3:$Q$3,"NOTTE",$C8:$Q8,AE$3)=0)*(COUNTIFS($C$3:$Q$3,"NOTTE",$C7:$Q7,AE$3)=0),"_p","")&amp;IF((AE8&lt;&gt;"Xn")*(COUNTIFS($C$3:$Q$3,"MAT",$C8:$Q8,AE$3)=0)*(COUNTIFS($C$3:$Q$3,"POM",$C8:$Q8,AE$3)=0)*(COUNTIFS($C$3:$Q$3,"NOTTE",$C8:$Q8,AE$3)=0)*(COUNTIFS($C$3:$Q$3,"NOTTE",$C7:$Q7,AE$3)=0),"_n","")&amp;", ")))</f>
        <v xml:space="preserve">GALLINA, </v>
      </c>
      <c r="CI8" s="9" t="str">
        <f>IF(0+(AF8="X")&gt;0,"",IF(0+((AF8&lt;&gt;"Xm")*(AF8&lt;&gt;"Xg")*(COUNTIFS($C$3:$Q$3,"MAT",$C8:$Q8,AF$3)=0)*(COUNTIFS($C$3:$Q$3,"NOTTE",$C8:$Q8,AF$3)=0)*(COUNTIFS($C$3:$Q$3,"NOTTE",$C7:$Q7,AF$3)=0))+((AF8&lt;&gt;"Xp")*(AF8&lt;&gt;"Xg")*(COUNTIFS($C$3:$Q$3,"POM",$C8:$Q8,AF$3)=0)*(COUNTIFS($C$3:$Q$3,"NOTTE",$C8:$Q8,AF$3)=0)*(COUNTIFS($C$3:$Q$3,"NOTTE",$C7:$Q7,AF$3)=0))+((AF8&lt;&gt;"Xn")*(COUNTIFS($C$3:$Q$3,"MAT",$C8:$Q8,AF$3)=0)*(COUNTIFS($C$3:$Q$3,"POM",$C8:$Q8,AF$3)=0)*(COUNTIFS($C$3:$Q$3,"NOTTE",$C8:$Q8,AF$3)=0)*(COUNTIFS($C$3:$Q$3,"NOTTE",$C7:$Q7,AF$3)=0))=0,"",IF(0+((AF8&lt;&gt;"Xm")*(AF8&lt;&gt;"Xg")*(COUNTIFS($C$3:$Q$3,"MAT",$C8:$Q8,AF$3)=0)*(COUNTIFS($C$3:$Q$3,"NOTTE",$C8:$Q8,AF$3)=0)*(COUNTIFS($C$3:$Q$3,"NOTTE",$C7:$Q7,AF$3)=0))+((AF8&lt;&gt;"Xp")*(AF8&lt;&gt;"Xg")*(COUNTIFS($C$3:$Q$3,"POM",$C8:$Q8,AF$3)=0)*(COUNTIFS($C$3:$Q$3,"NOTTE",$C8:$Q8,AF$3)=0)*(COUNTIFS($C$3:$Q$3,"NOTTE",$C7:$Q7,AF$3)=0))+((AF8&lt;&gt;"Xn")*(COUNTIFS($C$3:$Q$3,"MAT",$C8:$Q8,AF$3)=0)*(COUNTIFS($C$3:$Q$3,"POM",$C8:$Q8,AF$3)=0)*(COUNTIFS($C$3:$Q$3,"NOTTE",$C8:$Q8,AF$3)=0)*(COUNTIFS($C$3:$Q$3,"NOTTE",$C7:$Q7,AF$3)=0))=3,AF$3&amp;", ",AF$3&amp;IF((AF8&lt;&gt;"Xm")*(AF8&lt;&gt;"Xg")*(COUNTIFS($C$3:$Q$3,"MAT",$C8:$Q8,AF$3)=0)*(COUNTIFS($C$3:$Q$3,"NOTTE",$C8:$Q8,AF$3)=0)*(COUNTIFS($C$3:$Q$3,"NOTTE",$C7:$Q7,AF$3)=0),"_m","")&amp;IF((AF8&lt;&gt;"Xp")*(AF8&lt;&gt;"Xg")*(COUNTIFS($C$3:$Q$3,"POM",$C8:$Q8,AF$3)=0)*(COUNTIFS($C$3:$Q$3,"NOTTE",$C8:$Q8,AF$3)=0)*(COUNTIFS($C$3:$Q$3,"NOTTE",$C7:$Q7,AF$3)=0),"_p","")&amp;IF((AF8&lt;&gt;"Xn")*(COUNTIFS($C$3:$Q$3,"MAT",$C8:$Q8,AF$3)=0)*(COUNTIFS($C$3:$Q$3,"POM",$C8:$Q8,AF$3)=0)*(COUNTIFS($C$3:$Q$3,"NOTTE",$C8:$Q8,AF$3)=0)*(COUNTIFS($C$3:$Q$3,"NOTTE",$C7:$Q7,AF$3)=0),"_n","")&amp;", ")))</f>
        <v xml:space="preserve">RUSSO, </v>
      </c>
      <c r="CJ8" s="9" t="str">
        <f>IF(0+(AG8="X")&gt;0,"",IF(0+((AG8&lt;&gt;"Xm")*(AG8&lt;&gt;"Xg")*(COUNTIFS($C$3:$Q$3,"MAT",$C8:$Q8,AG$3)=0)*(COUNTIFS($C$3:$Q$3,"NOTTE",$C8:$Q8,AG$3)=0)*(COUNTIFS($C$3:$Q$3,"NOTTE",$C7:$Q7,AG$3)=0))+((AG8&lt;&gt;"Xp")*(AG8&lt;&gt;"Xg")*(COUNTIFS($C$3:$Q$3,"POM",$C8:$Q8,AG$3)=0)*(COUNTIFS($C$3:$Q$3,"NOTTE",$C8:$Q8,AG$3)=0)*(COUNTIFS($C$3:$Q$3,"NOTTE",$C7:$Q7,AG$3)=0))+((AG8&lt;&gt;"Xn")*(COUNTIFS($C$3:$Q$3,"MAT",$C8:$Q8,AG$3)=0)*(COUNTIFS($C$3:$Q$3,"POM",$C8:$Q8,AG$3)=0)*(COUNTIFS($C$3:$Q$3,"NOTTE",$C8:$Q8,AG$3)=0)*(COUNTIFS($C$3:$Q$3,"NOTTE",$C7:$Q7,AG$3)=0))=0,"",IF(0+((AG8&lt;&gt;"Xm")*(AG8&lt;&gt;"Xg")*(COUNTIFS($C$3:$Q$3,"MAT",$C8:$Q8,AG$3)=0)*(COUNTIFS($C$3:$Q$3,"NOTTE",$C8:$Q8,AG$3)=0)*(COUNTIFS($C$3:$Q$3,"NOTTE",$C7:$Q7,AG$3)=0))+((AG8&lt;&gt;"Xp")*(AG8&lt;&gt;"Xg")*(COUNTIFS($C$3:$Q$3,"POM",$C8:$Q8,AG$3)=0)*(COUNTIFS($C$3:$Q$3,"NOTTE",$C8:$Q8,AG$3)=0)*(COUNTIFS($C$3:$Q$3,"NOTTE",$C7:$Q7,AG$3)=0))+((AG8&lt;&gt;"Xn")*(COUNTIFS($C$3:$Q$3,"MAT",$C8:$Q8,AG$3)=0)*(COUNTIFS($C$3:$Q$3,"POM",$C8:$Q8,AG$3)=0)*(COUNTIFS($C$3:$Q$3,"NOTTE",$C8:$Q8,AG$3)=0)*(COUNTIFS($C$3:$Q$3,"NOTTE",$C7:$Q7,AG$3)=0))=3,AG$3&amp;", ",AG$3&amp;IF((AG8&lt;&gt;"Xm")*(AG8&lt;&gt;"Xg")*(COUNTIFS($C$3:$Q$3,"MAT",$C8:$Q8,AG$3)=0)*(COUNTIFS($C$3:$Q$3,"NOTTE",$C8:$Q8,AG$3)=0)*(COUNTIFS($C$3:$Q$3,"NOTTE",$C7:$Q7,AG$3)=0),"_m","")&amp;IF((AG8&lt;&gt;"Xp")*(AG8&lt;&gt;"Xg")*(COUNTIFS($C$3:$Q$3,"POM",$C8:$Q8,AG$3)=0)*(COUNTIFS($C$3:$Q$3,"NOTTE",$C8:$Q8,AG$3)=0)*(COUNTIFS($C$3:$Q$3,"NOTTE",$C7:$Q7,AG$3)=0),"_p","")&amp;IF((AG8&lt;&gt;"Xn")*(COUNTIFS($C$3:$Q$3,"MAT",$C8:$Q8,AG$3)=0)*(COUNTIFS($C$3:$Q$3,"POM",$C8:$Q8,AG$3)=0)*(COUNTIFS($C$3:$Q$3,"NOTTE",$C8:$Q8,AG$3)=0)*(COUNTIFS($C$3:$Q$3,"NOTTE",$C7:$Q7,AG$3)=0),"_n","")&amp;", ")))</f>
        <v xml:space="preserve">VERDI, </v>
      </c>
      <c r="CK8" s="9" t="str">
        <f>IF(0+(AH8="X")&gt;0,"",IF(0+((AH8&lt;&gt;"Xm")*(AH8&lt;&gt;"Xg")*(COUNTIFS($C$3:$Q$3,"MAT",$C8:$Q8,AH$3)=0)*(COUNTIFS($C$3:$Q$3,"NOTTE",$C8:$Q8,AH$3)=0)*(COUNTIFS($C$3:$Q$3,"NOTTE",$C7:$Q7,AH$3)=0))+((AH8&lt;&gt;"Xp")*(AH8&lt;&gt;"Xg")*(COUNTIFS($C$3:$Q$3,"POM",$C8:$Q8,AH$3)=0)*(COUNTIFS($C$3:$Q$3,"NOTTE",$C8:$Q8,AH$3)=0)*(COUNTIFS($C$3:$Q$3,"NOTTE",$C7:$Q7,AH$3)=0))+((AH8&lt;&gt;"Xn")*(COUNTIFS($C$3:$Q$3,"MAT",$C8:$Q8,AH$3)=0)*(COUNTIFS($C$3:$Q$3,"POM",$C8:$Q8,AH$3)=0)*(COUNTIFS($C$3:$Q$3,"NOTTE",$C8:$Q8,AH$3)=0)*(COUNTIFS($C$3:$Q$3,"NOTTE",$C7:$Q7,AH$3)=0))=0,"",IF(0+((AH8&lt;&gt;"Xm")*(AH8&lt;&gt;"Xg")*(COUNTIFS($C$3:$Q$3,"MAT",$C8:$Q8,AH$3)=0)*(COUNTIFS($C$3:$Q$3,"NOTTE",$C8:$Q8,AH$3)=0)*(COUNTIFS($C$3:$Q$3,"NOTTE",$C7:$Q7,AH$3)=0))+((AH8&lt;&gt;"Xp")*(AH8&lt;&gt;"Xg")*(COUNTIFS($C$3:$Q$3,"POM",$C8:$Q8,AH$3)=0)*(COUNTIFS($C$3:$Q$3,"NOTTE",$C8:$Q8,AH$3)=0)*(COUNTIFS($C$3:$Q$3,"NOTTE",$C7:$Q7,AH$3)=0))+((AH8&lt;&gt;"Xn")*(COUNTIFS($C$3:$Q$3,"MAT",$C8:$Q8,AH$3)=0)*(COUNTIFS($C$3:$Q$3,"POM",$C8:$Q8,AH$3)=0)*(COUNTIFS($C$3:$Q$3,"NOTTE",$C8:$Q8,AH$3)=0)*(COUNTIFS($C$3:$Q$3,"NOTTE",$C7:$Q7,AH$3)=0))=3,AH$3&amp;", ",AH$3&amp;IF((AH8&lt;&gt;"Xm")*(AH8&lt;&gt;"Xg")*(COUNTIFS($C$3:$Q$3,"MAT",$C8:$Q8,AH$3)=0)*(COUNTIFS($C$3:$Q$3,"NOTTE",$C8:$Q8,AH$3)=0)*(COUNTIFS($C$3:$Q$3,"NOTTE",$C7:$Q7,AH$3)=0),"_m","")&amp;IF((AH8&lt;&gt;"Xp")*(AH8&lt;&gt;"Xg")*(COUNTIFS($C$3:$Q$3,"POM",$C8:$Q8,AH$3)=0)*(COUNTIFS($C$3:$Q$3,"NOTTE",$C8:$Q8,AH$3)=0)*(COUNTIFS($C$3:$Q$3,"NOTTE",$C7:$Q7,AH$3)=0),"_p","")&amp;IF((AH8&lt;&gt;"Xn")*(COUNTIFS($C$3:$Q$3,"MAT",$C8:$Q8,AH$3)=0)*(COUNTIFS($C$3:$Q$3,"POM",$C8:$Q8,AH$3)=0)*(COUNTIFS($C$3:$Q$3,"NOTTE",$C8:$Q8,AH$3)=0)*(COUNTIFS($C$3:$Q$3,"NOTTE",$C7:$Q7,AH$3)=0),"_n","")&amp;", ")))</f>
        <v xml:space="preserve">HU, </v>
      </c>
      <c r="CL8" s="9" t="str">
        <f>IF(0+(AI8="X")&gt;0,"",IF(0+((AI8&lt;&gt;"Xm")*(AI8&lt;&gt;"Xg")*(COUNTIFS($C$3:$Q$3,"MAT",$C8:$Q8,AI$3)=0)*(COUNTIFS($C$3:$Q$3,"NOTTE",$C8:$Q8,AI$3)=0)*(COUNTIFS($C$3:$Q$3,"NOTTE",$C7:$Q7,AI$3)=0))+((AI8&lt;&gt;"Xp")*(AI8&lt;&gt;"Xg")*(COUNTIFS($C$3:$Q$3,"POM",$C8:$Q8,AI$3)=0)*(COUNTIFS($C$3:$Q$3,"NOTTE",$C8:$Q8,AI$3)=0)*(COUNTIFS($C$3:$Q$3,"NOTTE",$C7:$Q7,AI$3)=0))+((AI8&lt;&gt;"Xn")*(COUNTIFS($C$3:$Q$3,"MAT",$C8:$Q8,AI$3)=0)*(COUNTIFS($C$3:$Q$3,"POM",$C8:$Q8,AI$3)=0)*(COUNTIFS($C$3:$Q$3,"NOTTE",$C8:$Q8,AI$3)=0)*(COUNTIFS($C$3:$Q$3,"NOTTE",$C7:$Q7,AI$3)=0))=0,"",IF(0+((AI8&lt;&gt;"Xm")*(AI8&lt;&gt;"Xg")*(COUNTIFS($C$3:$Q$3,"MAT",$C8:$Q8,AI$3)=0)*(COUNTIFS($C$3:$Q$3,"NOTTE",$C8:$Q8,AI$3)=0)*(COUNTIFS($C$3:$Q$3,"NOTTE",$C7:$Q7,AI$3)=0))+((AI8&lt;&gt;"Xp")*(AI8&lt;&gt;"Xg")*(COUNTIFS($C$3:$Q$3,"POM",$C8:$Q8,AI$3)=0)*(COUNTIFS($C$3:$Q$3,"NOTTE",$C8:$Q8,AI$3)=0)*(COUNTIFS($C$3:$Q$3,"NOTTE",$C7:$Q7,AI$3)=0))+((AI8&lt;&gt;"Xn")*(COUNTIFS($C$3:$Q$3,"MAT",$C8:$Q8,AI$3)=0)*(COUNTIFS($C$3:$Q$3,"POM",$C8:$Q8,AI$3)=0)*(COUNTIFS($C$3:$Q$3,"NOTTE",$C8:$Q8,AI$3)=0)*(COUNTIFS($C$3:$Q$3,"NOTTE",$C7:$Q7,AI$3)=0))=3,AI$3&amp;", ",AI$3&amp;IF((AI8&lt;&gt;"Xm")*(AI8&lt;&gt;"Xg")*(COUNTIFS($C$3:$Q$3,"MAT",$C8:$Q8,AI$3)=0)*(COUNTIFS($C$3:$Q$3,"NOTTE",$C8:$Q8,AI$3)=0)*(COUNTIFS($C$3:$Q$3,"NOTTE",$C7:$Q7,AI$3)=0),"_m","")&amp;IF((AI8&lt;&gt;"Xp")*(AI8&lt;&gt;"Xg")*(COUNTIFS($C$3:$Q$3,"POM",$C8:$Q8,AI$3)=0)*(COUNTIFS($C$3:$Q$3,"NOTTE",$C8:$Q8,AI$3)=0)*(COUNTIFS($C$3:$Q$3,"NOTTE",$C7:$Q7,AI$3)=0),"_p","")&amp;IF((AI8&lt;&gt;"Xn")*(COUNTIFS($C$3:$Q$3,"MAT",$C8:$Q8,AI$3)=0)*(COUNTIFS($C$3:$Q$3,"POM",$C8:$Q8,AI$3)=0)*(COUNTIFS($C$3:$Q$3,"NOTTE",$C8:$Q8,AI$3)=0)*(COUNTIFS($C$3:$Q$3,"NOTTE",$C7:$Q7,AI$3)=0),"_n","")&amp;", ")))</f>
        <v xml:space="preserve">MARINI, </v>
      </c>
      <c r="CM8" s="9" t="str">
        <f>IF(0+(AJ8="X")&gt;0,"",IF(0+((AJ8&lt;&gt;"Xm")*(AJ8&lt;&gt;"Xg")*(COUNTIFS($C$3:$Q$3,"MAT",$C8:$Q8,AJ$3)=0)*(COUNTIFS($C$3:$Q$3,"NOTTE",$C8:$Q8,AJ$3)=0)*(COUNTIFS($C$3:$Q$3,"NOTTE",$C7:$Q7,AJ$3)=0))+((AJ8&lt;&gt;"Xp")*(AJ8&lt;&gt;"Xg")*(COUNTIFS($C$3:$Q$3,"POM",$C8:$Q8,AJ$3)=0)*(COUNTIFS($C$3:$Q$3,"NOTTE",$C8:$Q8,AJ$3)=0)*(COUNTIFS($C$3:$Q$3,"NOTTE",$C7:$Q7,AJ$3)=0))+((AJ8&lt;&gt;"Xn")*(COUNTIFS($C$3:$Q$3,"MAT",$C8:$Q8,AJ$3)=0)*(COUNTIFS($C$3:$Q$3,"POM",$C8:$Q8,AJ$3)=0)*(COUNTIFS($C$3:$Q$3,"NOTTE",$C8:$Q8,AJ$3)=0)*(COUNTIFS($C$3:$Q$3,"NOTTE",$C7:$Q7,AJ$3)=0))=0,"",IF(0+((AJ8&lt;&gt;"Xm")*(AJ8&lt;&gt;"Xg")*(COUNTIFS($C$3:$Q$3,"MAT",$C8:$Q8,AJ$3)=0)*(COUNTIFS($C$3:$Q$3,"NOTTE",$C8:$Q8,AJ$3)=0)*(COUNTIFS($C$3:$Q$3,"NOTTE",$C7:$Q7,AJ$3)=0))+((AJ8&lt;&gt;"Xp")*(AJ8&lt;&gt;"Xg")*(COUNTIFS($C$3:$Q$3,"POM",$C8:$Q8,AJ$3)=0)*(COUNTIFS($C$3:$Q$3,"NOTTE",$C8:$Q8,AJ$3)=0)*(COUNTIFS($C$3:$Q$3,"NOTTE",$C7:$Q7,AJ$3)=0))+((AJ8&lt;&gt;"Xn")*(COUNTIFS($C$3:$Q$3,"MAT",$C8:$Q8,AJ$3)=0)*(COUNTIFS($C$3:$Q$3,"POM",$C8:$Q8,AJ$3)=0)*(COUNTIFS($C$3:$Q$3,"NOTTE",$C8:$Q8,AJ$3)=0)*(COUNTIFS($C$3:$Q$3,"NOTTE",$C7:$Q7,AJ$3)=0))=3,AJ$3&amp;", ",AJ$3&amp;IF((AJ8&lt;&gt;"Xm")*(AJ8&lt;&gt;"Xg")*(COUNTIFS($C$3:$Q$3,"MAT",$C8:$Q8,AJ$3)=0)*(COUNTIFS($C$3:$Q$3,"NOTTE",$C8:$Q8,AJ$3)=0)*(COUNTIFS($C$3:$Q$3,"NOTTE",$C7:$Q7,AJ$3)=0),"_m","")&amp;IF((AJ8&lt;&gt;"Xp")*(AJ8&lt;&gt;"Xg")*(COUNTIFS($C$3:$Q$3,"POM",$C8:$Q8,AJ$3)=0)*(COUNTIFS($C$3:$Q$3,"NOTTE",$C8:$Q8,AJ$3)=0)*(COUNTIFS($C$3:$Q$3,"NOTTE",$C7:$Q7,AJ$3)=0),"_p","")&amp;IF((AJ8&lt;&gt;"Xn")*(COUNTIFS($C$3:$Q$3,"MAT",$C8:$Q8,AJ$3)=0)*(COUNTIFS($C$3:$Q$3,"POM",$C8:$Q8,AJ$3)=0)*(COUNTIFS($C$3:$Q$3,"NOTTE",$C8:$Q8,AJ$3)=0)*(COUNTIFS($C$3:$Q$3,"NOTTE",$C7:$Q7,AJ$3)=0),"_n","")&amp;", ")))</f>
        <v xml:space="preserve">CONTI A, </v>
      </c>
      <c r="CN8" s="9" t="str">
        <f>IF(0+(AK8="X")&gt;0,"",IF(0+((AK8&lt;&gt;"Xm")*(AK8&lt;&gt;"Xg")*(COUNTIFS($C$3:$Q$3,"MAT",$C8:$Q8,AK$3)=0)*(COUNTIFS($C$3:$Q$3,"NOTTE",$C8:$Q8,AK$3)=0)*(COUNTIFS($C$3:$Q$3,"NOTTE",$C7:$Q7,AK$3)=0))+((AK8&lt;&gt;"Xp")*(AK8&lt;&gt;"Xg")*(COUNTIFS($C$3:$Q$3,"POM",$C8:$Q8,AK$3)=0)*(COUNTIFS($C$3:$Q$3,"NOTTE",$C8:$Q8,AK$3)=0)*(COUNTIFS($C$3:$Q$3,"NOTTE",$C7:$Q7,AK$3)=0))+((AK8&lt;&gt;"Xn")*(COUNTIFS($C$3:$Q$3,"MAT",$C8:$Q8,AK$3)=0)*(COUNTIFS($C$3:$Q$3,"POM",$C8:$Q8,AK$3)=0)*(COUNTIFS($C$3:$Q$3,"NOTTE",$C8:$Q8,AK$3)=0)*(COUNTIFS($C$3:$Q$3,"NOTTE",$C7:$Q7,AK$3)=0))=0,"",IF(0+((AK8&lt;&gt;"Xm")*(AK8&lt;&gt;"Xg")*(COUNTIFS($C$3:$Q$3,"MAT",$C8:$Q8,AK$3)=0)*(COUNTIFS($C$3:$Q$3,"NOTTE",$C8:$Q8,AK$3)=0)*(COUNTIFS($C$3:$Q$3,"NOTTE",$C7:$Q7,AK$3)=0))+((AK8&lt;&gt;"Xp")*(AK8&lt;&gt;"Xg")*(COUNTIFS($C$3:$Q$3,"POM",$C8:$Q8,AK$3)=0)*(COUNTIFS($C$3:$Q$3,"NOTTE",$C8:$Q8,AK$3)=0)*(COUNTIFS($C$3:$Q$3,"NOTTE",$C7:$Q7,AK$3)=0))+((AK8&lt;&gt;"Xn")*(COUNTIFS($C$3:$Q$3,"MAT",$C8:$Q8,AK$3)=0)*(COUNTIFS($C$3:$Q$3,"POM",$C8:$Q8,AK$3)=0)*(COUNTIFS($C$3:$Q$3,"NOTTE",$C8:$Q8,AK$3)=0)*(COUNTIFS($C$3:$Q$3,"NOTTE",$C7:$Q7,AK$3)=0))=3,AK$3&amp;", ",AK$3&amp;IF((AK8&lt;&gt;"Xm")*(AK8&lt;&gt;"Xg")*(COUNTIFS($C$3:$Q$3,"MAT",$C8:$Q8,AK$3)=0)*(COUNTIFS($C$3:$Q$3,"NOTTE",$C8:$Q8,AK$3)=0)*(COUNTIFS($C$3:$Q$3,"NOTTE",$C7:$Q7,AK$3)=0),"_m","")&amp;IF((AK8&lt;&gt;"Xp")*(AK8&lt;&gt;"Xg")*(COUNTIFS($C$3:$Q$3,"POM",$C8:$Q8,AK$3)=0)*(COUNTIFS($C$3:$Q$3,"NOTTE",$C8:$Q8,AK$3)=0)*(COUNTIFS($C$3:$Q$3,"NOTTE",$C7:$Q7,AK$3)=0),"_p","")&amp;IF((AK8&lt;&gt;"Xn")*(COUNTIFS($C$3:$Q$3,"MAT",$C8:$Q8,AK$3)=0)*(COUNTIFS($C$3:$Q$3,"POM",$C8:$Q8,AK$3)=0)*(COUNTIFS($C$3:$Q$3,"NOTTE",$C8:$Q8,AK$3)=0)*(COUNTIFS($C$3:$Q$3,"NOTTE",$C7:$Q7,AK$3)=0),"_n","")&amp;", ")))</f>
        <v xml:space="preserve">CONTI S, </v>
      </c>
      <c r="CO8" s="9" t="str">
        <f>IF(0+(AL8="X")&gt;0,"",IF(0+((AL8&lt;&gt;"Xm")*(AL8&lt;&gt;"Xg")*(COUNTIFS($C$3:$Q$3,"MAT",$C8:$Q8,AL$3)=0)*(COUNTIFS($C$3:$Q$3,"NOTTE",$C8:$Q8,AL$3)=0)*(COUNTIFS($C$3:$Q$3,"NOTTE",$C7:$Q7,AL$3)=0))+((AL8&lt;&gt;"Xp")*(AL8&lt;&gt;"Xg")*(COUNTIFS($C$3:$Q$3,"POM",$C8:$Q8,AL$3)=0)*(COUNTIFS($C$3:$Q$3,"NOTTE",$C8:$Q8,AL$3)=0)*(COUNTIFS($C$3:$Q$3,"NOTTE",$C7:$Q7,AL$3)=0))+((AL8&lt;&gt;"Xn")*(COUNTIFS($C$3:$Q$3,"MAT",$C8:$Q8,AL$3)=0)*(COUNTIFS($C$3:$Q$3,"POM",$C8:$Q8,AL$3)=0)*(COUNTIFS($C$3:$Q$3,"NOTTE",$C8:$Q8,AL$3)=0)*(COUNTIFS($C$3:$Q$3,"NOTTE",$C7:$Q7,AL$3)=0))=0,"",IF(0+((AL8&lt;&gt;"Xm")*(AL8&lt;&gt;"Xg")*(COUNTIFS($C$3:$Q$3,"MAT",$C8:$Q8,AL$3)=0)*(COUNTIFS($C$3:$Q$3,"NOTTE",$C8:$Q8,AL$3)=0)*(COUNTIFS($C$3:$Q$3,"NOTTE",$C7:$Q7,AL$3)=0))+((AL8&lt;&gt;"Xp")*(AL8&lt;&gt;"Xg")*(COUNTIFS($C$3:$Q$3,"POM",$C8:$Q8,AL$3)=0)*(COUNTIFS($C$3:$Q$3,"NOTTE",$C8:$Q8,AL$3)=0)*(COUNTIFS($C$3:$Q$3,"NOTTE",$C7:$Q7,AL$3)=0))+((AL8&lt;&gt;"Xn")*(COUNTIFS($C$3:$Q$3,"MAT",$C8:$Q8,AL$3)=0)*(COUNTIFS($C$3:$Q$3,"POM",$C8:$Q8,AL$3)=0)*(COUNTIFS($C$3:$Q$3,"NOTTE",$C8:$Q8,AL$3)=0)*(COUNTIFS($C$3:$Q$3,"NOTTE",$C7:$Q7,AL$3)=0))=3,AL$3&amp;", ",AL$3&amp;IF((AL8&lt;&gt;"Xm")*(AL8&lt;&gt;"Xg")*(COUNTIFS($C$3:$Q$3,"MAT",$C8:$Q8,AL$3)=0)*(COUNTIFS($C$3:$Q$3,"NOTTE",$C8:$Q8,AL$3)=0)*(COUNTIFS($C$3:$Q$3,"NOTTE",$C7:$Q7,AL$3)=0),"_m","")&amp;IF((AL8&lt;&gt;"Xp")*(AL8&lt;&gt;"Xg")*(COUNTIFS($C$3:$Q$3,"POM",$C8:$Q8,AL$3)=0)*(COUNTIFS($C$3:$Q$3,"NOTTE",$C8:$Q8,AL$3)=0)*(COUNTIFS($C$3:$Q$3,"NOTTE",$C7:$Q7,AL$3)=0),"_p","")&amp;IF((AL8&lt;&gt;"Xn")*(COUNTIFS($C$3:$Q$3,"MAT",$C8:$Q8,AL$3)=0)*(COUNTIFS($C$3:$Q$3,"POM",$C8:$Q8,AL$3)=0)*(COUNTIFS($C$3:$Q$3,"NOTTE",$C8:$Q8,AL$3)=0)*(COUNTIFS($C$3:$Q$3,"NOTTE",$C7:$Q7,AL$3)=0),"_n","")&amp;", ")))</f>
        <v xml:space="preserve">FERRARI, </v>
      </c>
      <c r="CP8" s="9" t="str">
        <f>IF(0+(AM8="X")&gt;0,"",IF(0+((AM8&lt;&gt;"Xm")*(AM8&lt;&gt;"Xg")*(COUNTIFS($C$3:$Q$3,"MAT",$C8:$Q8,AM$3)=0)*(COUNTIFS($C$3:$Q$3,"NOTTE",$C8:$Q8,AM$3)=0)*(COUNTIFS($C$3:$Q$3,"NOTTE",$C7:$Q7,AM$3)=0))+((AM8&lt;&gt;"Xp")*(AM8&lt;&gt;"Xg")*(COUNTIFS($C$3:$Q$3,"POM",$C8:$Q8,AM$3)=0)*(COUNTIFS($C$3:$Q$3,"NOTTE",$C8:$Q8,AM$3)=0)*(COUNTIFS($C$3:$Q$3,"NOTTE",$C7:$Q7,AM$3)=0))+((AM8&lt;&gt;"Xn")*(COUNTIFS($C$3:$Q$3,"MAT",$C8:$Q8,AM$3)=0)*(COUNTIFS($C$3:$Q$3,"POM",$C8:$Q8,AM$3)=0)*(COUNTIFS($C$3:$Q$3,"NOTTE",$C8:$Q8,AM$3)=0)*(COUNTIFS($C$3:$Q$3,"NOTTE",$C7:$Q7,AM$3)=0))=0,"",IF(0+((AM8&lt;&gt;"Xm")*(AM8&lt;&gt;"Xg")*(COUNTIFS($C$3:$Q$3,"MAT",$C8:$Q8,AM$3)=0)*(COUNTIFS($C$3:$Q$3,"NOTTE",$C8:$Q8,AM$3)=0)*(COUNTIFS($C$3:$Q$3,"NOTTE",$C7:$Q7,AM$3)=0))+((AM8&lt;&gt;"Xp")*(AM8&lt;&gt;"Xg")*(COUNTIFS($C$3:$Q$3,"POM",$C8:$Q8,AM$3)=0)*(COUNTIFS($C$3:$Q$3,"NOTTE",$C8:$Q8,AM$3)=0)*(COUNTIFS($C$3:$Q$3,"NOTTE",$C7:$Q7,AM$3)=0))+((AM8&lt;&gt;"Xn")*(COUNTIFS($C$3:$Q$3,"MAT",$C8:$Q8,AM$3)=0)*(COUNTIFS($C$3:$Q$3,"POM",$C8:$Q8,AM$3)=0)*(COUNTIFS($C$3:$Q$3,"NOTTE",$C8:$Q8,AM$3)=0)*(COUNTIFS($C$3:$Q$3,"NOTTE",$C7:$Q7,AM$3)=0))=3,AM$3&amp;", ",AM$3&amp;IF((AM8&lt;&gt;"Xm")*(AM8&lt;&gt;"Xg")*(COUNTIFS($C$3:$Q$3,"MAT",$C8:$Q8,AM$3)=0)*(COUNTIFS($C$3:$Q$3,"NOTTE",$C8:$Q8,AM$3)=0)*(COUNTIFS($C$3:$Q$3,"NOTTE",$C7:$Q7,AM$3)=0),"_m","")&amp;IF((AM8&lt;&gt;"Xp")*(AM8&lt;&gt;"Xg")*(COUNTIFS($C$3:$Q$3,"POM",$C8:$Q8,AM$3)=0)*(COUNTIFS($C$3:$Q$3,"NOTTE",$C8:$Q8,AM$3)=0)*(COUNTIFS($C$3:$Q$3,"NOTTE",$C7:$Q7,AM$3)=0),"_p","")&amp;IF((AM8&lt;&gt;"Xn")*(COUNTIFS($C$3:$Q$3,"MAT",$C8:$Q8,AM$3)=0)*(COUNTIFS($C$3:$Q$3,"POM",$C8:$Q8,AM$3)=0)*(COUNTIFS($C$3:$Q$3,"NOTTE",$C8:$Q8,AM$3)=0)*(COUNTIFS($C$3:$Q$3,"NOTTE",$C7:$Q7,AM$3)=0),"_n","")&amp;", ")))</f>
        <v xml:space="preserve">GRECO, </v>
      </c>
      <c r="CQ8" s="9" t="str">
        <f>IF(0+(AN8="X")&gt;0,"",IF(0+((AN8&lt;&gt;"Xm")*(AN8&lt;&gt;"Xg")*(COUNTIFS($C$3:$Q$3,"MAT",$C8:$Q8,AN$3)=0)*(COUNTIFS($C$3:$Q$3,"NOTTE",$C8:$Q8,AN$3)=0)*(COUNTIFS($C$3:$Q$3,"NOTTE",$C7:$Q7,AN$3)=0))+((AN8&lt;&gt;"Xp")*(AN8&lt;&gt;"Xg")*(COUNTIFS($C$3:$Q$3,"POM",$C8:$Q8,AN$3)=0)*(COUNTIFS($C$3:$Q$3,"NOTTE",$C8:$Q8,AN$3)=0)*(COUNTIFS($C$3:$Q$3,"NOTTE",$C7:$Q7,AN$3)=0))+((AN8&lt;&gt;"Xn")*(COUNTIFS($C$3:$Q$3,"MAT",$C8:$Q8,AN$3)=0)*(COUNTIFS($C$3:$Q$3,"POM",$C8:$Q8,AN$3)=0)*(COUNTIFS($C$3:$Q$3,"NOTTE",$C8:$Q8,AN$3)=0)*(COUNTIFS($C$3:$Q$3,"NOTTE",$C7:$Q7,AN$3)=0))=0,"",IF(0+((AN8&lt;&gt;"Xm")*(AN8&lt;&gt;"Xg")*(COUNTIFS($C$3:$Q$3,"MAT",$C8:$Q8,AN$3)=0)*(COUNTIFS($C$3:$Q$3,"NOTTE",$C8:$Q8,AN$3)=0)*(COUNTIFS($C$3:$Q$3,"NOTTE",$C7:$Q7,AN$3)=0))+((AN8&lt;&gt;"Xp")*(AN8&lt;&gt;"Xg")*(COUNTIFS($C$3:$Q$3,"POM",$C8:$Q8,AN$3)=0)*(COUNTIFS($C$3:$Q$3,"NOTTE",$C8:$Q8,AN$3)=0)*(COUNTIFS($C$3:$Q$3,"NOTTE",$C7:$Q7,AN$3)=0))+((AN8&lt;&gt;"Xn")*(COUNTIFS($C$3:$Q$3,"MAT",$C8:$Q8,AN$3)=0)*(COUNTIFS($C$3:$Q$3,"POM",$C8:$Q8,AN$3)=0)*(COUNTIFS($C$3:$Q$3,"NOTTE",$C8:$Q8,AN$3)=0)*(COUNTIFS($C$3:$Q$3,"NOTTE",$C7:$Q7,AN$3)=0))=3,AN$3&amp;", ",AN$3&amp;IF((AN8&lt;&gt;"Xm")*(AN8&lt;&gt;"Xg")*(COUNTIFS($C$3:$Q$3,"MAT",$C8:$Q8,AN$3)=0)*(COUNTIFS($C$3:$Q$3,"NOTTE",$C8:$Q8,AN$3)=0)*(COUNTIFS($C$3:$Q$3,"NOTTE",$C7:$Q7,AN$3)=0),"_m","")&amp;IF((AN8&lt;&gt;"Xp")*(AN8&lt;&gt;"Xg")*(COUNTIFS($C$3:$Q$3,"POM",$C8:$Q8,AN$3)=0)*(COUNTIFS($C$3:$Q$3,"NOTTE",$C8:$Q8,AN$3)=0)*(COUNTIFS($C$3:$Q$3,"NOTTE",$C7:$Q7,AN$3)=0),"_p","")&amp;IF((AN8&lt;&gt;"Xn")*(COUNTIFS($C$3:$Q$3,"MAT",$C8:$Q8,AN$3)=0)*(COUNTIFS($C$3:$Q$3,"POM",$C8:$Q8,AN$3)=0)*(COUNTIFS($C$3:$Q$3,"NOTTE",$C8:$Q8,AN$3)=0)*(COUNTIFS($C$3:$Q$3,"NOTTE",$C7:$Q7,AN$3)=0),"_n","")&amp;", ")))</f>
        <v xml:space="preserve">SANNA, </v>
      </c>
      <c r="CR8" s="9" t="str">
        <f>IF(0+(AO8="X")&gt;0,"",IF(0+((AO8&lt;&gt;"Xm")*(AO8&lt;&gt;"Xg")*(COUNTIFS($C$3:$Q$3,"MAT",$C8:$Q8,AO$3)=0)*(COUNTIFS($C$3:$Q$3,"NOTTE",$C8:$Q8,AO$3)=0)*(COUNTIFS($C$3:$Q$3,"NOTTE",$C7:$Q7,AO$3)=0))+((AO8&lt;&gt;"Xp")*(AO8&lt;&gt;"Xg")*(COUNTIFS($C$3:$Q$3,"POM",$C8:$Q8,AO$3)=0)*(COUNTIFS($C$3:$Q$3,"NOTTE",$C8:$Q8,AO$3)=0)*(COUNTIFS($C$3:$Q$3,"NOTTE",$C7:$Q7,AO$3)=0))+((AO8&lt;&gt;"Xn")*(COUNTIFS($C$3:$Q$3,"MAT",$C8:$Q8,AO$3)=0)*(COUNTIFS($C$3:$Q$3,"POM",$C8:$Q8,AO$3)=0)*(COUNTIFS($C$3:$Q$3,"NOTTE",$C8:$Q8,AO$3)=0)*(COUNTIFS($C$3:$Q$3,"NOTTE",$C7:$Q7,AO$3)=0))=0,"",IF(0+((AO8&lt;&gt;"Xm")*(AO8&lt;&gt;"Xg")*(COUNTIFS($C$3:$Q$3,"MAT",$C8:$Q8,AO$3)=0)*(COUNTIFS($C$3:$Q$3,"NOTTE",$C8:$Q8,AO$3)=0)*(COUNTIFS($C$3:$Q$3,"NOTTE",$C7:$Q7,AO$3)=0))+((AO8&lt;&gt;"Xp")*(AO8&lt;&gt;"Xg")*(COUNTIFS($C$3:$Q$3,"POM",$C8:$Q8,AO$3)=0)*(COUNTIFS($C$3:$Q$3,"NOTTE",$C8:$Q8,AO$3)=0)*(COUNTIFS($C$3:$Q$3,"NOTTE",$C7:$Q7,AO$3)=0))+((AO8&lt;&gt;"Xn")*(COUNTIFS($C$3:$Q$3,"MAT",$C8:$Q8,AO$3)=0)*(COUNTIFS($C$3:$Q$3,"POM",$C8:$Q8,AO$3)=0)*(COUNTIFS($C$3:$Q$3,"NOTTE",$C8:$Q8,AO$3)=0)*(COUNTIFS($C$3:$Q$3,"NOTTE",$C7:$Q7,AO$3)=0))=3,AO$3&amp;", ",AO$3&amp;IF((AO8&lt;&gt;"Xm")*(AO8&lt;&gt;"Xg")*(COUNTIFS($C$3:$Q$3,"MAT",$C8:$Q8,AO$3)=0)*(COUNTIFS($C$3:$Q$3,"NOTTE",$C8:$Q8,AO$3)=0)*(COUNTIFS($C$3:$Q$3,"NOTTE",$C7:$Q7,AO$3)=0),"_m","")&amp;IF((AO8&lt;&gt;"Xp")*(AO8&lt;&gt;"Xg")*(COUNTIFS($C$3:$Q$3,"POM",$C8:$Q8,AO$3)=0)*(COUNTIFS($C$3:$Q$3,"NOTTE",$C8:$Q8,AO$3)=0)*(COUNTIFS($C$3:$Q$3,"NOTTE",$C7:$Q7,AO$3)=0),"_p","")&amp;IF((AO8&lt;&gt;"Xn")*(COUNTIFS($C$3:$Q$3,"MAT",$C8:$Q8,AO$3)=0)*(COUNTIFS($C$3:$Q$3,"POM",$C8:$Q8,AO$3)=0)*(COUNTIFS($C$3:$Q$3,"NOTTE",$C8:$Q8,AO$3)=0)*(COUNTIFS($C$3:$Q$3,"NOTTE",$C7:$Q7,AO$3)=0),"_n","")&amp;", ")))</f>
        <v xml:space="preserve">LI, </v>
      </c>
    </row>
    <row r="9">
      <c r="A9" s="10" t="str">
        <f>CHOOSE(WEEKDAY(DATE($B$1,$A$2,B9),2),"lunedì","martedì","mercoledì","giovedì","venerdì","sabato","domenica")</f>
        <v>venerdì</v>
      </c>
      <c r="B9" s="10" t="n">
        <v>6</v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4" t="n"/>
      <c r="M9" s="11" t="n"/>
      <c r="N9" s="11" t="n"/>
      <c r="O9" s="11" t="n"/>
      <c r="P9" s="4" t="n"/>
      <c r="Q9" s="11" t="n"/>
      <c r="R9" s="11" t="n"/>
      <c r="S9" s="11">
        <f>IF(SUMPRODUCT(($C$3:$Q$3&lt;&gt;"")*($C9:$Q9&lt;&gt;"")*(LEFT($C9:$Q9,6)&lt;&gt;"chiuso")*(COUNTIFS($C9:$Q9,$C9:$Q9,$C$3:$Q$3,$C$3:$Q$3)&gt;1))&gt;0,"X","")</f>
      </c>
      <c r="T9" s="11" t="str">
        <f>IF(LEN(BP9&amp;BQ9&amp;BR9&amp;BS9&amp;BT9&amp;BU9&amp;BV9&amp;BW9&amp;BX9&amp;BY9&amp;BZ9&amp;CA9&amp;CB9&amp;CC9)=0,"",LEFT(BP9&amp;BQ9&amp;BR9&amp;BS9&amp;BT9&amp;BU9&amp;BV9&amp;BW9&amp;BX9&amp;BY9&amp;BZ9&amp;CA9&amp;CB9&amp;CC9,LEN(BP9&amp;BQ9&amp;BR9&amp;BS9&amp;BT9&amp;BU9&amp;BV9&amp;BW9&amp;BX9&amp;BY9&amp;BZ9&amp;CA9&amp;CB9&amp;CC9)-2))</f>
        <v>LEONI, ROSSI M, ROSSI L, GALLINA, RUSSO, VERDI, HU, MARINI, CONTI A, CONTI S, FERRARI, GRECO, SANNA, LI</v>
      </c>
      <c r="U9" s="11" t="str">
        <f>IF(LEN(CE9&amp;CF9&amp;CG9&amp;CH9&amp;CI9&amp;CJ9&amp;CK9&amp;CL9&amp;CM9&amp;CN9&amp;CO9&amp;CP9&amp;CQ9&amp;CR9)=0,"",LEFT(CE9&amp;CF9&amp;CG9&amp;CH9&amp;CI9&amp;CJ9&amp;CK9&amp;CL9&amp;CM9&amp;CN9&amp;CO9&amp;CP9&amp;CQ9&amp;CR9,LEN(CE9&amp;CF9&amp;CG9&amp;CH9&amp;CI9&amp;CJ9&amp;CK9&amp;CL9&amp;CM9&amp;CN9&amp;CO9&amp;CP9&amp;CQ9&amp;CR9)-2))</f>
        <v>LEONI, ROSSI M, ROSSI L, GALLINA, RUSSO, VERDI, HU, MARINI, CONTI A, CONTI S, FERRARI, GRECO, SANNA, LI</v>
      </c>
      <c r="Z9" s="10" t="str">
        <f>A9</f>
        <v>venerdì</v>
      </c>
      <c r="AA9" s="10">
        <f>B9</f>
        <v>6</v>
      </c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Q9" s="5" t="inlineStr">
        <is>
          <t>noG</t>
        </is>
      </c>
      <c r="AR9" s="6" t="inlineStr">
        <is>
          <t>indisponibile per il turno GUARDIA quel giorno</t>
        </is>
      </c>
      <c r="AT9" s="7" t="str">
        <f>AG$3</f>
        <v>VERDI</v>
      </c>
      <c r="AU9" s="7">
        <f>COUNTIF($C$4:$D$33,$AT9)</f>
        <v>0</v>
      </c>
      <c r="AV9" s="7">
        <f>COUNTIF($E$4:$F$33,$AT9)</f>
        <v>0</v>
      </c>
      <c r="AW9" s="7">
        <f>COUNTIF($G$4:$H$33,$AT9)</f>
        <v>0</v>
      </c>
      <c r="AX9" s="7">
        <f>COUNTIF($I$4:$J$33,$AT9)</f>
        <v>0</v>
      </c>
      <c r="AY9" s="7">
        <f>COUNTIF($K$4:$K$33,$AT9)</f>
        <v>0</v>
      </c>
      <c r="AZ9" s="7">
        <f>COUNTIF($L$4:$L$33,$AT9)</f>
        <v>0</v>
      </c>
      <c r="BA9" s="7">
        <f>COUNTIF($M$4:$M$33,$AT9)</f>
        <v>0</v>
      </c>
      <c r="BB9" s="7">
        <f>COUNTIF($N$4:$Q$33,$AT9)</f>
        <v>0</v>
      </c>
      <c r="BC9" s="7">
        <f>COUNTIF($C$4:$Q$33,$AT9)</f>
        <v>0</v>
      </c>
      <c r="BE9" s="8" t="str">
        <f>AG$3</f>
        <v>VERDI</v>
      </c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P9" s="9" t="str">
        <f>IF(0+(AB9="X")&gt;0,"",IF(0+((AB9&lt;&gt;"Xm")*(AB9&lt;&gt;"Xg"))+((AB9&lt;&gt;"Xp")*(AB9&lt;&gt;"Xg"))+((AB9&lt;&gt;"Xn"))=0,"",IF(0+((AB9&lt;&gt;"Xm")*(AB9&lt;&gt;"Xg"))+((AB9&lt;&gt;"Xp")*(AB9&lt;&gt;"Xg"))+((AB9&lt;&gt;"Xn"))=3,AB$3&amp;", ",AB$3&amp;IF((AB9&lt;&gt;"Xm")*(AB9&lt;&gt;"Xg"),"_m","")&amp;IF((AB9&lt;&gt;"Xp")*(AB9&lt;&gt;"Xg"),"_p","")&amp;IF((AB9&lt;&gt;"Xn"),"_n","")&amp;", ")))</f>
        <v xml:space="preserve">LEONI, </v>
      </c>
      <c r="BQ9" s="9" t="str">
        <f>IF(0+(AC9="X")&gt;0,"",IF(0+((AC9&lt;&gt;"Xm")*(AC9&lt;&gt;"Xg"))+((AC9&lt;&gt;"Xp")*(AC9&lt;&gt;"Xg"))+((AC9&lt;&gt;"Xn"))=0,"",IF(0+((AC9&lt;&gt;"Xm")*(AC9&lt;&gt;"Xg"))+((AC9&lt;&gt;"Xp")*(AC9&lt;&gt;"Xg"))+((AC9&lt;&gt;"Xn"))=3,AC$3&amp;", ",AC$3&amp;IF((AC9&lt;&gt;"Xm")*(AC9&lt;&gt;"Xg"),"_m","")&amp;IF((AC9&lt;&gt;"Xp")*(AC9&lt;&gt;"Xg"),"_p","")&amp;IF((AC9&lt;&gt;"Xn"),"_n","")&amp;", ")))</f>
        <v xml:space="preserve">ROSSI M, </v>
      </c>
      <c r="BR9" s="9" t="str">
        <f>IF(0+(AD9="X")&gt;0,"",IF(0+((AD9&lt;&gt;"Xm")*(AD9&lt;&gt;"Xg"))+((AD9&lt;&gt;"Xp")*(AD9&lt;&gt;"Xg"))+((AD9&lt;&gt;"Xn"))=0,"",IF(0+((AD9&lt;&gt;"Xm")*(AD9&lt;&gt;"Xg"))+((AD9&lt;&gt;"Xp")*(AD9&lt;&gt;"Xg"))+((AD9&lt;&gt;"Xn"))=3,AD$3&amp;", ",AD$3&amp;IF((AD9&lt;&gt;"Xm")*(AD9&lt;&gt;"Xg"),"_m","")&amp;IF((AD9&lt;&gt;"Xp")*(AD9&lt;&gt;"Xg"),"_p","")&amp;IF((AD9&lt;&gt;"Xn"),"_n","")&amp;", ")))</f>
        <v xml:space="preserve">ROSSI L, </v>
      </c>
      <c r="BS9" s="9" t="str">
        <f>IF(0+(AE9="X")&gt;0,"",IF(0+((AE9&lt;&gt;"Xm")*(AE9&lt;&gt;"Xg"))+((AE9&lt;&gt;"Xp")*(AE9&lt;&gt;"Xg"))+((AE9&lt;&gt;"Xn"))=0,"",IF(0+((AE9&lt;&gt;"Xm")*(AE9&lt;&gt;"Xg"))+((AE9&lt;&gt;"Xp")*(AE9&lt;&gt;"Xg"))+((AE9&lt;&gt;"Xn"))=3,AE$3&amp;", ",AE$3&amp;IF((AE9&lt;&gt;"Xm")*(AE9&lt;&gt;"Xg"),"_m","")&amp;IF((AE9&lt;&gt;"Xp")*(AE9&lt;&gt;"Xg"),"_p","")&amp;IF((AE9&lt;&gt;"Xn"),"_n","")&amp;", ")))</f>
        <v xml:space="preserve">GALLINA, </v>
      </c>
      <c r="BT9" s="9" t="str">
        <f>IF(0+(AF9="X")&gt;0,"",IF(0+((AF9&lt;&gt;"Xm")*(AF9&lt;&gt;"Xg"))+((AF9&lt;&gt;"Xp")*(AF9&lt;&gt;"Xg"))+((AF9&lt;&gt;"Xn"))=0,"",IF(0+((AF9&lt;&gt;"Xm")*(AF9&lt;&gt;"Xg"))+((AF9&lt;&gt;"Xp")*(AF9&lt;&gt;"Xg"))+((AF9&lt;&gt;"Xn"))=3,AF$3&amp;", ",AF$3&amp;IF((AF9&lt;&gt;"Xm")*(AF9&lt;&gt;"Xg"),"_m","")&amp;IF((AF9&lt;&gt;"Xp")*(AF9&lt;&gt;"Xg"),"_p","")&amp;IF((AF9&lt;&gt;"Xn"),"_n","")&amp;", ")))</f>
        <v xml:space="preserve">RUSSO, </v>
      </c>
      <c r="BU9" s="9" t="str">
        <f>IF(0+(AG9="X")&gt;0,"",IF(0+((AG9&lt;&gt;"Xm")*(AG9&lt;&gt;"Xg"))+((AG9&lt;&gt;"Xp")*(AG9&lt;&gt;"Xg"))+((AG9&lt;&gt;"Xn"))=0,"",IF(0+((AG9&lt;&gt;"Xm")*(AG9&lt;&gt;"Xg"))+((AG9&lt;&gt;"Xp")*(AG9&lt;&gt;"Xg"))+((AG9&lt;&gt;"Xn"))=3,AG$3&amp;", ",AG$3&amp;IF((AG9&lt;&gt;"Xm")*(AG9&lt;&gt;"Xg"),"_m","")&amp;IF((AG9&lt;&gt;"Xp")*(AG9&lt;&gt;"Xg"),"_p","")&amp;IF((AG9&lt;&gt;"Xn"),"_n","")&amp;", ")))</f>
        <v xml:space="preserve">VERDI, </v>
      </c>
      <c r="BV9" s="9" t="str">
        <f>IF(0+(AH9="X")&gt;0,"",IF(0+((AH9&lt;&gt;"Xm")*(AH9&lt;&gt;"Xg"))+((AH9&lt;&gt;"Xp")*(AH9&lt;&gt;"Xg"))+((AH9&lt;&gt;"Xn"))=0,"",IF(0+((AH9&lt;&gt;"Xm")*(AH9&lt;&gt;"Xg"))+((AH9&lt;&gt;"Xp")*(AH9&lt;&gt;"Xg"))+((AH9&lt;&gt;"Xn"))=3,AH$3&amp;", ",AH$3&amp;IF((AH9&lt;&gt;"Xm")*(AH9&lt;&gt;"Xg"),"_m","")&amp;IF((AH9&lt;&gt;"Xp")*(AH9&lt;&gt;"Xg"),"_p","")&amp;IF((AH9&lt;&gt;"Xn"),"_n","")&amp;", ")))</f>
        <v xml:space="preserve">HU, </v>
      </c>
      <c r="BW9" s="9" t="str">
        <f>IF(0+(AI9="X")&gt;0,"",IF(0+((AI9&lt;&gt;"Xm")*(AI9&lt;&gt;"Xg"))+((AI9&lt;&gt;"Xp")*(AI9&lt;&gt;"Xg"))+((AI9&lt;&gt;"Xn"))=0,"",IF(0+((AI9&lt;&gt;"Xm")*(AI9&lt;&gt;"Xg"))+((AI9&lt;&gt;"Xp")*(AI9&lt;&gt;"Xg"))+((AI9&lt;&gt;"Xn"))=3,AI$3&amp;", ",AI$3&amp;IF((AI9&lt;&gt;"Xm")*(AI9&lt;&gt;"Xg"),"_m","")&amp;IF((AI9&lt;&gt;"Xp")*(AI9&lt;&gt;"Xg"),"_p","")&amp;IF((AI9&lt;&gt;"Xn"),"_n","")&amp;", ")))</f>
        <v xml:space="preserve">MARINI, </v>
      </c>
      <c r="BX9" s="9" t="str">
        <f>IF(0+(AJ9="X")&gt;0,"",IF(0+((AJ9&lt;&gt;"Xm")*(AJ9&lt;&gt;"Xg"))+((AJ9&lt;&gt;"Xp")*(AJ9&lt;&gt;"Xg"))+((AJ9&lt;&gt;"Xn"))=0,"",IF(0+((AJ9&lt;&gt;"Xm")*(AJ9&lt;&gt;"Xg"))+((AJ9&lt;&gt;"Xp")*(AJ9&lt;&gt;"Xg"))+((AJ9&lt;&gt;"Xn"))=3,AJ$3&amp;", ",AJ$3&amp;IF((AJ9&lt;&gt;"Xm")*(AJ9&lt;&gt;"Xg"),"_m","")&amp;IF((AJ9&lt;&gt;"Xp")*(AJ9&lt;&gt;"Xg"),"_p","")&amp;IF((AJ9&lt;&gt;"Xn"),"_n","")&amp;", ")))</f>
        <v xml:space="preserve">CONTI A, </v>
      </c>
      <c r="BY9" s="9" t="str">
        <f>IF(0+(AK9="X")&gt;0,"",IF(0+((AK9&lt;&gt;"Xm")*(AK9&lt;&gt;"Xg"))+((AK9&lt;&gt;"Xp")*(AK9&lt;&gt;"Xg"))+((AK9&lt;&gt;"Xn"))=0,"",IF(0+((AK9&lt;&gt;"Xm")*(AK9&lt;&gt;"Xg"))+((AK9&lt;&gt;"Xp")*(AK9&lt;&gt;"Xg"))+((AK9&lt;&gt;"Xn"))=3,AK$3&amp;", ",AK$3&amp;IF((AK9&lt;&gt;"Xm")*(AK9&lt;&gt;"Xg"),"_m","")&amp;IF((AK9&lt;&gt;"Xp")*(AK9&lt;&gt;"Xg"),"_p","")&amp;IF((AK9&lt;&gt;"Xn"),"_n","")&amp;", ")))</f>
        <v xml:space="preserve">CONTI S, </v>
      </c>
      <c r="BZ9" s="9" t="str">
        <f>IF(0+(AL9="X")&gt;0,"",IF(0+((AL9&lt;&gt;"Xm")*(AL9&lt;&gt;"Xg"))+((AL9&lt;&gt;"Xp")*(AL9&lt;&gt;"Xg"))+((AL9&lt;&gt;"Xn"))=0,"",IF(0+((AL9&lt;&gt;"Xm")*(AL9&lt;&gt;"Xg"))+((AL9&lt;&gt;"Xp")*(AL9&lt;&gt;"Xg"))+((AL9&lt;&gt;"Xn"))=3,AL$3&amp;", ",AL$3&amp;IF((AL9&lt;&gt;"Xm")*(AL9&lt;&gt;"Xg"),"_m","")&amp;IF((AL9&lt;&gt;"Xp")*(AL9&lt;&gt;"Xg"),"_p","")&amp;IF((AL9&lt;&gt;"Xn"),"_n","")&amp;", ")))</f>
        <v xml:space="preserve">FERRARI, </v>
      </c>
      <c r="CA9" s="9" t="str">
        <f>IF(0+(AM9="X")&gt;0,"",IF(0+((AM9&lt;&gt;"Xm")*(AM9&lt;&gt;"Xg"))+((AM9&lt;&gt;"Xp")*(AM9&lt;&gt;"Xg"))+((AM9&lt;&gt;"Xn"))=0,"",IF(0+((AM9&lt;&gt;"Xm")*(AM9&lt;&gt;"Xg"))+((AM9&lt;&gt;"Xp")*(AM9&lt;&gt;"Xg"))+((AM9&lt;&gt;"Xn"))=3,AM$3&amp;", ",AM$3&amp;IF((AM9&lt;&gt;"Xm")*(AM9&lt;&gt;"Xg"),"_m","")&amp;IF((AM9&lt;&gt;"Xp")*(AM9&lt;&gt;"Xg"),"_p","")&amp;IF((AM9&lt;&gt;"Xn"),"_n","")&amp;", ")))</f>
        <v xml:space="preserve">GRECO, </v>
      </c>
      <c r="CB9" s="9" t="str">
        <f>IF(0+(AN9="X")&gt;0,"",IF(0+((AN9&lt;&gt;"Xm")*(AN9&lt;&gt;"Xg"))+((AN9&lt;&gt;"Xp")*(AN9&lt;&gt;"Xg"))+((AN9&lt;&gt;"Xn"))=0,"",IF(0+((AN9&lt;&gt;"Xm")*(AN9&lt;&gt;"Xg"))+((AN9&lt;&gt;"Xp")*(AN9&lt;&gt;"Xg"))+((AN9&lt;&gt;"Xn"))=3,AN$3&amp;", ",AN$3&amp;IF((AN9&lt;&gt;"Xm")*(AN9&lt;&gt;"Xg"),"_m","")&amp;IF((AN9&lt;&gt;"Xp")*(AN9&lt;&gt;"Xg"),"_p","")&amp;IF((AN9&lt;&gt;"Xn"),"_n","")&amp;", ")))</f>
        <v xml:space="preserve">SANNA, </v>
      </c>
      <c r="CC9" s="9" t="str">
        <f>IF(0+(AO9="X")&gt;0,"",IF(0+((AO9&lt;&gt;"Xm")*(AO9&lt;&gt;"Xg"))+((AO9&lt;&gt;"Xp")*(AO9&lt;&gt;"Xg"))+((AO9&lt;&gt;"Xn"))=0,"",IF(0+((AO9&lt;&gt;"Xm")*(AO9&lt;&gt;"Xg"))+((AO9&lt;&gt;"Xp")*(AO9&lt;&gt;"Xg"))+((AO9&lt;&gt;"Xn"))=3,AO$3&amp;", ",AO$3&amp;IF((AO9&lt;&gt;"Xm")*(AO9&lt;&gt;"Xg"),"_m","")&amp;IF((AO9&lt;&gt;"Xp")*(AO9&lt;&gt;"Xg"),"_p","")&amp;IF((AO9&lt;&gt;"Xn"),"_n","")&amp;", ")))</f>
        <v xml:space="preserve">LI, </v>
      </c>
      <c r="CD9" s="9" t="n"/>
      <c r="CE9" s="9" t="str">
        <f>IF(0+(AB9="X")&gt;0,"",IF(0+((AB9&lt;&gt;"Xm")*(AB9&lt;&gt;"Xg")*(COUNTIFS($C$3:$Q$3,"MAT",$C9:$Q9,AB$3)=0)*(COUNTIFS($C$3:$Q$3,"NOTTE",$C9:$Q9,AB$3)=0)*(COUNTIFS($C$3:$Q$3,"NOTTE",$C8:$Q8,AB$3)=0))+((AB9&lt;&gt;"Xp")*(AB9&lt;&gt;"Xg")*(COUNTIFS($C$3:$Q$3,"POM",$C9:$Q9,AB$3)=0)*(COUNTIFS($C$3:$Q$3,"NOTTE",$C9:$Q9,AB$3)=0)*(COUNTIFS($C$3:$Q$3,"NOTTE",$C8:$Q8,AB$3)=0))+((AB9&lt;&gt;"Xn")*(COUNTIFS($C$3:$Q$3,"MAT",$C9:$Q9,AB$3)=0)*(COUNTIFS($C$3:$Q$3,"POM",$C9:$Q9,AB$3)=0)*(COUNTIFS($C$3:$Q$3,"NOTTE",$C9:$Q9,AB$3)=0)*(COUNTIFS($C$3:$Q$3,"NOTTE",$C8:$Q8,AB$3)=0))=0,"",IF(0+((AB9&lt;&gt;"Xm")*(AB9&lt;&gt;"Xg")*(COUNTIFS($C$3:$Q$3,"MAT",$C9:$Q9,AB$3)=0)*(COUNTIFS($C$3:$Q$3,"NOTTE",$C9:$Q9,AB$3)=0)*(COUNTIFS($C$3:$Q$3,"NOTTE",$C8:$Q8,AB$3)=0))+((AB9&lt;&gt;"Xp")*(AB9&lt;&gt;"Xg")*(COUNTIFS($C$3:$Q$3,"POM",$C9:$Q9,AB$3)=0)*(COUNTIFS($C$3:$Q$3,"NOTTE",$C9:$Q9,AB$3)=0)*(COUNTIFS($C$3:$Q$3,"NOTTE",$C8:$Q8,AB$3)=0))+((AB9&lt;&gt;"Xn")*(COUNTIFS($C$3:$Q$3,"MAT",$C9:$Q9,AB$3)=0)*(COUNTIFS($C$3:$Q$3,"POM",$C9:$Q9,AB$3)=0)*(COUNTIFS($C$3:$Q$3,"NOTTE",$C9:$Q9,AB$3)=0)*(COUNTIFS($C$3:$Q$3,"NOTTE",$C8:$Q8,AB$3)=0))=3,AB$3&amp;", ",AB$3&amp;IF((AB9&lt;&gt;"Xm")*(AB9&lt;&gt;"Xg")*(COUNTIFS($C$3:$Q$3,"MAT",$C9:$Q9,AB$3)=0)*(COUNTIFS($C$3:$Q$3,"NOTTE",$C9:$Q9,AB$3)=0)*(COUNTIFS($C$3:$Q$3,"NOTTE",$C8:$Q8,AB$3)=0),"_m","")&amp;IF((AB9&lt;&gt;"Xp")*(AB9&lt;&gt;"Xg")*(COUNTIFS($C$3:$Q$3,"POM",$C9:$Q9,AB$3)=0)*(COUNTIFS($C$3:$Q$3,"NOTTE",$C9:$Q9,AB$3)=0)*(COUNTIFS($C$3:$Q$3,"NOTTE",$C8:$Q8,AB$3)=0),"_p","")&amp;IF((AB9&lt;&gt;"Xn")*(COUNTIFS($C$3:$Q$3,"MAT",$C9:$Q9,AB$3)=0)*(COUNTIFS($C$3:$Q$3,"POM",$C9:$Q9,AB$3)=0)*(COUNTIFS($C$3:$Q$3,"NOTTE",$C9:$Q9,AB$3)=0)*(COUNTIFS($C$3:$Q$3,"NOTTE",$C8:$Q8,AB$3)=0),"_n","")&amp;", ")))</f>
        <v xml:space="preserve">LEONI, </v>
      </c>
      <c r="CF9" s="9" t="str">
        <f>IF(0+(AC9="X")&gt;0,"",IF(0+((AC9&lt;&gt;"Xm")*(AC9&lt;&gt;"Xg")*(COUNTIFS($C$3:$Q$3,"MAT",$C9:$Q9,AC$3)=0)*(COUNTIFS($C$3:$Q$3,"NOTTE",$C9:$Q9,AC$3)=0)*(COUNTIFS($C$3:$Q$3,"NOTTE",$C8:$Q8,AC$3)=0))+((AC9&lt;&gt;"Xp")*(AC9&lt;&gt;"Xg")*(COUNTIFS($C$3:$Q$3,"POM",$C9:$Q9,AC$3)=0)*(COUNTIFS($C$3:$Q$3,"NOTTE",$C9:$Q9,AC$3)=0)*(COUNTIFS($C$3:$Q$3,"NOTTE",$C8:$Q8,AC$3)=0))+((AC9&lt;&gt;"Xn")*(COUNTIFS($C$3:$Q$3,"MAT",$C9:$Q9,AC$3)=0)*(COUNTIFS($C$3:$Q$3,"POM",$C9:$Q9,AC$3)=0)*(COUNTIFS($C$3:$Q$3,"NOTTE",$C9:$Q9,AC$3)=0)*(COUNTIFS($C$3:$Q$3,"NOTTE",$C8:$Q8,AC$3)=0))=0,"",IF(0+((AC9&lt;&gt;"Xm")*(AC9&lt;&gt;"Xg")*(COUNTIFS($C$3:$Q$3,"MAT",$C9:$Q9,AC$3)=0)*(COUNTIFS($C$3:$Q$3,"NOTTE",$C9:$Q9,AC$3)=0)*(COUNTIFS($C$3:$Q$3,"NOTTE",$C8:$Q8,AC$3)=0))+((AC9&lt;&gt;"Xp")*(AC9&lt;&gt;"Xg")*(COUNTIFS($C$3:$Q$3,"POM",$C9:$Q9,AC$3)=0)*(COUNTIFS($C$3:$Q$3,"NOTTE",$C9:$Q9,AC$3)=0)*(COUNTIFS($C$3:$Q$3,"NOTTE",$C8:$Q8,AC$3)=0))+((AC9&lt;&gt;"Xn")*(COUNTIFS($C$3:$Q$3,"MAT",$C9:$Q9,AC$3)=0)*(COUNTIFS($C$3:$Q$3,"POM",$C9:$Q9,AC$3)=0)*(COUNTIFS($C$3:$Q$3,"NOTTE",$C9:$Q9,AC$3)=0)*(COUNTIFS($C$3:$Q$3,"NOTTE",$C8:$Q8,AC$3)=0))=3,AC$3&amp;", ",AC$3&amp;IF((AC9&lt;&gt;"Xm")*(AC9&lt;&gt;"Xg")*(COUNTIFS($C$3:$Q$3,"MAT",$C9:$Q9,AC$3)=0)*(COUNTIFS($C$3:$Q$3,"NOTTE",$C9:$Q9,AC$3)=0)*(COUNTIFS($C$3:$Q$3,"NOTTE",$C8:$Q8,AC$3)=0),"_m","")&amp;IF((AC9&lt;&gt;"Xp")*(AC9&lt;&gt;"Xg")*(COUNTIFS($C$3:$Q$3,"POM",$C9:$Q9,AC$3)=0)*(COUNTIFS($C$3:$Q$3,"NOTTE",$C9:$Q9,AC$3)=0)*(COUNTIFS($C$3:$Q$3,"NOTTE",$C8:$Q8,AC$3)=0),"_p","")&amp;IF((AC9&lt;&gt;"Xn")*(COUNTIFS($C$3:$Q$3,"MAT",$C9:$Q9,AC$3)=0)*(COUNTIFS($C$3:$Q$3,"POM",$C9:$Q9,AC$3)=0)*(COUNTIFS($C$3:$Q$3,"NOTTE",$C9:$Q9,AC$3)=0)*(COUNTIFS($C$3:$Q$3,"NOTTE",$C8:$Q8,AC$3)=0),"_n","")&amp;", ")))</f>
        <v xml:space="preserve">ROSSI M, </v>
      </c>
      <c r="CG9" s="9" t="str">
        <f>IF(0+(AD9="X")&gt;0,"",IF(0+((AD9&lt;&gt;"Xm")*(AD9&lt;&gt;"Xg")*(COUNTIFS($C$3:$Q$3,"MAT",$C9:$Q9,AD$3)=0)*(COUNTIFS($C$3:$Q$3,"NOTTE",$C9:$Q9,AD$3)=0)*(COUNTIFS($C$3:$Q$3,"NOTTE",$C8:$Q8,AD$3)=0))+((AD9&lt;&gt;"Xp")*(AD9&lt;&gt;"Xg")*(COUNTIFS($C$3:$Q$3,"POM",$C9:$Q9,AD$3)=0)*(COUNTIFS($C$3:$Q$3,"NOTTE",$C9:$Q9,AD$3)=0)*(COUNTIFS($C$3:$Q$3,"NOTTE",$C8:$Q8,AD$3)=0))+((AD9&lt;&gt;"Xn")*(COUNTIFS($C$3:$Q$3,"MAT",$C9:$Q9,AD$3)=0)*(COUNTIFS($C$3:$Q$3,"POM",$C9:$Q9,AD$3)=0)*(COUNTIFS($C$3:$Q$3,"NOTTE",$C9:$Q9,AD$3)=0)*(COUNTIFS($C$3:$Q$3,"NOTTE",$C8:$Q8,AD$3)=0))=0,"",IF(0+((AD9&lt;&gt;"Xm")*(AD9&lt;&gt;"Xg")*(COUNTIFS($C$3:$Q$3,"MAT",$C9:$Q9,AD$3)=0)*(COUNTIFS($C$3:$Q$3,"NOTTE",$C9:$Q9,AD$3)=0)*(COUNTIFS($C$3:$Q$3,"NOTTE",$C8:$Q8,AD$3)=0))+((AD9&lt;&gt;"Xp")*(AD9&lt;&gt;"Xg")*(COUNTIFS($C$3:$Q$3,"POM",$C9:$Q9,AD$3)=0)*(COUNTIFS($C$3:$Q$3,"NOTTE",$C9:$Q9,AD$3)=0)*(COUNTIFS($C$3:$Q$3,"NOTTE",$C8:$Q8,AD$3)=0))+((AD9&lt;&gt;"Xn")*(COUNTIFS($C$3:$Q$3,"MAT",$C9:$Q9,AD$3)=0)*(COUNTIFS($C$3:$Q$3,"POM",$C9:$Q9,AD$3)=0)*(COUNTIFS($C$3:$Q$3,"NOTTE",$C9:$Q9,AD$3)=0)*(COUNTIFS($C$3:$Q$3,"NOTTE",$C8:$Q8,AD$3)=0))=3,AD$3&amp;", ",AD$3&amp;IF((AD9&lt;&gt;"Xm")*(AD9&lt;&gt;"Xg")*(COUNTIFS($C$3:$Q$3,"MAT",$C9:$Q9,AD$3)=0)*(COUNTIFS($C$3:$Q$3,"NOTTE",$C9:$Q9,AD$3)=0)*(COUNTIFS($C$3:$Q$3,"NOTTE",$C8:$Q8,AD$3)=0),"_m","")&amp;IF((AD9&lt;&gt;"Xp")*(AD9&lt;&gt;"Xg")*(COUNTIFS($C$3:$Q$3,"POM",$C9:$Q9,AD$3)=0)*(COUNTIFS($C$3:$Q$3,"NOTTE",$C9:$Q9,AD$3)=0)*(COUNTIFS($C$3:$Q$3,"NOTTE",$C8:$Q8,AD$3)=0),"_p","")&amp;IF((AD9&lt;&gt;"Xn")*(COUNTIFS($C$3:$Q$3,"MAT",$C9:$Q9,AD$3)=0)*(COUNTIFS($C$3:$Q$3,"POM",$C9:$Q9,AD$3)=0)*(COUNTIFS($C$3:$Q$3,"NOTTE",$C9:$Q9,AD$3)=0)*(COUNTIFS($C$3:$Q$3,"NOTTE",$C8:$Q8,AD$3)=0),"_n","")&amp;", ")))</f>
        <v xml:space="preserve">ROSSI L, </v>
      </c>
      <c r="CH9" s="9" t="str">
        <f>IF(0+(AE9="X")&gt;0,"",IF(0+((AE9&lt;&gt;"Xm")*(AE9&lt;&gt;"Xg")*(COUNTIFS($C$3:$Q$3,"MAT",$C9:$Q9,AE$3)=0)*(COUNTIFS($C$3:$Q$3,"NOTTE",$C9:$Q9,AE$3)=0)*(COUNTIFS($C$3:$Q$3,"NOTTE",$C8:$Q8,AE$3)=0))+((AE9&lt;&gt;"Xp")*(AE9&lt;&gt;"Xg")*(COUNTIFS($C$3:$Q$3,"POM",$C9:$Q9,AE$3)=0)*(COUNTIFS($C$3:$Q$3,"NOTTE",$C9:$Q9,AE$3)=0)*(COUNTIFS($C$3:$Q$3,"NOTTE",$C8:$Q8,AE$3)=0))+((AE9&lt;&gt;"Xn")*(COUNTIFS($C$3:$Q$3,"MAT",$C9:$Q9,AE$3)=0)*(COUNTIFS($C$3:$Q$3,"POM",$C9:$Q9,AE$3)=0)*(COUNTIFS($C$3:$Q$3,"NOTTE",$C9:$Q9,AE$3)=0)*(COUNTIFS($C$3:$Q$3,"NOTTE",$C8:$Q8,AE$3)=0))=0,"",IF(0+((AE9&lt;&gt;"Xm")*(AE9&lt;&gt;"Xg")*(COUNTIFS($C$3:$Q$3,"MAT",$C9:$Q9,AE$3)=0)*(COUNTIFS($C$3:$Q$3,"NOTTE",$C9:$Q9,AE$3)=0)*(COUNTIFS($C$3:$Q$3,"NOTTE",$C8:$Q8,AE$3)=0))+((AE9&lt;&gt;"Xp")*(AE9&lt;&gt;"Xg")*(COUNTIFS($C$3:$Q$3,"POM",$C9:$Q9,AE$3)=0)*(COUNTIFS($C$3:$Q$3,"NOTTE",$C9:$Q9,AE$3)=0)*(COUNTIFS($C$3:$Q$3,"NOTTE",$C8:$Q8,AE$3)=0))+((AE9&lt;&gt;"Xn")*(COUNTIFS($C$3:$Q$3,"MAT",$C9:$Q9,AE$3)=0)*(COUNTIFS($C$3:$Q$3,"POM",$C9:$Q9,AE$3)=0)*(COUNTIFS($C$3:$Q$3,"NOTTE",$C9:$Q9,AE$3)=0)*(COUNTIFS($C$3:$Q$3,"NOTTE",$C8:$Q8,AE$3)=0))=3,AE$3&amp;", ",AE$3&amp;IF((AE9&lt;&gt;"Xm")*(AE9&lt;&gt;"Xg")*(COUNTIFS($C$3:$Q$3,"MAT",$C9:$Q9,AE$3)=0)*(COUNTIFS($C$3:$Q$3,"NOTTE",$C9:$Q9,AE$3)=0)*(COUNTIFS($C$3:$Q$3,"NOTTE",$C8:$Q8,AE$3)=0),"_m","")&amp;IF((AE9&lt;&gt;"Xp")*(AE9&lt;&gt;"Xg")*(COUNTIFS($C$3:$Q$3,"POM",$C9:$Q9,AE$3)=0)*(COUNTIFS($C$3:$Q$3,"NOTTE",$C9:$Q9,AE$3)=0)*(COUNTIFS($C$3:$Q$3,"NOTTE",$C8:$Q8,AE$3)=0),"_p","")&amp;IF((AE9&lt;&gt;"Xn")*(COUNTIFS($C$3:$Q$3,"MAT",$C9:$Q9,AE$3)=0)*(COUNTIFS($C$3:$Q$3,"POM",$C9:$Q9,AE$3)=0)*(COUNTIFS($C$3:$Q$3,"NOTTE",$C9:$Q9,AE$3)=0)*(COUNTIFS($C$3:$Q$3,"NOTTE",$C8:$Q8,AE$3)=0),"_n","")&amp;", ")))</f>
        <v xml:space="preserve">GALLINA, </v>
      </c>
      <c r="CI9" s="9" t="str">
        <f>IF(0+(AF9="X")&gt;0,"",IF(0+((AF9&lt;&gt;"Xm")*(AF9&lt;&gt;"Xg")*(COUNTIFS($C$3:$Q$3,"MAT",$C9:$Q9,AF$3)=0)*(COUNTIFS($C$3:$Q$3,"NOTTE",$C9:$Q9,AF$3)=0)*(COUNTIFS($C$3:$Q$3,"NOTTE",$C8:$Q8,AF$3)=0))+((AF9&lt;&gt;"Xp")*(AF9&lt;&gt;"Xg")*(COUNTIFS($C$3:$Q$3,"POM",$C9:$Q9,AF$3)=0)*(COUNTIFS($C$3:$Q$3,"NOTTE",$C9:$Q9,AF$3)=0)*(COUNTIFS($C$3:$Q$3,"NOTTE",$C8:$Q8,AF$3)=0))+((AF9&lt;&gt;"Xn")*(COUNTIFS($C$3:$Q$3,"MAT",$C9:$Q9,AF$3)=0)*(COUNTIFS($C$3:$Q$3,"POM",$C9:$Q9,AF$3)=0)*(COUNTIFS($C$3:$Q$3,"NOTTE",$C9:$Q9,AF$3)=0)*(COUNTIFS($C$3:$Q$3,"NOTTE",$C8:$Q8,AF$3)=0))=0,"",IF(0+((AF9&lt;&gt;"Xm")*(AF9&lt;&gt;"Xg")*(COUNTIFS($C$3:$Q$3,"MAT",$C9:$Q9,AF$3)=0)*(COUNTIFS($C$3:$Q$3,"NOTTE",$C9:$Q9,AF$3)=0)*(COUNTIFS($C$3:$Q$3,"NOTTE",$C8:$Q8,AF$3)=0))+((AF9&lt;&gt;"Xp")*(AF9&lt;&gt;"Xg")*(COUNTIFS($C$3:$Q$3,"POM",$C9:$Q9,AF$3)=0)*(COUNTIFS($C$3:$Q$3,"NOTTE",$C9:$Q9,AF$3)=0)*(COUNTIFS($C$3:$Q$3,"NOTTE",$C8:$Q8,AF$3)=0))+((AF9&lt;&gt;"Xn")*(COUNTIFS($C$3:$Q$3,"MAT",$C9:$Q9,AF$3)=0)*(COUNTIFS($C$3:$Q$3,"POM",$C9:$Q9,AF$3)=0)*(COUNTIFS($C$3:$Q$3,"NOTTE",$C9:$Q9,AF$3)=0)*(COUNTIFS($C$3:$Q$3,"NOTTE",$C8:$Q8,AF$3)=0))=3,AF$3&amp;", ",AF$3&amp;IF((AF9&lt;&gt;"Xm")*(AF9&lt;&gt;"Xg")*(COUNTIFS($C$3:$Q$3,"MAT",$C9:$Q9,AF$3)=0)*(COUNTIFS($C$3:$Q$3,"NOTTE",$C9:$Q9,AF$3)=0)*(COUNTIFS($C$3:$Q$3,"NOTTE",$C8:$Q8,AF$3)=0),"_m","")&amp;IF((AF9&lt;&gt;"Xp")*(AF9&lt;&gt;"Xg")*(COUNTIFS($C$3:$Q$3,"POM",$C9:$Q9,AF$3)=0)*(COUNTIFS($C$3:$Q$3,"NOTTE",$C9:$Q9,AF$3)=0)*(COUNTIFS($C$3:$Q$3,"NOTTE",$C8:$Q8,AF$3)=0),"_p","")&amp;IF((AF9&lt;&gt;"Xn")*(COUNTIFS($C$3:$Q$3,"MAT",$C9:$Q9,AF$3)=0)*(COUNTIFS($C$3:$Q$3,"POM",$C9:$Q9,AF$3)=0)*(COUNTIFS($C$3:$Q$3,"NOTTE",$C9:$Q9,AF$3)=0)*(COUNTIFS($C$3:$Q$3,"NOTTE",$C8:$Q8,AF$3)=0),"_n","")&amp;", ")))</f>
        <v xml:space="preserve">RUSSO, </v>
      </c>
      <c r="CJ9" s="9" t="str">
        <f>IF(0+(AG9="X")&gt;0,"",IF(0+((AG9&lt;&gt;"Xm")*(AG9&lt;&gt;"Xg")*(COUNTIFS($C$3:$Q$3,"MAT",$C9:$Q9,AG$3)=0)*(COUNTIFS($C$3:$Q$3,"NOTTE",$C9:$Q9,AG$3)=0)*(COUNTIFS($C$3:$Q$3,"NOTTE",$C8:$Q8,AG$3)=0))+((AG9&lt;&gt;"Xp")*(AG9&lt;&gt;"Xg")*(COUNTIFS($C$3:$Q$3,"POM",$C9:$Q9,AG$3)=0)*(COUNTIFS($C$3:$Q$3,"NOTTE",$C9:$Q9,AG$3)=0)*(COUNTIFS($C$3:$Q$3,"NOTTE",$C8:$Q8,AG$3)=0))+((AG9&lt;&gt;"Xn")*(COUNTIFS($C$3:$Q$3,"MAT",$C9:$Q9,AG$3)=0)*(COUNTIFS($C$3:$Q$3,"POM",$C9:$Q9,AG$3)=0)*(COUNTIFS($C$3:$Q$3,"NOTTE",$C9:$Q9,AG$3)=0)*(COUNTIFS($C$3:$Q$3,"NOTTE",$C8:$Q8,AG$3)=0))=0,"",IF(0+((AG9&lt;&gt;"Xm")*(AG9&lt;&gt;"Xg")*(COUNTIFS($C$3:$Q$3,"MAT",$C9:$Q9,AG$3)=0)*(COUNTIFS($C$3:$Q$3,"NOTTE",$C9:$Q9,AG$3)=0)*(COUNTIFS($C$3:$Q$3,"NOTTE",$C8:$Q8,AG$3)=0))+((AG9&lt;&gt;"Xp")*(AG9&lt;&gt;"Xg")*(COUNTIFS($C$3:$Q$3,"POM",$C9:$Q9,AG$3)=0)*(COUNTIFS($C$3:$Q$3,"NOTTE",$C9:$Q9,AG$3)=0)*(COUNTIFS($C$3:$Q$3,"NOTTE",$C8:$Q8,AG$3)=0))+((AG9&lt;&gt;"Xn")*(COUNTIFS($C$3:$Q$3,"MAT",$C9:$Q9,AG$3)=0)*(COUNTIFS($C$3:$Q$3,"POM",$C9:$Q9,AG$3)=0)*(COUNTIFS($C$3:$Q$3,"NOTTE",$C9:$Q9,AG$3)=0)*(COUNTIFS($C$3:$Q$3,"NOTTE",$C8:$Q8,AG$3)=0))=3,AG$3&amp;", ",AG$3&amp;IF((AG9&lt;&gt;"Xm")*(AG9&lt;&gt;"Xg")*(COUNTIFS($C$3:$Q$3,"MAT",$C9:$Q9,AG$3)=0)*(COUNTIFS($C$3:$Q$3,"NOTTE",$C9:$Q9,AG$3)=0)*(COUNTIFS($C$3:$Q$3,"NOTTE",$C8:$Q8,AG$3)=0),"_m","")&amp;IF((AG9&lt;&gt;"Xp")*(AG9&lt;&gt;"Xg")*(COUNTIFS($C$3:$Q$3,"POM",$C9:$Q9,AG$3)=0)*(COUNTIFS($C$3:$Q$3,"NOTTE",$C9:$Q9,AG$3)=0)*(COUNTIFS($C$3:$Q$3,"NOTTE",$C8:$Q8,AG$3)=0),"_p","")&amp;IF((AG9&lt;&gt;"Xn")*(COUNTIFS($C$3:$Q$3,"MAT",$C9:$Q9,AG$3)=0)*(COUNTIFS($C$3:$Q$3,"POM",$C9:$Q9,AG$3)=0)*(COUNTIFS($C$3:$Q$3,"NOTTE",$C9:$Q9,AG$3)=0)*(COUNTIFS($C$3:$Q$3,"NOTTE",$C8:$Q8,AG$3)=0),"_n","")&amp;", ")))</f>
        <v xml:space="preserve">VERDI, </v>
      </c>
      <c r="CK9" s="9" t="str">
        <f>IF(0+(AH9="X")&gt;0,"",IF(0+((AH9&lt;&gt;"Xm")*(AH9&lt;&gt;"Xg")*(COUNTIFS($C$3:$Q$3,"MAT",$C9:$Q9,AH$3)=0)*(COUNTIFS($C$3:$Q$3,"NOTTE",$C9:$Q9,AH$3)=0)*(COUNTIFS($C$3:$Q$3,"NOTTE",$C8:$Q8,AH$3)=0))+((AH9&lt;&gt;"Xp")*(AH9&lt;&gt;"Xg")*(COUNTIFS($C$3:$Q$3,"POM",$C9:$Q9,AH$3)=0)*(COUNTIFS($C$3:$Q$3,"NOTTE",$C9:$Q9,AH$3)=0)*(COUNTIFS($C$3:$Q$3,"NOTTE",$C8:$Q8,AH$3)=0))+((AH9&lt;&gt;"Xn")*(COUNTIFS($C$3:$Q$3,"MAT",$C9:$Q9,AH$3)=0)*(COUNTIFS($C$3:$Q$3,"POM",$C9:$Q9,AH$3)=0)*(COUNTIFS($C$3:$Q$3,"NOTTE",$C9:$Q9,AH$3)=0)*(COUNTIFS($C$3:$Q$3,"NOTTE",$C8:$Q8,AH$3)=0))=0,"",IF(0+((AH9&lt;&gt;"Xm")*(AH9&lt;&gt;"Xg")*(COUNTIFS($C$3:$Q$3,"MAT",$C9:$Q9,AH$3)=0)*(COUNTIFS($C$3:$Q$3,"NOTTE",$C9:$Q9,AH$3)=0)*(COUNTIFS($C$3:$Q$3,"NOTTE",$C8:$Q8,AH$3)=0))+((AH9&lt;&gt;"Xp")*(AH9&lt;&gt;"Xg")*(COUNTIFS($C$3:$Q$3,"POM",$C9:$Q9,AH$3)=0)*(COUNTIFS($C$3:$Q$3,"NOTTE",$C9:$Q9,AH$3)=0)*(COUNTIFS($C$3:$Q$3,"NOTTE",$C8:$Q8,AH$3)=0))+((AH9&lt;&gt;"Xn")*(COUNTIFS($C$3:$Q$3,"MAT",$C9:$Q9,AH$3)=0)*(COUNTIFS($C$3:$Q$3,"POM",$C9:$Q9,AH$3)=0)*(COUNTIFS($C$3:$Q$3,"NOTTE",$C9:$Q9,AH$3)=0)*(COUNTIFS($C$3:$Q$3,"NOTTE",$C8:$Q8,AH$3)=0))=3,AH$3&amp;", ",AH$3&amp;IF((AH9&lt;&gt;"Xm")*(AH9&lt;&gt;"Xg")*(COUNTIFS($C$3:$Q$3,"MAT",$C9:$Q9,AH$3)=0)*(COUNTIFS($C$3:$Q$3,"NOTTE",$C9:$Q9,AH$3)=0)*(COUNTIFS($C$3:$Q$3,"NOTTE",$C8:$Q8,AH$3)=0),"_m","")&amp;IF((AH9&lt;&gt;"Xp")*(AH9&lt;&gt;"Xg")*(COUNTIFS($C$3:$Q$3,"POM",$C9:$Q9,AH$3)=0)*(COUNTIFS($C$3:$Q$3,"NOTTE",$C9:$Q9,AH$3)=0)*(COUNTIFS($C$3:$Q$3,"NOTTE",$C8:$Q8,AH$3)=0),"_p","")&amp;IF((AH9&lt;&gt;"Xn")*(COUNTIFS($C$3:$Q$3,"MAT",$C9:$Q9,AH$3)=0)*(COUNTIFS($C$3:$Q$3,"POM",$C9:$Q9,AH$3)=0)*(COUNTIFS($C$3:$Q$3,"NOTTE",$C9:$Q9,AH$3)=0)*(COUNTIFS($C$3:$Q$3,"NOTTE",$C8:$Q8,AH$3)=0),"_n","")&amp;", ")))</f>
        <v xml:space="preserve">HU, </v>
      </c>
      <c r="CL9" s="9" t="str">
        <f>IF(0+(AI9="X")&gt;0,"",IF(0+((AI9&lt;&gt;"Xm")*(AI9&lt;&gt;"Xg")*(COUNTIFS($C$3:$Q$3,"MAT",$C9:$Q9,AI$3)=0)*(COUNTIFS($C$3:$Q$3,"NOTTE",$C9:$Q9,AI$3)=0)*(COUNTIFS($C$3:$Q$3,"NOTTE",$C8:$Q8,AI$3)=0))+((AI9&lt;&gt;"Xp")*(AI9&lt;&gt;"Xg")*(COUNTIFS($C$3:$Q$3,"POM",$C9:$Q9,AI$3)=0)*(COUNTIFS($C$3:$Q$3,"NOTTE",$C9:$Q9,AI$3)=0)*(COUNTIFS($C$3:$Q$3,"NOTTE",$C8:$Q8,AI$3)=0))+((AI9&lt;&gt;"Xn")*(COUNTIFS($C$3:$Q$3,"MAT",$C9:$Q9,AI$3)=0)*(COUNTIFS($C$3:$Q$3,"POM",$C9:$Q9,AI$3)=0)*(COUNTIFS($C$3:$Q$3,"NOTTE",$C9:$Q9,AI$3)=0)*(COUNTIFS($C$3:$Q$3,"NOTTE",$C8:$Q8,AI$3)=0))=0,"",IF(0+((AI9&lt;&gt;"Xm")*(AI9&lt;&gt;"Xg")*(COUNTIFS($C$3:$Q$3,"MAT",$C9:$Q9,AI$3)=0)*(COUNTIFS($C$3:$Q$3,"NOTTE",$C9:$Q9,AI$3)=0)*(COUNTIFS($C$3:$Q$3,"NOTTE",$C8:$Q8,AI$3)=0))+((AI9&lt;&gt;"Xp")*(AI9&lt;&gt;"Xg")*(COUNTIFS($C$3:$Q$3,"POM",$C9:$Q9,AI$3)=0)*(COUNTIFS($C$3:$Q$3,"NOTTE",$C9:$Q9,AI$3)=0)*(COUNTIFS($C$3:$Q$3,"NOTTE",$C8:$Q8,AI$3)=0))+((AI9&lt;&gt;"Xn")*(COUNTIFS($C$3:$Q$3,"MAT",$C9:$Q9,AI$3)=0)*(COUNTIFS($C$3:$Q$3,"POM",$C9:$Q9,AI$3)=0)*(COUNTIFS($C$3:$Q$3,"NOTTE",$C9:$Q9,AI$3)=0)*(COUNTIFS($C$3:$Q$3,"NOTTE",$C8:$Q8,AI$3)=0))=3,AI$3&amp;", ",AI$3&amp;IF((AI9&lt;&gt;"Xm")*(AI9&lt;&gt;"Xg")*(COUNTIFS($C$3:$Q$3,"MAT",$C9:$Q9,AI$3)=0)*(COUNTIFS($C$3:$Q$3,"NOTTE",$C9:$Q9,AI$3)=0)*(COUNTIFS($C$3:$Q$3,"NOTTE",$C8:$Q8,AI$3)=0),"_m","")&amp;IF((AI9&lt;&gt;"Xp")*(AI9&lt;&gt;"Xg")*(COUNTIFS($C$3:$Q$3,"POM",$C9:$Q9,AI$3)=0)*(COUNTIFS($C$3:$Q$3,"NOTTE",$C9:$Q9,AI$3)=0)*(COUNTIFS($C$3:$Q$3,"NOTTE",$C8:$Q8,AI$3)=0),"_p","")&amp;IF((AI9&lt;&gt;"Xn")*(COUNTIFS($C$3:$Q$3,"MAT",$C9:$Q9,AI$3)=0)*(COUNTIFS($C$3:$Q$3,"POM",$C9:$Q9,AI$3)=0)*(COUNTIFS($C$3:$Q$3,"NOTTE",$C9:$Q9,AI$3)=0)*(COUNTIFS($C$3:$Q$3,"NOTTE",$C8:$Q8,AI$3)=0),"_n","")&amp;", ")))</f>
        <v xml:space="preserve">MARINI, </v>
      </c>
      <c r="CM9" s="9" t="str">
        <f>IF(0+(AJ9="X")&gt;0,"",IF(0+((AJ9&lt;&gt;"Xm")*(AJ9&lt;&gt;"Xg")*(COUNTIFS($C$3:$Q$3,"MAT",$C9:$Q9,AJ$3)=0)*(COUNTIFS($C$3:$Q$3,"NOTTE",$C9:$Q9,AJ$3)=0)*(COUNTIFS($C$3:$Q$3,"NOTTE",$C8:$Q8,AJ$3)=0))+((AJ9&lt;&gt;"Xp")*(AJ9&lt;&gt;"Xg")*(COUNTIFS($C$3:$Q$3,"POM",$C9:$Q9,AJ$3)=0)*(COUNTIFS($C$3:$Q$3,"NOTTE",$C9:$Q9,AJ$3)=0)*(COUNTIFS($C$3:$Q$3,"NOTTE",$C8:$Q8,AJ$3)=0))+((AJ9&lt;&gt;"Xn")*(COUNTIFS($C$3:$Q$3,"MAT",$C9:$Q9,AJ$3)=0)*(COUNTIFS($C$3:$Q$3,"POM",$C9:$Q9,AJ$3)=0)*(COUNTIFS($C$3:$Q$3,"NOTTE",$C9:$Q9,AJ$3)=0)*(COUNTIFS($C$3:$Q$3,"NOTTE",$C8:$Q8,AJ$3)=0))=0,"",IF(0+((AJ9&lt;&gt;"Xm")*(AJ9&lt;&gt;"Xg")*(COUNTIFS($C$3:$Q$3,"MAT",$C9:$Q9,AJ$3)=0)*(COUNTIFS($C$3:$Q$3,"NOTTE",$C9:$Q9,AJ$3)=0)*(COUNTIFS($C$3:$Q$3,"NOTTE",$C8:$Q8,AJ$3)=0))+((AJ9&lt;&gt;"Xp")*(AJ9&lt;&gt;"Xg")*(COUNTIFS($C$3:$Q$3,"POM",$C9:$Q9,AJ$3)=0)*(COUNTIFS($C$3:$Q$3,"NOTTE",$C9:$Q9,AJ$3)=0)*(COUNTIFS($C$3:$Q$3,"NOTTE",$C8:$Q8,AJ$3)=0))+((AJ9&lt;&gt;"Xn")*(COUNTIFS($C$3:$Q$3,"MAT",$C9:$Q9,AJ$3)=0)*(COUNTIFS($C$3:$Q$3,"POM",$C9:$Q9,AJ$3)=0)*(COUNTIFS($C$3:$Q$3,"NOTTE",$C9:$Q9,AJ$3)=0)*(COUNTIFS($C$3:$Q$3,"NOTTE",$C8:$Q8,AJ$3)=0))=3,AJ$3&amp;", ",AJ$3&amp;IF((AJ9&lt;&gt;"Xm")*(AJ9&lt;&gt;"Xg")*(COUNTIFS($C$3:$Q$3,"MAT",$C9:$Q9,AJ$3)=0)*(COUNTIFS($C$3:$Q$3,"NOTTE",$C9:$Q9,AJ$3)=0)*(COUNTIFS($C$3:$Q$3,"NOTTE",$C8:$Q8,AJ$3)=0),"_m","")&amp;IF((AJ9&lt;&gt;"Xp")*(AJ9&lt;&gt;"Xg")*(COUNTIFS($C$3:$Q$3,"POM",$C9:$Q9,AJ$3)=0)*(COUNTIFS($C$3:$Q$3,"NOTTE",$C9:$Q9,AJ$3)=0)*(COUNTIFS($C$3:$Q$3,"NOTTE",$C8:$Q8,AJ$3)=0),"_p","")&amp;IF((AJ9&lt;&gt;"Xn")*(COUNTIFS($C$3:$Q$3,"MAT",$C9:$Q9,AJ$3)=0)*(COUNTIFS($C$3:$Q$3,"POM",$C9:$Q9,AJ$3)=0)*(COUNTIFS($C$3:$Q$3,"NOTTE",$C9:$Q9,AJ$3)=0)*(COUNTIFS($C$3:$Q$3,"NOTTE",$C8:$Q8,AJ$3)=0),"_n","")&amp;", ")))</f>
        <v xml:space="preserve">CONTI A, </v>
      </c>
      <c r="CN9" s="9" t="str">
        <f>IF(0+(AK9="X")&gt;0,"",IF(0+((AK9&lt;&gt;"Xm")*(AK9&lt;&gt;"Xg")*(COUNTIFS($C$3:$Q$3,"MAT",$C9:$Q9,AK$3)=0)*(COUNTIFS($C$3:$Q$3,"NOTTE",$C9:$Q9,AK$3)=0)*(COUNTIFS($C$3:$Q$3,"NOTTE",$C8:$Q8,AK$3)=0))+((AK9&lt;&gt;"Xp")*(AK9&lt;&gt;"Xg")*(COUNTIFS($C$3:$Q$3,"POM",$C9:$Q9,AK$3)=0)*(COUNTIFS($C$3:$Q$3,"NOTTE",$C9:$Q9,AK$3)=0)*(COUNTIFS($C$3:$Q$3,"NOTTE",$C8:$Q8,AK$3)=0))+((AK9&lt;&gt;"Xn")*(COUNTIFS($C$3:$Q$3,"MAT",$C9:$Q9,AK$3)=0)*(COUNTIFS($C$3:$Q$3,"POM",$C9:$Q9,AK$3)=0)*(COUNTIFS($C$3:$Q$3,"NOTTE",$C9:$Q9,AK$3)=0)*(COUNTIFS($C$3:$Q$3,"NOTTE",$C8:$Q8,AK$3)=0))=0,"",IF(0+((AK9&lt;&gt;"Xm")*(AK9&lt;&gt;"Xg")*(COUNTIFS($C$3:$Q$3,"MAT",$C9:$Q9,AK$3)=0)*(COUNTIFS($C$3:$Q$3,"NOTTE",$C9:$Q9,AK$3)=0)*(COUNTIFS($C$3:$Q$3,"NOTTE",$C8:$Q8,AK$3)=0))+((AK9&lt;&gt;"Xp")*(AK9&lt;&gt;"Xg")*(COUNTIFS($C$3:$Q$3,"POM",$C9:$Q9,AK$3)=0)*(COUNTIFS($C$3:$Q$3,"NOTTE",$C9:$Q9,AK$3)=0)*(COUNTIFS($C$3:$Q$3,"NOTTE",$C8:$Q8,AK$3)=0))+((AK9&lt;&gt;"Xn")*(COUNTIFS($C$3:$Q$3,"MAT",$C9:$Q9,AK$3)=0)*(COUNTIFS($C$3:$Q$3,"POM",$C9:$Q9,AK$3)=0)*(COUNTIFS($C$3:$Q$3,"NOTTE",$C9:$Q9,AK$3)=0)*(COUNTIFS($C$3:$Q$3,"NOTTE",$C8:$Q8,AK$3)=0))=3,AK$3&amp;", ",AK$3&amp;IF((AK9&lt;&gt;"Xm")*(AK9&lt;&gt;"Xg")*(COUNTIFS($C$3:$Q$3,"MAT",$C9:$Q9,AK$3)=0)*(COUNTIFS($C$3:$Q$3,"NOTTE",$C9:$Q9,AK$3)=0)*(COUNTIFS($C$3:$Q$3,"NOTTE",$C8:$Q8,AK$3)=0),"_m","")&amp;IF((AK9&lt;&gt;"Xp")*(AK9&lt;&gt;"Xg")*(COUNTIFS($C$3:$Q$3,"POM",$C9:$Q9,AK$3)=0)*(COUNTIFS($C$3:$Q$3,"NOTTE",$C9:$Q9,AK$3)=0)*(COUNTIFS($C$3:$Q$3,"NOTTE",$C8:$Q8,AK$3)=0),"_p","")&amp;IF((AK9&lt;&gt;"Xn")*(COUNTIFS($C$3:$Q$3,"MAT",$C9:$Q9,AK$3)=0)*(COUNTIFS($C$3:$Q$3,"POM",$C9:$Q9,AK$3)=0)*(COUNTIFS($C$3:$Q$3,"NOTTE",$C9:$Q9,AK$3)=0)*(COUNTIFS($C$3:$Q$3,"NOTTE",$C8:$Q8,AK$3)=0),"_n","")&amp;", ")))</f>
        <v xml:space="preserve">CONTI S, </v>
      </c>
      <c r="CO9" s="9" t="str">
        <f>IF(0+(AL9="X")&gt;0,"",IF(0+((AL9&lt;&gt;"Xm")*(AL9&lt;&gt;"Xg")*(COUNTIFS($C$3:$Q$3,"MAT",$C9:$Q9,AL$3)=0)*(COUNTIFS($C$3:$Q$3,"NOTTE",$C9:$Q9,AL$3)=0)*(COUNTIFS($C$3:$Q$3,"NOTTE",$C8:$Q8,AL$3)=0))+((AL9&lt;&gt;"Xp")*(AL9&lt;&gt;"Xg")*(COUNTIFS($C$3:$Q$3,"POM",$C9:$Q9,AL$3)=0)*(COUNTIFS($C$3:$Q$3,"NOTTE",$C9:$Q9,AL$3)=0)*(COUNTIFS($C$3:$Q$3,"NOTTE",$C8:$Q8,AL$3)=0))+((AL9&lt;&gt;"Xn")*(COUNTIFS($C$3:$Q$3,"MAT",$C9:$Q9,AL$3)=0)*(COUNTIFS($C$3:$Q$3,"POM",$C9:$Q9,AL$3)=0)*(COUNTIFS($C$3:$Q$3,"NOTTE",$C9:$Q9,AL$3)=0)*(COUNTIFS($C$3:$Q$3,"NOTTE",$C8:$Q8,AL$3)=0))=0,"",IF(0+((AL9&lt;&gt;"Xm")*(AL9&lt;&gt;"Xg")*(COUNTIFS($C$3:$Q$3,"MAT",$C9:$Q9,AL$3)=0)*(COUNTIFS($C$3:$Q$3,"NOTTE",$C9:$Q9,AL$3)=0)*(COUNTIFS($C$3:$Q$3,"NOTTE",$C8:$Q8,AL$3)=0))+((AL9&lt;&gt;"Xp")*(AL9&lt;&gt;"Xg")*(COUNTIFS($C$3:$Q$3,"POM",$C9:$Q9,AL$3)=0)*(COUNTIFS($C$3:$Q$3,"NOTTE",$C9:$Q9,AL$3)=0)*(COUNTIFS($C$3:$Q$3,"NOTTE",$C8:$Q8,AL$3)=0))+((AL9&lt;&gt;"Xn")*(COUNTIFS($C$3:$Q$3,"MAT",$C9:$Q9,AL$3)=0)*(COUNTIFS($C$3:$Q$3,"POM",$C9:$Q9,AL$3)=0)*(COUNTIFS($C$3:$Q$3,"NOTTE",$C9:$Q9,AL$3)=0)*(COUNTIFS($C$3:$Q$3,"NOTTE",$C8:$Q8,AL$3)=0))=3,AL$3&amp;", ",AL$3&amp;IF((AL9&lt;&gt;"Xm")*(AL9&lt;&gt;"Xg")*(COUNTIFS($C$3:$Q$3,"MAT",$C9:$Q9,AL$3)=0)*(COUNTIFS($C$3:$Q$3,"NOTTE",$C9:$Q9,AL$3)=0)*(COUNTIFS($C$3:$Q$3,"NOTTE",$C8:$Q8,AL$3)=0),"_m","")&amp;IF((AL9&lt;&gt;"Xp")*(AL9&lt;&gt;"Xg")*(COUNTIFS($C$3:$Q$3,"POM",$C9:$Q9,AL$3)=0)*(COUNTIFS($C$3:$Q$3,"NOTTE",$C9:$Q9,AL$3)=0)*(COUNTIFS($C$3:$Q$3,"NOTTE",$C8:$Q8,AL$3)=0),"_p","")&amp;IF((AL9&lt;&gt;"Xn")*(COUNTIFS($C$3:$Q$3,"MAT",$C9:$Q9,AL$3)=0)*(COUNTIFS($C$3:$Q$3,"POM",$C9:$Q9,AL$3)=0)*(COUNTIFS($C$3:$Q$3,"NOTTE",$C9:$Q9,AL$3)=0)*(COUNTIFS($C$3:$Q$3,"NOTTE",$C8:$Q8,AL$3)=0),"_n","")&amp;", ")))</f>
        <v xml:space="preserve">FERRARI, </v>
      </c>
      <c r="CP9" s="9" t="str">
        <f>IF(0+(AM9="X")&gt;0,"",IF(0+((AM9&lt;&gt;"Xm")*(AM9&lt;&gt;"Xg")*(COUNTIFS($C$3:$Q$3,"MAT",$C9:$Q9,AM$3)=0)*(COUNTIFS($C$3:$Q$3,"NOTTE",$C9:$Q9,AM$3)=0)*(COUNTIFS($C$3:$Q$3,"NOTTE",$C8:$Q8,AM$3)=0))+((AM9&lt;&gt;"Xp")*(AM9&lt;&gt;"Xg")*(COUNTIFS($C$3:$Q$3,"POM",$C9:$Q9,AM$3)=0)*(COUNTIFS($C$3:$Q$3,"NOTTE",$C9:$Q9,AM$3)=0)*(COUNTIFS($C$3:$Q$3,"NOTTE",$C8:$Q8,AM$3)=0))+((AM9&lt;&gt;"Xn")*(COUNTIFS($C$3:$Q$3,"MAT",$C9:$Q9,AM$3)=0)*(COUNTIFS($C$3:$Q$3,"POM",$C9:$Q9,AM$3)=0)*(COUNTIFS($C$3:$Q$3,"NOTTE",$C9:$Q9,AM$3)=0)*(COUNTIFS($C$3:$Q$3,"NOTTE",$C8:$Q8,AM$3)=0))=0,"",IF(0+((AM9&lt;&gt;"Xm")*(AM9&lt;&gt;"Xg")*(COUNTIFS($C$3:$Q$3,"MAT",$C9:$Q9,AM$3)=0)*(COUNTIFS($C$3:$Q$3,"NOTTE",$C9:$Q9,AM$3)=0)*(COUNTIFS($C$3:$Q$3,"NOTTE",$C8:$Q8,AM$3)=0))+((AM9&lt;&gt;"Xp")*(AM9&lt;&gt;"Xg")*(COUNTIFS($C$3:$Q$3,"POM",$C9:$Q9,AM$3)=0)*(COUNTIFS($C$3:$Q$3,"NOTTE",$C9:$Q9,AM$3)=0)*(COUNTIFS($C$3:$Q$3,"NOTTE",$C8:$Q8,AM$3)=0))+((AM9&lt;&gt;"Xn")*(COUNTIFS($C$3:$Q$3,"MAT",$C9:$Q9,AM$3)=0)*(COUNTIFS($C$3:$Q$3,"POM",$C9:$Q9,AM$3)=0)*(COUNTIFS($C$3:$Q$3,"NOTTE",$C9:$Q9,AM$3)=0)*(COUNTIFS($C$3:$Q$3,"NOTTE",$C8:$Q8,AM$3)=0))=3,AM$3&amp;", ",AM$3&amp;IF((AM9&lt;&gt;"Xm")*(AM9&lt;&gt;"Xg")*(COUNTIFS($C$3:$Q$3,"MAT",$C9:$Q9,AM$3)=0)*(COUNTIFS($C$3:$Q$3,"NOTTE",$C9:$Q9,AM$3)=0)*(COUNTIFS($C$3:$Q$3,"NOTTE",$C8:$Q8,AM$3)=0),"_m","")&amp;IF((AM9&lt;&gt;"Xp")*(AM9&lt;&gt;"Xg")*(COUNTIFS($C$3:$Q$3,"POM",$C9:$Q9,AM$3)=0)*(COUNTIFS($C$3:$Q$3,"NOTTE",$C9:$Q9,AM$3)=0)*(COUNTIFS($C$3:$Q$3,"NOTTE",$C8:$Q8,AM$3)=0),"_p","")&amp;IF((AM9&lt;&gt;"Xn")*(COUNTIFS($C$3:$Q$3,"MAT",$C9:$Q9,AM$3)=0)*(COUNTIFS($C$3:$Q$3,"POM",$C9:$Q9,AM$3)=0)*(COUNTIFS($C$3:$Q$3,"NOTTE",$C9:$Q9,AM$3)=0)*(COUNTIFS($C$3:$Q$3,"NOTTE",$C8:$Q8,AM$3)=0),"_n","")&amp;", ")))</f>
        <v xml:space="preserve">GRECO, </v>
      </c>
      <c r="CQ9" s="9" t="str">
        <f>IF(0+(AN9="X")&gt;0,"",IF(0+((AN9&lt;&gt;"Xm")*(AN9&lt;&gt;"Xg")*(COUNTIFS($C$3:$Q$3,"MAT",$C9:$Q9,AN$3)=0)*(COUNTIFS($C$3:$Q$3,"NOTTE",$C9:$Q9,AN$3)=0)*(COUNTIFS($C$3:$Q$3,"NOTTE",$C8:$Q8,AN$3)=0))+((AN9&lt;&gt;"Xp")*(AN9&lt;&gt;"Xg")*(COUNTIFS($C$3:$Q$3,"POM",$C9:$Q9,AN$3)=0)*(COUNTIFS($C$3:$Q$3,"NOTTE",$C9:$Q9,AN$3)=0)*(COUNTIFS($C$3:$Q$3,"NOTTE",$C8:$Q8,AN$3)=0))+((AN9&lt;&gt;"Xn")*(COUNTIFS($C$3:$Q$3,"MAT",$C9:$Q9,AN$3)=0)*(COUNTIFS($C$3:$Q$3,"POM",$C9:$Q9,AN$3)=0)*(COUNTIFS($C$3:$Q$3,"NOTTE",$C9:$Q9,AN$3)=0)*(COUNTIFS($C$3:$Q$3,"NOTTE",$C8:$Q8,AN$3)=0))=0,"",IF(0+((AN9&lt;&gt;"Xm")*(AN9&lt;&gt;"Xg")*(COUNTIFS($C$3:$Q$3,"MAT",$C9:$Q9,AN$3)=0)*(COUNTIFS($C$3:$Q$3,"NOTTE",$C9:$Q9,AN$3)=0)*(COUNTIFS($C$3:$Q$3,"NOTTE",$C8:$Q8,AN$3)=0))+((AN9&lt;&gt;"Xp")*(AN9&lt;&gt;"Xg")*(COUNTIFS($C$3:$Q$3,"POM",$C9:$Q9,AN$3)=0)*(COUNTIFS($C$3:$Q$3,"NOTTE",$C9:$Q9,AN$3)=0)*(COUNTIFS($C$3:$Q$3,"NOTTE",$C8:$Q8,AN$3)=0))+((AN9&lt;&gt;"Xn")*(COUNTIFS($C$3:$Q$3,"MAT",$C9:$Q9,AN$3)=0)*(COUNTIFS($C$3:$Q$3,"POM",$C9:$Q9,AN$3)=0)*(COUNTIFS($C$3:$Q$3,"NOTTE",$C9:$Q9,AN$3)=0)*(COUNTIFS($C$3:$Q$3,"NOTTE",$C8:$Q8,AN$3)=0))=3,AN$3&amp;", ",AN$3&amp;IF((AN9&lt;&gt;"Xm")*(AN9&lt;&gt;"Xg")*(COUNTIFS($C$3:$Q$3,"MAT",$C9:$Q9,AN$3)=0)*(COUNTIFS($C$3:$Q$3,"NOTTE",$C9:$Q9,AN$3)=0)*(COUNTIFS($C$3:$Q$3,"NOTTE",$C8:$Q8,AN$3)=0),"_m","")&amp;IF((AN9&lt;&gt;"Xp")*(AN9&lt;&gt;"Xg")*(COUNTIFS($C$3:$Q$3,"POM",$C9:$Q9,AN$3)=0)*(COUNTIFS($C$3:$Q$3,"NOTTE",$C9:$Q9,AN$3)=0)*(COUNTIFS($C$3:$Q$3,"NOTTE",$C8:$Q8,AN$3)=0),"_p","")&amp;IF((AN9&lt;&gt;"Xn")*(COUNTIFS($C$3:$Q$3,"MAT",$C9:$Q9,AN$3)=0)*(COUNTIFS($C$3:$Q$3,"POM",$C9:$Q9,AN$3)=0)*(COUNTIFS($C$3:$Q$3,"NOTTE",$C9:$Q9,AN$3)=0)*(COUNTIFS($C$3:$Q$3,"NOTTE",$C8:$Q8,AN$3)=0),"_n","")&amp;", ")))</f>
        <v xml:space="preserve">SANNA, </v>
      </c>
      <c r="CR9" s="9" t="str">
        <f>IF(0+(AO9="X")&gt;0,"",IF(0+((AO9&lt;&gt;"Xm")*(AO9&lt;&gt;"Xg")*(COUNTIFS($C$3:$Q$3,"MAT",$C9:$Q9,AO$3)=0)*(COUNTIFS($C$3:$Q$3,"NOTTE",$C9:$Q9,AO$3)=0)*(COUNTIFS($C$3:$Q$3,"NOTTE",$C8:$Q8,AO$3)=0))+((AO9&lt;&gt;"Xp")*(AO9&lt;&gt;"Xg")*(COUNTIFS($C$3:$Q$3,"POM",$C9:$Q9,AO$3)=0)*(COUNTIFS($C$3:$Q$3,"NOTTE",$C9:$Q9,AO$3)=0)*(COUNTIFS($C$3:$Q$3,"NOTTE",$C8:$Q8,AO$3)=0))+((AO9&lt;&gt;"Xn")*(COUNTIFS($C$3:$Q$3,"MAT",$C9:$Q9,AO$3)=0)*(COUNTIFS($C$3:$Q$3,"POM",$C9:$Q9,AO$3)=0)*(COUNTIFS($C$3:$Q$3,"NOTTE",$C9:$Q9,AO$3)=0)*(COUNTIFS($C$3:$Q$3,"NOTTE",$C8:$Q8,AO$3)=0))=0,"",IF(0+((AO9&lt;&gt;"Xm")*(AO9&lt;&gt;"Xg")*(COUNTIFS($C$3:$Q$3,"MAT",$C9:$Q9,AO$3)=0)*(COUNTIFS($C$3:$Q$3,"NOTTE",$C9:$Q9,AO$3)=0)*(COUNTIFS($C$3:$Q$3,"NOTTE",$C8:$Q8,AO$3)=0))+((AO9&lt;&gt;"Xp")*(AO9&lt;&gt;"Xg")*(COUNTIFS($C$3:$Q$3,"POM",$C9:$Q9,AO$3)=0)*(COUNTIFS($C$3:$Q$3,"NOTTE",$C9:$Q9,AO$3)=0)*(COUNTIFS($C$3:$Q$3,"NOTTE",$C8:$Q8,AO$3)=0))+((AO9&lt;&gt;"Xn")*(COUNTIFS($C$3:$Q$3,"MAT",$C9:$Q9,AO$3)=0)*(COUNTIFS($C$3:$Q$3,"POM",$C9:$Q9,AO$3)=0)*(COUNTIFS($C$3:$Q$3,"NOTTE",$C9:$Q9,AO$3)=0)*(COUNTIFS($C$3:$Q$3,"NOTTE",$C8:$Q8,AO$3)=0))=3,AO$3&amp;", ",AO$3&amp;IF((AO9&lt;&gt;"Xm")*(AO9&lt;&gt;"Xg")*(COUNTIFS($C$3:$Q$3,"MAT",$C9:$Q9,AO$3)=0)*(COUNTIFS($C$3:$Q$3,"NOTTE",$C9:$Q9,AO$3)=0)*(COUNTIFS($C$3:$Q$3,"NOTTE",$C8:$Q8,AO$3)=0),"_m","")&amp;IF((AO9&lt;&gt;"Xp")*(AO9&lt;&gt;"Xg")*(COUNTIFS($C$3:$Q$3,"POM",$C9:$Q9,AO$3)=0)*(COUNTIFS($C$3:$Q$3,"NOTTE",$C9:$Q9,AO$3)=0)*(COUNTIFS($C$3:$Q$3,"NOTTE",$C8:$Q8,AO$3)=0),"_p","")&amp;IF((AO9&lt;&gt;"Xn")*(COUNTIFS($C$3:$Q$3,"MAT",$C9:$Q9,AO$3)=0)*(COUNTIFS($C$3:$Q$3,"POM",$C9:$Q9,AO$3)=0)*(COUNTIFS($C$3:$Q$3,"NOTTE",$C9:$Q9,AO$3)=0)*(COUNTIFS($C$3:$Q$3,"NOTTE",$C8:$Q8,AO$3)=0),"_n","")&amp;", ")))</f>
        <v xml:space="preserve">LI, </v>
      </c>
    </row>
    <row r="10">
      <c r="A10" s="3" t="str">
        <f>CHOOSE(WEEKDAY(DATE($B$1,$A$2,B10),2),"lunedì","martedì","mercoledì","giovedì","venerdì","sabato","domenica")</f>
        <v>sabato</v>
      </c>
      <c r="B10" s="3" t="n">
        <v>7</v>
      </c>
      <c r="C10" s="4" t="n"/>
      <c r="D10" s="4" t="n"/>
      <c r="E10" s="3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3" t="n"/>
      <c r="Q10" s="3" t="n"/>
      <c r="R10" s="3" t="n"/>
      <c r="S10" s="3">
        <f>IF(SUMPRODUCT(($C$3:$Q$3&lt;&gt;"")*($C10:$Q10&lt;&gt;"")*(LEFT($C10:$Q10,6)&lt;&gt;"chiuso")*(COUNTIFS($C10:$Q10,$C10:$Q10,$C$3:$Q$3,$C$3:$Q$3)&gt;1))&gt;0,"X","")</f>
      </c>
      <c r="T10" s="3" t="str">
        <f>IF(LEN(BP10&amp;BQ10&amp;BR10&amp;BS10&amp;BT10&amp;BU10&amp;BV10&amp;BW10&amp;BX10&amp;BY10&amp;BZ10&amp;CA10&amp;CB10&amp;CC10)=0,"",LEFT(BP10&amp;BQ10&amp;BR10&amp;BS10&amp;BT10&amp;BU10&amp;BV10&amp;BW10&amp;BX10&amp;BY10&amp;BZ10&amp;CA10&amp;CB10&amp;CC10,LEN(BP10&amp;BQ10&amp;BR10&amp;BS10&amp;BT10&amp;BU10&amp;BV10&amp;BW10&amp;BX10&amp;BY10&amp;BZ10&amp;CA10&amp;CB10&amp;CC10)-2))</f>
        <v>LEONI, ROSSI M, ROSSI L, GALLINA, RUSSO, VERDI, HU, MARINI, CONTI A, CONTI S, FERRARI, GRECO, SANNA, LI</v>
      </c>
      <c r="U10" s="3" t="str">
        <f>IF(LEN(CE10&amp;CF10&amp;CG10&amp;CH10&amp;CI10&amp;CJ10&amp;CK10&amp;CL10&amp;CM10&amp;CN10&amp;CO10&amp;CP10&amp;CQ10&amp;CR10)=0,"",LEFT(CE10&amp;CF10&amp;CG10&amp;CH10&amp;CI10&amp;CJ10&amp;CK10&amp;CL10&amp;CM10&amp;CN10&amp;CO10&amp;CP10&amp;CQ10&amp;CR10,LEN(CE10&amp;CF10&amp;CG10&amp;CH10&amp;CI10&amp;CJ10&amp;CK10&amp;CL10&amp;CM10&amp;CN10&amp;CO10&amp;CP10&amp;CQ10&amp;CR10)-2))</f>
        <v>LEONI, ROSSI M, ROSSI L, GALLINA, RUSSO, VERDI, HU, MARINI, CONTI A, CONTI S, FERRARI, GRECO, SANNA, LI</v>
      </c>
      <c r="Z10" s="3" t="str">
        <f>A10</f>
        <v>sabato</v>
      </c>
      <c r="AA10" s="3">
        <f>B10</f>
        <v>7</v>
      </c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T10" s="7" t="str">
        <f>AH$3</f>
        <v>HU</v>
      </c>
      <c r="AU10" s="7">
        <f>COUNTIF($C$4:$D$33,$AT10)</f>
        <v>0</v>
      </c>
      <c r="AV10" s="7">
        <f>COUNTIF($E$4:$F$33,$AT10)</f>
        <v>0</v>
      </c>
      <c r="AW10" s="7">
        <f>COUNTIF($G$4:$H$33,$AT10)</f>
        <v>0</v>
      </c>
      <c r="AX10" s="7">
        <f>COUNTIF($I$4:$J$33,$AT10)</f>
        <v>0</v>
      </c>
      <c r="AY10" s="7">
        <f>COUNTIF($K$4:$K$33,$AT10)</f>
        <v>0</v>
      </c>
      <c r="AZ10" s="7">
        <f>COUNTIF($L$4:$L$33,$AT10)</f>
        <v>0</v>
      </c>
      <c r="BA10" s="7">
        <f>COUNTIF($M$4:$M$33,$AT10)</f>
        <v>0</v>
      </c>
      <c r="BB10" s="7">
        <f>COUNTIF($N$4:$Q$33,$AT10)</f>
        <v>0</v>
      </c>
      <c r="BC10" s="7">
        <f>COUNTIF($C$4:$Q$33,$AT10)</f>
        <v>0</v>
      </c>
      <c r="BE10" s="8" t="str">
        <f>AH$3</f>
        <v>HU</v>
      </c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P10" s="9" t="str">
        <f>IF(0+(AB10="X")&gt;0,"",IF(0+((AB10&lt;&gt;"Xm")*(AB10&lt;&gt;"Xg"))+((AB10&lt;&gt;"Xm")*(AB10&lt;&gt;"Xp")*(AB10&lt;&gt;"Xg"))+((AB10&lt;&gt;"Xn"))=0,"",IF(0+((AB10&lt;&gt;"Xm")*(AB10&lt;&gt;"Xg"))+((AB10&lt;&gt;"Xm")*(AB10&lt;&gt;"Xp")*(AB10&lt;&gt;"Xg"))+((AB10&lt;&gt;"Xn"))=3,AB$3&amp;", ",AB$3&amp;IF((AB10&lt;&gt;"Xm")*(AB10&lt;&gt;"Xg"),"_m","")&amp;IF((AB10&lt;&gt;"Xm")*(AB10&lt;&gt;"Xp")*(AB10&lt;&gt;"Xg"),"_g","")&amp;IF((AB10&lt;&gt;"Xn"),"_n","")&amp;", ")))</f>
        <v xml:space="preserve">LEONI, </v>
      </c>
      <c r="BQ10" s="9" t="str">
        <f>IF(0+(AC10="X")&gt;0,"",IF(0+((AC10&lt;&gt;"Xm")*(AC10&lt;&gt;"Xg"))+((AC10&lt;&gt;"Xm")*(AC10&lt;&gt;"Xp")*(AC10&lt;&gt;"Xg"))+((AC10&lt;&gt;"Xn"))=0,"",IF(0+((AC10&lt;&gt;"Xm")*(AC10&lt;&gt;"Xg"))+((AC10&lt;&gt;"Xm")*(AC10&lt;&gt;"Xp")*(AC10&lt;&gt;"Xg"))+((AC10&lt;&gt;"Xn"))=3,AC$3&amp;", ",AC$3&amp;IF((AC10&lt;&gt;"Xm")*(AC10&lt;&gt;"Xg"),"_m","")&amp;IF((AC10&lt;&gt;"Xm")*(AC10&lt;&gt;"Xp")*(AC10&lt;&gt;"Xg"),"_g","")&amp;IF((AC10&lt;&gt;"Xn"),"_n","")&amp;", ")))</f>
        <v xml:space="preserve">ROSSI M, </v>
      </c>
      <c r="BR10" s="9" t="str">
        <f>IF(0+(AD10="X")&gt;0,"",IF(0+((AD10&lt;&gt;"Xm")*(AD10&lt;&gt;"Xg"))+((AD10&lt;&gt;"Xm")*(AD10&lt;&gt;"Xp")*(AD10&lt;&gt;"Xg"))+((AD10&lt;&gt;"Xn"))=0,"",IF(0+((AD10&lt;&gt;"Xm")*(AD10&lt;&gt;"Xg"))+((AD10&lt;&gt;"Xm")*(AD10&lt;&gt;"Xp")*(AD10&lt;&gt;"Xg"))+((AD10&lt;&gt;"Xn"))=3,AD$3&amp;", ",AD$3&amp;IF((AD10&lt;&gt;"Xm")*(AD10&lt;&gt;"Xg"),"_m","")&amp;IF((AD10&lt;&gt;"Xm")*(AD10&lt;&gt;"Xp")*(AD10&lt;&gt;"Xg"),"_g","")&amp;IF((AD10&lt;&gt;"Xn"),"_n","")&amp;", ")))</f>
        <v xml:space="preserve">ROSSI L, </v>
      </c>
      <c r="BS10" s="9" t="str">
        <f>IF(0+(AE10="X")&gt;0,"",IF(0+((AE10&lt;&gt;"Xm")*(AE10&lt;&gt;"Xg"))+((AE10&lt;&gt;"Xm")*(AE10&lt;&gt;"Xp")*(AE10&lt;&gt;"Xg"))+((AE10&lt;&gt;"Xn"))=0,"",IF(0+((AE10&lt;&gt;"Xm")*(AE10&lt;&gt;"Xg"))+((AE10&lt;&gt;"Xm")*(AE10&lt;&gt;"Xp")*(AE10&lt;&gt;"Xg"))+((AE10&lt;&gt;"Xn"))=3,AE$3&amp;", ",AE$3&amp;IF((AE10&lt;&gt;"Xm")*(AE10&lt;&gt;"Xg"),"_m","")&amp;IF((AE10&lt;&gt;"Xm")*(AE10&lt;&gt;"Xp")*(AE10&lt;&gt;"Xg"),"_g","")&amp;IF((AE10&lt;&gt;"Xn"),"_n","")&amp;", ")))</f>
        <v xml:space="preserve">GALLINA, </v>
      </c>
      <c r="BT10" s="9" t="str">
        <f>IF(0+(AF10="X")&gt;0,"",IF(0+((AF10&lt;&gt;"Xm")*(AF10&lt;&gt;"Xg"))+((AF10&lt;&gt;"Xm")*(AF10&lt;&gt;"Xp")*(AF10&lt;&gt;"Xg"))+((AF10&lt;&gt;"Xn"))=0,"",IF(0+((AF10&lt;&gt;"Xm")*(AF10&lt;&gt;"Xg"))+((AF10&lt;&gt;"Xm")*(AF10&lt;&gt;"Xp")*(AF10&lt;&gt;"Xg"))+((AF10&lt;&gt;"Xn"))=3,AF$3&amp;", ",AF$3&amp;IF((AF10&lt;&gt;"Xm")*(AF10&lt;&gt;"Xg"),"_m","")&amp;IF((AF10&lt;&gt;"Xm")*(AF10&lt;&gt;"Xp")*(AF10&lt;&gt;"Xg"),"_g","")&amp;IF((AF10&lt;&gt;"Xn"),"_n","")&amp;", ")))</f>
        <v xml:space="preserve">RUSSO, </v>
      </c>
      <c r="BU10" s="9" t="str">
        <f>IF(0+(AG10="X")&gt;0,"",IF(0+((AG10&lt;&gt;"Xm")*(AG10&lt;&gt;"Xg"))+((AG10&lt;&gt;"Xm")*(AG10&lt;&gt;"Xp")*(AG10&lt;&gt;"Xg"))+((AG10&lt;&gt;"Xn"))=0,"",IF(0+((AG10&lt;&gt;"Xm")*(AG10&lt;&gt;"Xg"))+((AG10&lt;&gt;"Xm")*(AG10&lt;&gt;"Xp")*(AG10&lt;&gt;"Xg"))+((AG10&lt;&gt;"Xn"))=3,AG$3&amp;", ",AG$3&amp;IF((AG10&lt;&gt;"Xm")*(AG10&lt;&gt;"Xg"),"_m","")&amp;IF((AG10&lt;&gt;"Xm")*(AG10&lt;&gt;"Xp")*(AG10&lt;&gt;"Xg"),"_g","")&amp;IF((AG10&lt;&gt;"Xn"),"_n","")&amp;", ")))</f>
        <v xml:space="preserve">VERDI, </v>
      </c>
      <c r="BV10" s="9" t="str">
        <f>IF(0+(AH10="X")&gt;0,"",IF(0+((AH10&lt;&gt;"Xm")*(AH10&lt;&gt;"Xg"))+((AH10&lt;&gt;"Xm")*(AH10&lt;&gt;"Xp")*(AH10&lt;&gt;"Xg"))+((AH10&lt;&gt;"Xn"))=0,"",IF(0+((AH10&lt;&gt;"Xm")*(AH10&lt;&gt;"Xg"))+((AH10&lt;&gt;"Xm")*(AH10&lt;&gt;"Xp")*(AH10&lt;&gt;"Xg"))+((AH10&lt;&gt;"Xn"))=3,AH$3&amp;", ",AH$3&amp;IF((AH10&lt;&gt;"Xm")*(AH10&lt;&gt;"Xg"),"_m","")&amp;IF((AH10&lt;&gt;"Xm")*(AH10&lt;&gt;"Xp")*(AH10&lt;&gt;"Xg"),"_g","")&amp;IF((AH10&lt;&gt;"Xn"),"_n","")&amp;", ")))</f>
        <v xml:space="preserve">HU, </v>
      </c>
      <c r="BW10" s="9" t="str">
        <f>IF(0+(AI10="X")&gt;0,"",IF(0+((AI10&lt;&gt;"Xm")*(AI10&lt;&gt;"Xg"))+((AI10&lt;&gt;"Xm")*(AI10&lt;&gt;"Xp")*(AI10&lt;&gt;"Xg"))+((AI10&lt;&gt;"Xn"))=0,"",IF(0+((AI10&lt;&gt;"Xm")*(AI10&lt;&gt;"Xg"))+((AI10&lt;&gt;"Xm")*(AI10&lt;&gt;"Xp")*(AI10&lt;&gt;"Xg"))+((AI10&lt;&gt;"Xn"))=3,AI$3&amp;", ",AI$3&amp;IF((AI10&lt;&gt;"Xm")*(AI10&lt;&gt;"Xg"),"_m","")&amp;IF((AI10&lt;&gt;"Xm")*(AI10&lt;&gt;"Xp")*(AI10&lt;&gt;"Xg"),"_g","")&amp;IF((AI10&lt;&gt;"Xn"),"_n","")&amp;", ")))</f>
        <v xml:space="preserve">MARINI, </v>
      </c>
      <c r="BX10" s="9" t="str">
        <f>IF(0+(AJ10="X")&gt;0,"",IF(0+((AJ10&lt;&gt;"Xm")*(AJ10&lt;&gt;"Xg"))+((AJ10&lt;&gt;"Xm")*(AJ10&lt;&gt;"Xp")*(AJ10&lt;&gt;"Xg"))+((AJ10&lt;&gt;"Xn"))=0,"",IF(0+((AJ10&lt;&gt;"Xm")*(AJ10&lt;&gt;"Xg"))+((AJ10&lt;&gt;"Xm")*(AJ10&lt;&gt;"Xp")*(AJ10&lt;&gt;"Xg"))+((AJ10&lt;&gt;"Xn"))=3,AJ$3&amp;", ",AJ$3&amp;IF((AJ10&lt;&gt;"Xm")*(AJ10&lt;&gt;"Xg"),"_m","")&amp;IF((AJ10&lt;&gt;"Xm")*(AJ10&lt;&gt;"Xp")*(AJ10&lt;&gt;"Xg"),"_g","")&amp;IF((AJ10&lt;&gt;"Xn"),"_n","")&amp;", ")))</f>
        <v xml:space="preserve">CONTI A, </v>
      </c>
      <c r="BY10" s="9" t="str">
        <f>IF(0+(AK10="X")&gt;0,"",IF(0+((AK10&lt;&gt;"Xm")*(AK10&lt;&gt;"Xg"))+((AK10&lt;&gt;"Xm")*(AK10&lt;&gt;"Xp")*(AK10&lt;&gt;"Xg"))+((AK10&lt;&gt;"Xn"))=0,"",IF(0+((AK10&lt;&gt;"Xm")*(AK10&lt;&gt;"Xg"))+((AK10&lt;&gt;"Xm")*(AK10&lt;&gt;"Xp")*(AK10&lt;&gt;"Xg"))+((AK10&lt;&gt;"Xn"))=3,AK$3&amp;", ",AK$3&amp;IF((AK10&lt;&gt;"Xm")*(AK10&lt;&gt;"Xg"),"_m","")&amp;IF((AK10&lt;&gt;"Xm")*(AK10&lt;&gt;"Xp")*(AK10&lt;&gt;"Xg"),"_g","")&amp;IF((AK10&lt;&gt;"Xn"),"_n","")&amp;", ")))</f>
        <v xml:space="preserve">CONTI S, </v>
      </c>
      <c r="BZ10" s="9" t="str">
        <f>IF(0+(AL10="X")&gt;0,"",IF(0+((AL10&lt;&gt;"Xm")*(AL10&lt;&gt;"Xg"))+((AL10&lt;&gt;"Xm")*(AL10&lt;&gt;"Xp")*(AL10&lt;&gt;"Xg"))+((AL10&lt;&gt;"Xn"))=0,"",IF(0+((AL10&lt;&gt;"Xm")*(AL10&lt;&gt;"Xg"))+((AL10&lt;&gt;"Xm")*(AL10&lt;&gt;"Xp")*(AL10&lt;&gt;"Xg"))+((AL10&lt;&gt;"Xn"))=3,AL$3&amp;", ",AL$3&amp;IF((AL10&lt;&gt;"Xm")*(AL10&lt;&gt;"Xg"),"_m","")&amp;IF((AL10&lt;&gt;"Xm")*(AL10&lt;&gt;"Xp")*(AL10&lt;&gt;"Xg"),"_g","")&amp;IF((AL10&lt;&gt;"Xn"),"_n","")&amp;", ")))</f>
        <v xml:space="preserve">FERRARI, </v>
      </c>
      <c r="CA10" s="9" t="str">
        <f>IF(0+(AM10="X")&gt;0,"",IF(0+((AM10&lt;&gt;"Xm")*(AM10&lt;&gt;"Xg"))+((AM10&lt;&gt;"Xm")*(AM10&lt;&gt;"Xp")*(AM10&lt;&gt;"Xg"))+((AM10&lt;&gt;"Xn"))=0,"",IF(0+((AM10&lt;&gt;"Xm")*(AM10&lt;&gt;"Xg"))+((AM10&lt;&gt;"Xm")*(AM10&lt;&gt;"Xp")*(AM10&lt;&gt;"Xg"))+((AM10&lt;&gt;"Xn"))=3,AM$3&amp;", ",AM$3&amp;IF((AM10&lt;&gt;"Xm")*(AM10&lt;&gt;"Xg"),"_m","")&amp;IF((AM10&lt;&gt;"Xm")*(AM10&lt;&gt;"Xp")*(AM10&lt;&gt;"Xg"),"_g","")&amp;IF((AM10&lt;&gt;"Xn"),"_n","")&amp;", ")))</f>
        <v xml:space="preserve">GRECO, </v>
      </c>
      <c r="CB10" s="9" t="str">
        <f>IF(0+(AN10="X")&gt;0,"",IF(0+((AN10&lt;&gt;"Xm")*(AN10&lt;&gt;"Xg"))+((AN10&lt;&gt;"Xm")*(AN10&lt;&gt;"Xp")*(AN10&lt;&gt;"Xg"))+((AN10&lt;&gt;"Xn"))=0,"",IF(0+((AN10&lt;&gt;"Xm")*(AN10&lt;&gt;"Xg"))+((AN10&lt;&gt;"Xm")*(AN10&lt;&gt;"Xp")*(AN10&lt;&gt;"Xg"))+((AN10&lt;&gt;"Xn"))=3,AN$3&amp;", ",AN$3&amp;IF((AN10&lt;&gt;"Xm")*(AN10&lt;&gt;"Xg"),"_m","")&amp;IF((AN10&lt;&gt;"Xm")*(AN10&lt;&gt;"Xp")*(AN10&lt;&gt;"Xg"),"_g","")&amp;IF((AN10&lt;&gt;"Xn"),"_n","")&amp;", ")))</f>
        <v xml:space="preserve">SANNA, </v>
      </c>
      <c r="CC10" s="9" t="str">
        <f>IF(0+(AO10="X")&gt;0,"",IF(0+((AO10&lt;&gt;"Xm")*(AO10&lt;&gt;"Xg"))+((AO10&lt;&gt;"Xm")*(AO10&lt;&gt;"Xp")*(AO10&lt;&gt;"Xg"))+((AO10&lt;&gt;"Xn"))=0,"",IF(0+((AO10&lt;&gt;"Xm")*(AO10&lt;&gt;"Xg"))+((AO10&lt;&gt;"Xm")*(AO10&lt;&gt;"Xp")*(AO10&lt;&gt;"Xg"))+((AO10&lt;&gt;"Xn"))=3,AO$3&amp;", ",AO$3&amp;IF((AO10&lt;&gt;"Xm")*(AO10&lt;&gt;"Xg"),"_m","")&amp;IF((AO10&lt;&gt;"Xm")*(AO10&lt;&gt;"Xp")*(AO10&lt;&gt;"Xg"),"_g","")&amp;IF((AO10&lt;&gt;"Xn"),"_n","")&amp;", ")))</f>
        <v xml:space="preserve">LI, </v>
      </c>
      <c r="CD10" s="9" t="n"/>
      <c r="CE10" s="9" t="str">
        <f>IF(0+(AB10="X")&gt;0,"",IF(0+((AB10&lt;&gt;"Xm")*(AB10&lt;&gt;"Xg")*(COUNTIFS($C$3:$Q$3,"MAT",$C10:$Q10,AB$3)=0)*(COUNTIFS($C$3:$Q$3,"GIORNO",$C10:$Q10,AB$3)=0)*(COUNTIFS($C$3:$Q$3,"NOTTE",$C10:$Q10,AB$3)=0)*(COUNTIFS($C$3:$Q$3,"NOTTE",$C9:$Q9,AB$3)=0))+((AB10&lt;&gt;"Xm")*(AB10&lt;&gt;"Xp")*(AB10&lt;&gt;"Xg")*(COUNTIFS($C$3:$Q$3,"MAT",$C10:$Q10,AB$3)=0)*(COUNTIFS($C$3:$Q$3,"GIORNO",$C10:$Q10,AB$3)=0)*(COUNTIFS($C$3:$Q$3,"NOTTE",$C10:$Q10,AB$3)=0)*(COUNTIFS($C$3:$Q$3,"NOTTE",$C9:$Q9,AB$3)=0))+((AB10&lt;&gt;"Xn")*(COUNTIFS($C$3:$Q$3,"MAT",$C10:$Q10,AB$3)=0)*(COUNTIFS($C$3:$Q$3,"GIORNO",$C10:$Q10,AB$3)=0)*(COUNTIFS($C$3:$Q$3,"NOTTE",$C10:$Q10,AB$3)=0)*(COUNTIFS($C$3:$Q$3,"NOTTE",$C9:$Q9,AB$3)=0))=0,"",IF(0+((AB10&lt;&gt;"Xm")*(AB10&lt;&gt;"Xg")*(COUNTIFS($C$3:$Q$3,"MAT",$C10:$Q10,AB$3)=0)*(COUNTIFS($C$3:$Q$3,"GIORNO",$C10:$Q10,AB$3)=0)*(COUNTIFS($C$3:$Q$3,"NOTTE",$C10:$Q10,AB$3)=0)*(COUNTIFS($C$3:$Q$3,"NOTTE",$C9:$Q9,AB$3)=0))+((AB10&lt;&gt;"Xm")*(AB10&lt;&gt;"Xp")*(AB10&lt;&gt;"Xg")*(COUNTIFS($C$3:$Q$3,"MAT",$C10:$Q10,AB$3)=0)*(COUNTIFS($C$3:$Q$3,"GIORNO",$C10:$Q10,AB$3)=0)*(COUNTIFS($C$3:$Q$3,"NOTTE",$C10:$Q10,AB$3)=0)*(COUNTIFS($C$3:$Q$3,"NOTTE",$C9:$Q9,AB$3)=0))+((AB10&lt;&gt;"Xn")*(COUNTIFS($C$3:$Q$3,"MAT",$C10:$Q10,AB$3)=0)*(COUNTIFS($C$3:$Q$3,"GIORNO",$C10:$Q10,AB$3)=0)*(COUNTIFS($C$3:$Q$3,"NOTTE",$C10:$Q10,AB$3)=0)*(COUNTIFS($C$3:$Q$3,"NOTTE",$C9:$Q9,AB$3)=0))=3,AB$3&amp;", ",AB$3&amp;IF((AB10&lt;&gt;"Xm")*(AB10&lt;&gt;"Xg")*(COUNTIFS($C$3:$Q$3,"MAT",$C10:$Q10,AB$3)=0)*(COUNTIFS($C$3:$Q$3,"GIORNO",$C10:$Q10,AB$3)=0)*(COUNTIFS($C$3:$Q$3,"NOTTE",$C10:$Q10,AB$3)=0)*(COUNTIFS($C$3:$Q$3,"NOTTE",$C9:$Q9,AB$3)=0),"_m","")&amp;IF((AB10&lt;&gt;"Xm")*(AB10&lt;&gt;"Xp")*(AB10&lt;&gt;"Xg")*(COUNTIFS($C$3:$Q$3,"MAT",$C10:$Q10,AB$3)=0)*(COUNTIFS($C$3:$Q$3,"GIORNO",$C10:$Q10,AB$3)=0)*(COUNTIFS($C$3:$Q$3,"NOTTE",$C10:$Q10,AB$3)=0)*(COUNTIFS($C$3:$Q$3,"NOTTE",$C9:$Q9,AB$3)=0),"_g","")&amp;IF((AB10&lt;&gt;"Xn")*(COUNTIFS($C$3:$Q$3,"MAT",$C10:$Q10,AB$3)=0)*(COUNTIFS($C$3:$Q$3,"GIORNO",$C10:$Q10,AB$3)=0)*(COUNTIFS($C$3:$Q$3,"NOTTE",$C10:$Q10,AB$3)=0)*(COUNTIFS($C$3:$Q$3,"NOTTE",$C9:$Q9,AB$3)=0),"_n","")&amp;", ")))</f>
        <v xml:space="preserve">LEONI, </v>
      </c>
      <c r="CF10" s="9" t="str">
        <f>IF(0+(AC10="X")&gt;0,"",IF(0+((AC10&lt;&gt;"Xm")*(AC10&lt;&gt;"Xg")*(COUNTIFS($C$3:$Q$3,"MAT",$C10:$Q10,AC$3)=0)*(COUNTIFS($C$3:$Q$3,"GIORNO",$C10:$Q10,AC$3)=0)*(COUNTIFS($C$3:$Q$3,"NOTTE",$C10:$Q10,AC$3)=0)*(COUNTIFS($C$3:$Q$3,"NOTTE",$C9:$Q9,AC$3)=0))+((AC10&lt;&gt;"Xm")*(AC10&lt;&gt;"Xp")*(AC10&lt;&gt;"Xg")*(COUNTIFS($C$3:$Q$3,"MAT",$C10:$Q10,AC$3)=0)*(COUNTIFS($C$3:$Q$3,"GIORNO",$C10:$Q10,AC$3)=0)*(COUNTIFS($C$3:$Q$3,"NOTTE",$C10:$Q10,AC$3)=0)*(COUNTIFS($C$3:$Q$3,"NOTTE",$C9:$Q9,AC$3)=0))+((AC10&lt;&gt;"Xn")*(COUNTIFS($C$3:$Q$3,"MAT",$C10:$Q10,AC$3)=0)*(COUNTIFS($C$3:$Q$3,"GIORNO",$C10:$Q10,AC$3)=0)*(COUNTIFS($C$3:$Q$3,"NOTTE",$C10:$Q10,AC$3)=0)*(COUNTIFS($C$3:$Q$3,"NOTTE",$C9:$Q9,AC$3)=0))=0,"",IF(0+((AC10&lt;&gt;"Xm")*(AC10&lt;&gt;"Xg")*(COUNTIFS($C$3:$Q$3,"MAT",$C10:$Q10,AC$3)=0)*(COUNTIFS($C$3:$Q$3,"GIORNO",$C10:$Q10,AC$3)=0)*(COUNTIFS($C$3:$Q$3,"NOTTE",$C10:$Q10,AC$3)=0)*(COUNTIFS($C$3:$Q$3,"NOTTE",$C9:$Q9,AC$3)=0))+((AC10&lt;&gt;"Xm")*(AC10&lt;&gt;"Xp")*(AC10&lt;&gt;"Xg")*(COUNTIFS($C$3:$Q$3,"MAT",$C10:$Q10,AC$3)=0)*(COUNTIFS($C$3:$Q$3,"GIORNO",$C10:$Q10,AC$3)=0)*(COUNTIFS($C$3:$Q$3,"NOTTE",$C10:$Q10,AC$3)=0)*(COUNTIFS($C$3:$Q$3,"NOTTE",$C9:$Q9,AC$3)=0))+((AC10&lt;&gt;"Xn")*(COUNTIFS($C$3:$Q$3,"MAT",$C10:$Q10,AC$3)=0)*(COUNTIFS($C$3:$Q$3,"GIORNO",$C10:$Q10,AC$3)=0)*(COUNTIFS($C$3:$Q$3,"NOTTE",$C10:$Q10,AC$3)=0)*(COUNTIFS($C$3:$Q$3,"NOTTE",$C9:$Q9,AC$3)=0))=3,AC$3&amp;", ",AC$3&amp;IF((AC10&lt;&gt;"Xm")*(AC10&lt;&gt;"Xg")*(COUNTIFS($C$3:$Q$3,"MAT",$C10:$Q10,AC$3)=0)*(COUNTIFS($C$3:$Q$3,"GIORNO",$C10:$Q10,AC$3)=0)*(COUNTIFS($C$3:$Q$3,"NOTTE",$C10:$Q10,AC$3)=0)*(COUNTIFS($C$3:$Q$3,"NOTTE",$C9:$Q9,AC$3)=0),"_m","")&amp;IF((AC10&lt;&gt;"Xm")*(AC10&lt;&gt;"Xp")*(AC10&lt;&gt;"Xg")*(COUNTIFS($C$3:$Q$3,"MAT",$C10:$Q10,AC$3)=0)*(COUNTIFS($C$3:$Q$3,"GIORNO",$C10:$Q10,AC$3)=0)*(COUNTIFS($C$3:$Q$3,"NOTTE",$C10:$Q10,AC$3)=0)*(COUNTIFS($C$3:$Q$3,"NOTTE",$C9:$Q9,AC$3)=0),"_g","")&amp;IF((AC10&lt;&gt;"Xn")*(COUNTIFS($C$3:$Q$3,"MAT",$C10:$Q10,AC$3)=0)*(COUNTIFS($C$3:$Q$3,"GIORNO",$C10:$Q10,AC$3)=0)*(COUNTIFS($C$3:$Q$3,"NOTTE",$C10:$Q10,AC$3)=0)*(COUNTIFS($C$3:$Q$3,"NOTTE",$C9:$Q9,AC$3)=0),"_n","")&amp;", ")))</f>
        <v xml:space="preserve">ROSSI M, </v>
      </c>
      <c r="CG10" s="9" t="str">
        <f>IF(0+(AD10="X")&gt;0,"",IF(0+((AD10&lt;&gt;"Xm")*(AD10&lt;&gt;"Xg")*(COUNTIFS($C$3:$Q$3,"MAT",$C10:$Q10,AD$3)=0)*(COUNTIFS($C$3:$Q$3,"GIORNO",$C10:$Q10,AD$3)=0)*(COUNTIFS($C$3:$Q$3,"NOTTE",$C10:$Q10,AD$3)=0)*(COUNTIFS($C$3:$Q$3,"NOTTE",$C9:$Q9,AD$3)=0))+((AD10&lt;&gt;"Xm")*(AD10&lt;&gt;"Xp")*(AD10&lt;&gt;"Xg")*(COUNTIFS($C$3:$Q$3,"MAT",$C10:$Q10,AD$3)=0)*(COUNTIFS($C$3:$Q$3,"GIORNO",$C10:$Q10,AD$3)=0)*(COUNTIFS($C$3:$Q$3,"NOTTE",$C10:$Q10,AD$3)=0)*(COUNTIFS($C$3:$Q$3,"NOTTE",$C9:$Q9,AD$3)=0))+((AD10&lt;&gt;"Xn")*(COUNTIFS($C$3:$Q$3,"MAT",$C10:$Q10,AD$3)=0)*(COUNTIFS($C$3:$Q$3,"GIORNO",$C10:$Q10,AD$3)=0)*(COUNTIFS($C$3:$Q$3,"NOTTE",$C10:$Q10,AD$3)=0)*(COUNTIFS($C$3:$Q$3,"NOTTE",$C9:$Q9,AD$3)=0))=0,"",IF(0+((AD10&lt;&gt;"Xm")*(AD10&lt;&gt;"Xg")*(COUNTIFS($C$3:$Q$3,"MAT",$C10:$Q10,AD$3)=0)*(COUNTIFS($C$3:$Q$3,"GIORNO",$C10:$Q10,AD$3)=0)*(COUNTIFS($C$3:$Q$3,"NOTTE",$C10:$Q10,AD$3)=0)*(COUNTIFS($C$3:$Q$3,"NOTTE",$C9:$Q9,AD$3)=0))+((AD10&lt;&gt;"Xm")*(AD10&lt;&gt;"Xp")*(AD10&lt;&gt;"Xg")*(COUNTIFS($C$3:$Q$3,"MAT",$C10:$Q10,AD$3)=0)*(COUNTIFS($C$3:$Q$3,"GIORNO",$C10:$Q10,AD$3)=0)*(COUNTIFS($C$3:$Q$3,"NOTTE",$C10:$Q10,AD$3)=0)*(COUNTIFS($C$3:$Q$3,"NOTTE",$C9:$Q9,AD$3)=0))+((AD10&lt;&gt;"Xn")*(COUNTIFS($C$3:$Q$3,"MAT",$C10:$Q10,AD$3)=0)*(COUNTIFS($C$3:$Q$3,"GIORNO",$C10:$Q10,AD$3)=0)*(COUNTIFS($C$3:$Q$3,"NOTTE",$C10:$Q10,AD$3)=0)*(COUNTIFS($C$3:$Q$3,"NOTTE",$C9:$Q9,AD$3)=0))=3,AD$3&amp;", ",AD$3&amp;IF((AD10&lt;&gt;"Xm")*(AD10&lt;&gt;"Xg")*(COUNTIFS($C$3:$Q$3,"MAT",$C10:$Q10,AD$3)=0)*(COUNTIFS($C$3:$Q$3,"GIORNO",$C10:$Q10,AD$3)=0)*(COUNTIFS($C$3:$Q$3,"NOTTE",$C10:$Q10,AD$3)=0)*(COUNTIFS($C$3:$Q$3,"NOTTE",$C9:$Q9,AD$3)=0),"_m","")&amp;IF((AD10&lt;&gt;"Xm")*(AD10&lt;&gt;"Xp")*(AD10&lt;&gt;"Xg")*(COUNTIFS($C$3:$Q$3,"MAT",$C10:$Q10,AD$3)=0)*(COUNTIFS($C$3:$Q$3,"GIORNO",$C10:$Q10,AD$3)=0)*(COUNTIFS($C$3:$Q$3,"NOTTE",$C10:$Q10,AD$3)=0)*(COUNTIFS($C$3:$Q$3,"NOTTE",$C9:$Q9,AD$3)=0),"_g","")&amp;IF((AD10&lt;&gt;"Xn")*(COUNTIFS($C$3:$Q$3,"MAT",$C10:$Q10,AD$3)=0)*(COUNTIFS($C$3:$Q$3,"GIORNO",$C10:$Q10,AD$3)=0)*(COUNTIFS($C$3:$Q$3,"NOTTE",$C10:$Q10,AD$3)=0)*(COUNTIFS($C$3:$Q$3,"NOTTE",$C9:$Q9,AD$3)=0),"_n","")&amp;", ")))</f>
        <v xml:space="preserve">ROSSI L, </v>
      </c>
      <c r="CH10" s="9" t="str">
        <f>IF(0+(AE10="X")&gt;0,"",IF(0+((AE10&lt;&gt;"Xm")*(AE10&lt;&gt;"Xg")*(COUNTIFS($C$3:$Q$3,"MAT",$C10:$Q10,AE$3)=0)*(COUNTIFS($C$3:$Q$3,"GIORNO",$C10:$Q10,AE$3)=0)*(COUNTIFS($C$3:$Q$3,"NOTTE",$C10:$Q10,AE$3)=0)*(COUNTIFS($C$3:$Q$3,"NOTTE",$C9:$Q9,AE$3)=0))+((AE10&lt;&gt;"Xm")*(AE10&lt;&gt;"Xp")*(AE10&lt;&gt;"Xg")*(COUNTIFS($C$3:$Q$3,"MAT",$C10:$Q10,AE$3)=0)*(COUNTIFS($C$3:$Q$3,"GIORNO",$C10:$Q10,AE$3)=0)*(COUNTIFS($C$3:$Q$3,"NOTTE",$C10:$Q10,AE$3)=0)*(COUNTIFS($C$3:$Q$3,"NOTTE",$C9:$Q9,AE$3)=0))+((AE10&lt;&gt;"Xn")*(COUNTIFS($C$3:$Q$3,"MAT",$C10:$Q10,AE$3)=0)*(COUNTIFS($C$3:$Q$3,"GIORNO",$C10:$Q10,AE$3)=0)*(COUNTIFS($C$3:$Q$3,"NOTTE",$C10:$Q10,AE$3)=0)*(COUNTIFS($C$3:$Q$3,"NOTTE",$C9:$Q9,AE$3)=0))=0,"",IF(0+((AE10&lt;&gt;"Xm")*(AE10&lt;&gt;"Xg")*(COUNTIFS($C$3:$Q$3,"MAT",$C10:$Q10,AE$3)=0)*(COUNTIFS($C$3:$Q$3,"GIORNO",$C10:$Q10,AE$3)=0)*(COUNTIFS($C$3:$Q$3,"NOTTE",$C10:$Q10,AE$3)=0)*(COUNTIFS($C$3:$Q$3,"NOTTE",$C9:$Q9,AE$3)=0))+((AE10&lt;&gt;"Xm")*(AE10&lt;&gt;"Xp")*(AE10&lt;&gt;"Xg")*(COUNTIFS($C$3:$Q$3,"MAT",$C10:$Q10,AE$3)=0)*(COUNTIFS($C$3:$Q$3,"GIORNO",$C10:$Q10,AE$3)=0)*(COUNTIFS($C$3:$Q$3,"NOTTE",$C10:$Q10,AE$3)=0)*(COUNTIFS($C$3:$Q$3,"NOTTE",$C9:$Q9,AE$3)=0))+((AE10&lt;&gt;"Xn")*(COUNTIFS($C$3:$Q$3,"MAT",$C10:$Q10,AE$3)=0)*(COUNTIFS($C$3:$Q$3,"GIORNO",$C10:$Q10,AE$3)=0)*(COUNTIFS($C$3:$Q$3,"NOTTE",$C10:$Q10,AE$3)=0)*(COUNTIFS($C$3:$Q$3,"NOTTE",$C9:$Q9,AE$3)=0))=3,AE$3&amp;", ",AE$3&amp;IF((AE10&lt;&gt;"Xm")*(AE10&lt;&gt;"Xg")*(COUNTIFS($C$3:$Q$3,"MAT",$C10:$Q10,AE$3)=0)*(COUNTIFS($C$3:$Q$3,"GIORNO",$C10:$Q10,AE$3)=0)*(COUNTIFS($C$3:$Q$3,"NOTTE",$C10:$Q10,AE$3)=0)*(COUNTIFS($C$3:$Q$3,"NOTTE",$C9:$Q9,AE$3)=0),"_m","")&amp;IF((AE10&lt;&gt;"Xm")*(AE10&lt;&gt;"Xp")*(AE10&lt;&gt;"Xg")*(COUNTIFS($C$3:$Q$3,"MAT",$C10:$Q10,AE$3)=0)*(COUNTIFS($C$3:$Q$3,"GIORNO",$C10:$Q10,AE$3)=0)*(COUNTIFS($C$3:$Q$3,"NOTTE",$C10:$Q10,AE$3)=0)*(COUNTIFS($C$3:$Q$3,"NOTTE",$C9:$Q9,AE$3)=0),"_g","")&amp;IF((AE10&lt;&gt;"Xn")*(COUNTIFS($C$3:$Q$3,"MAT",$C10:$Q10,AE$3)=0)*(COUNTIFS($C$3:$Q$3,"GIORNO",$C10:$Q10,AE$3)=0)*(COUNTIFS($C$3:$Q$3,"NOTTE",$C10:$Q10,AE$3)=0)*(COUNTIFS($C$3:$Q$3,"NOTTE",$C9:$Q9,AE$3)=0),"_n","")&amp;", ")))</f>
        <v xml:space="preserve">GALLINA, </v>
      </c>
      <c r="CI10" s="9" t="str">
        <f>IF(0+(AF10="X")&gt;0,"",IF(0+((AF10&lt;&gt;"Xm")*(AF10&lt;&gt;"Xg")*(COUNTIFS($C$3:$Q$3,"MAT",$C10:$Q10,AF$3)=0)*(COUNTIFS($C$3:$Q$3,"GIORNO",$C10:$Q10,AF$3)=0)*(COUNTIFS($C$3:$Q$3,"NOTTE",$C10:$Q10,AF$3)=0)*(COUNTIFS($C$3:$Q$3,"NOTTE",$C9:$Q9,AF$3)=0))+((AF10&lt;&gt;"Xm")*(AF10&lt;&gt;"Xp")*(AF10&lt;&gt;"Xg")*(COUNTIFS($C$3:$Q$3,"MAT",$C10:$Q10,AF$3)=0)*(COUNTIFS($C$3:$Q$3,"GIORNO",$C10:$Q10,AF$3)=0)*(COUNTIFS($C$3:$Q$3,"NOTTE",$C10:$Q10,AF$3)=0)*(COUNTIFS($C$3:$Q$3,"NOTTE",$C9:$Q9,AF$3)=0))+((AF10&lt;&gt;"Xn")*(COUNTIFS($C$3:$Q$3,"MAT",$C10:$Q10,AF$3)=0)*(COUNTIFS($C$3:$Q$3,"GIORNO",$C10:$Q10,AF$3)=0)*(COUNTIFS($C$3:$Q$3,"NOTTE",$C10:$Q10,AF$3)=0)*(COUNTIFS($C$3:$Q$3,"NOTTE",$C9:$Q9,AF$3)=0))=0,"",IF(0+((AF10&lt;&gt;"Xm")*(AF10&lt;&gt;"Xg")*(COUNTIFS($C$3:$Q$3,"MAT",$C10:$Q10,AF$3)=0)*(COUNTIFS($C$3:$Q$3,"GIORNO",$C10:$Q10,AF$3)=0)*(COUNTIFS($C$3:$Q$3,"NOTTE",$C10:$Q10,AF$3)=0)*(COUNTIFS($C$3:$Q$3,"NOTTE",$C9:$Q9,AF$3)=0))+((AF10&lt;&gt;"Xm")*(AF10&lt;&gt;"Xp")*(AF10&lt;&gt;"Xg")*(COUNTIFS($C$3:$Q$3,"MAT",$C10:$Q10,AF$3)=0)*(COUNTIFS($C$3:$Q$3,"GIORNO",$C10:$Q10,AF$3)=0)*(COUNTIFS($C$3:$Q$3,"NOTTE",$C10:$Q10,AF$3)=0)*(COUNTIFS($C$3:$Q$3,"NOTTE",$C9:$Q9,AF$3)=0))+((AF10&lt;&gt;"Xn")*(COUNTIFS($C$3:$Q$3,"MAT",$C10:$Q10,AF$3)=0)*(COUNTIFS($C$3:$Q$3,"GIORNO",$C10:$Q10,AF$3)=0)*(COUNTIFS($C$3:$Q$3,"NOTTE",$C10:$Q10,AF$3)=0)*(COUNTIFS($C$3:$Q$3,"NOTTE",$C9:$Q9,AF$3)=0))=3,AF$3&amp;", ",AF$3&amp;IF((AF10&lt;&gt;"Xm")*(AF10&lt;&gt;"Xg")*(COUNTIFS($C$3:$Q$3,"MAT",$C10:$Q10,AF$3)=0)*(COUNTIFS($C$3:$Q$3,"GIORNO",$C10:$Q10,AF$3)=0)*(COUNTIFS($C$3:$Q$3,"NOTTE",$C10:$Q10,AF$3)=0)*(COUNTIFS($C$3:$Q$3,"NOTTE",$C9:$Q9,AF$3)=0),"_m","")&amp;IF((AF10&lt;&gt;"Xm")*(AF10&lt;&gt;"Xp")*(AF10&lt;&gt;"Xg")*(COUNTIFS($C$3:$Q$3,"MAT",$C10:$Q10,AF$3)=0)*(COUNTIFS($C$3:$Q$3,"GIORNO",$C10:$Q10,AF$3)=0)*(COUNTIFS($C$3:$Q$3,"NOTTE",$C10:$Q10,AF$3)=0)*(COUNTIFS($C$3:$Q$3,"NOTTE",$C9:$Q9,AF$3)=0),"_g","")&amp;IF((AF10&lt;&gt;"Xn")*(COUNTIFS($C$3:$Q$3,"MAT",$C10:$Q10,AF$3)=0)*(COUNTIFS($C$3:$Q$3,"GIORNO",$C10:$Q10,AF$3)=0)*(COUNTIFS($C$3:$Q$3,"NOTTE",$C10:$Q10,AF$3)=0)*(COUNTIFS($C$3:$Q$3,"NOTTE",$C9:$Q9,AF$3)=0),"_n","")&amp;", ")))</f>
        <v xml:space="preserve">RUSSO, </v>
      </c>
      <c r="CJ10" s="9" t="str">
        <f>IF(0+(AG10="X")&gt;0,"",IF(0+((AG10&lt;&gt;"Xm")*(AG10&lt;&gt;"Xg")*(COUNTIFS($C$3:$Q$3,"MAT",$C10:$Q10,AG$3)=0)*(COUNTIFS($C$3:$Q$3,"GIORNO",$C10:$Q10,AG$3)=0)*(COUNTIFS($C$3:$Q$3,"NOTTE",$C10:$Q10,AG$3)=0)*(COUNTIFS($C$3:$Q$3,"NOTTE",$C9:$Q9,AG$3)=0))+((AG10&lt;&gt;"Xm")*(AG10&lt;&gt;"Xp")*(AG10&lt;&gt;"Xg")*(COUNTIFS($C$3:$Q$3,"MAT",$C10:$Q10,AG$3)=0)*(COUNTIFS($C$3:$Q$3,"GIORNO",$C10:$Q10,AG$3)=0)*(COUNTIFS($C$3:$Q$3,"NOTTE",$C10:$Q10,AG$3)=0)*(COUNTIFS($C$3:$Q$3,"NOTTE",$C9:$Q9,AG$3)=0))+((AG10&lt;&gt;"Xn")*(COUNTIFS($C$3:$Q$3,"MAT",$C10:$Q10,AG$3)=0)*(COUNTIFS($C$3:$Q$3,"GIORNO",$C10:$Q10,AG$3)=0)*(COUNTIFS($C$3:$Q$3,"NOTTE",$C10:$Q10,AG$3)=0)*(COUNTIFS($C$3:$Q$3,"NOTTE",$C9:$Q9,AG$3)=0))=0,"",IF(0+((AG10&lt;&gt;"Xm")*(AG10&lt;&gt;"Xg")*(COUNTIFS($C$3:$Q$3,"MAT",$C10:$Q10,AG$3)=0)*(COUNTIFS($C$3:$Q$3,"GIORNO",$C10:$Q10,AG$3)=0)*(COUNTIFS($C$3:$Q$3,"NOTTE",$C10:$Q10,AG$3)=0)*(COUNTIFS($C$3:$Q$3,"NOTTE",$C9:$Q9,AG$3)=0))+((AG10&lt;&gt;"Xm")*(AG10&lt;&gt;"Xp")*(AG10&lt;&gt;"Xg")*(COUNTIFS($C$3:$Q$3,"MAT",$C10:$Q10,AG$3)=0)*(COUNTIFS($C$3:$Q$3,"GIORNO",$C10:$Q10,AG$3)=0)*(COUNTIFS($C$3:$Q$3,"NOTTE",$C10:$Q10,AG$3)=0)*(COUNTIFS($C$3:$Q$3,"NOTTE",$C9:$Q9,AG$3)=0))+((AG10&lt;&gt;"Xn")*(COUNTIFS($C$3:$Q$3,"MAT",$C10:$Q10,AG$3)=0)*(COUNTIFS($C$3:$Q$3,"GIORNO",$C10:$Q10,AG$3)=0)*(COUNTIFS($C$3:$Q$3,"NOTTE",$C10:$Q10,AG$3)=0)*(COUNTIFS($C$3:$Q$3,"NOTTE",$C9:$Q9,AG$3)=0))=3,AG$3&amp;", ",AG$3&amp;IF((AG10&lt;&gt;"Xm")*(AG10&lt;&gt;"Xg")*(COUNTIFS($C$3:$Q$3,"MAT",$C10:$Q10,AG$3)=0)*(COUNTIFS($C$3:$Q$3,"GIORNO",$C10:$Q10,AG$3)=0)*(COUNTIFS($C$3:$Q$3,"NOTTE",$C10:$Q10,AG$3)=0)*(COUNTIFS($C$3:$Q$3,"NOTTE",$C9:$Q9,AG$3)=0),"_m","")&amp;IF((AG10&lt;&gt;"Xm")*(AG10&lt;&gt;"Xp")*(AG10&lt;&gt;"Xg")*(COUNTIFS($C$3:$Q$3,"MAT",$C10:$Q10,AG$3)=0)*(COUNTIFS($C$3:$Q$3,"GIORNO",$C10:$Q10,AG$3)=0)*(COUNTIFS($C$3:$Q$3,"NOTTE",$C10:$Q10,AG$3)=0)*(COUNTIFS($C$3:$Q$3,"NOTTE",$C9:$Q9,AG$3)=0),"_g","")&amp;IF((AG10&lt;&gt;"Xn")*(COUNTIFS($C$3:$Q$3,"MAT",$C10:$Q10,AG$3)=0)*(COUNTIFS($C$3:$Q$3,"GIORNO",$C10:$Q10,AG$3)=0)*(COUNTIFS($C$3:$Q$3,"NOTTE",$C10:$Q10,AG$3)=0)*(COUNTIFS($C$3:$Q$3,"NOTTE",$C9:$Q9,AG$3)=0),"_n","")&amp;", ")))</f>
        <v xml:space="preserve">VERDI, </v>
      </c>
      <c r="CK10" s="9" t="str">
        <f>IF(0+(AH10="X")&gt;0,"",IF(0+((AH10&lt;&gt;"Xm")*(AH10&lt;&gt;"Xg")*(COUNTIFS($C$3:$Q$3,"MAT",$C10:$Q10,AH$3)=0)*(COUNTIFS($C$3:$Q$3,"GIORNO",$C10:$Q10,AH$3)=0)*(COUNTIFS($C$3:$Q$3,"NOTTE",$C10:$Q10,AH$3)=0)*(COUNTIFS($C$3:$Q$3,"NOTTE",$C9:$Q9,AH$3)=0))+((AH10&lt;&gt;"Xm")*(AH10&lt;&gt;"Xp")*(AH10&lt;&gt;"Xg")*(COUNTIFS($C$3:$Q$3,"MAT",$C10:$Q10,AH$3)=0)*(COUNTIFS($C$3:$Q$3,"GIORNO",$C10:$Q10,AH$3)=0)*(COUNTIFS($C$3:$Q$3,"NOTTE",$C10:$Q10,AH$3)=0)*(COUNTIFS($C$3:$Q$3,"NOTTE",$C9:$Q9,AH$3)=0))+((AH10&lt;&gt;"Xn")*(COUNTIFS($C$3:$Q$3,"MAT",$C10:$Q10,AH$3)=0)*(COUNTIFS($C$3:$Q$3,"GIORNO",$C10:$Q10,AH$3)=0)*(COUNTIFS($C$3:$Q$3,"NOTTE",$C10:$Q10,AH$3)=0)*(COUNTIFS($C$3:$Q$3,"NOTTE",$C9:$Q9,AH$3)=0))=0,"",IF(0+((AH10&lt;&gt;"Xm")*(AH10&lt;&gt;"Xg")*(COUNTIFS($C$3:$Q$3,"MAT",$C10:$Q10,AH$3)=0)*(COUNTIFS($C$3:$Q$3,"GIORNO",$C10:$Q10,AH$3)=0)*(COUNTIFS($C$3:$Q$3,"NOTTE",$C10:$Q10,AH$3)=0)*(COUNTIFS($C$3:$Q$3,"NOTTE",$C9:$Q9,AH$3)=0))+((AH10&lt;&gt;"Xm")*(AH10&lt;&gt;"Xp")*(AH10&lt;&gt;"Xg")*(COUNTIFS($C$3:$Q$3,"MAT",$C10:$Q10,AH$3)=0)*(COUNTIFS($C$3:$Q$3,"GIORNO",$C10:$Q10,AH$3)=0)*(COUNTIFS($C$3:$Q$3,"NOTTE",$C10:$Q10,AH$3)=0)*(COUNTIFS($C$3:$Q$3,"NOTTE",$C9:$Q9,AH$3)=0))+((AH10&lt;&gt;"Xn")*(COUNTIFS($C$3:$Q$3,"MAT",$C10:$Q10,AH$3)=0)*(COUNTIFS($C$3:$Q$3,"GIORNO",$C10:$Q10,AH$3)=0)*(COUNTIFS($C$3:$Q$3,"NOTTE",$C10:$Q10,AH$3)=0)*(COUNTIFS($C$3:$Q$3,"NOTTE",$C9:$Q9,AH$3)=0))=3,AH$3&amp;", ",AH$3&amp;IF((AH10&lt;&gt;"Xm")*(AH10&lt;&gt;"Xg")*(COUNTIFS($C$3:$Q$3,"MAT",$C10:$Q10,AH$3)=0)*(COUNTIFS($C$3:$Q$3,"GIORNO",$C10:$Q10,AH$3)=0)*(COUNTIFS($C$3:$Q$3,"NOTTE",$C10:$Q10,AH$3)=0)*(COUNTIFS($C$3:$Q$3,"NOTTE",$C9:$Q9,AH$3)=0),"_m","")&amp;IF((AH10&lt;&gt;"Xm")*(AH10&lt;&gt;"Xp")*(AH10&lt;&gt;"Xg")*(COUNTIFS($C$3:$Q$3,"MAT",$C10:$Q10,AH$3)=0)*(COUNTIFS($C$3:$Q$3,"GIORNO",$C10:$Q10,AH$3)=0)*(COUNTIFS($C$3:$Q$3,"NOTTE",$C10:$Q10,AH$3)=0)*(COUNTIFS($C$3:$Q$3,"NOTTE",$C9:$Q9,AH$3)=0),"_g","")&amp;IF((AH10&lt;&gt;"Xn")*(COUNTIFS($C$3:$Q$3,"MAT",$C10:$Q10,AH$3)=0)*(COUNTIFS($C$3:$Q$3,"GIORNO",$C10:$Q10,AH$3)=0)*(COUNTIFS($C$3:$Q$3,"NOTTE",$C10:$Q10,AH$3)=0)*(COUNTIFS($C$3:$Q$3,"NOTTE",$C9:$Q9,AH$3)=0),"_n","")&amp;", ")))</f>
        <v xml:space="preserve">HU, </v>
      </c>
      <c r="CL10" s="9" t="str">
        <f>IF(0+(AI10="X")&gt;0,"",IF(0+((AI10&lt;&gt;"Xm")*(AI10&lt;&gt;"Xg")*(COUNTIFS($C$3:$Q$3,"MAT",$C10:$Q10,AI$3)=0)*(COUNTIFS($C$3:$Q$3,"GIORNO",$C10:$Q10,AI$3)=0)*(COUNTIFS($C$3:$Q$3,"NOTTE",$C10:$Q10,AI$3)=0)*(COUNTIFS($C$3:$Q$3,"NOTTE",$C9:$Q9,AI$3)=0))+((AI10&lt;&gt;"Xm")*(AI10&lt;&gt;"Xp")*(AI10&lt;&gt;"Xg")*(COUNTIFS($C$3:$Q$3,"MAT",$C10:$Q10,AI$3)=0)*(COUNTIFS($C$3:$Q$3,"GIORNO",$C10:$Q10,AI$3)=0)*(COUNTIFS($C$3:$Q$3,"NOTTE",$C10:$Q10,AI$3)=0)*(COUNTIFS($C$3:$Q$3,"NOTTE",$C9:$Q9,AI$3)=0))+((AI10&lt;&gt;"Xn")*(COUNTIFS($C$3:$Q$3,"MAT",$C10:$Q10,AI$3)=0)*(COUNTIFS($C$3:$Q$3,"GIORNO",$C10:$Q10,AI$3)=0)*(COUNTIFS($C$3:$Q$3,"NOTTE",$C10:$Q10,AI$3)=0)*(COUNTIFS($C$3:$Q$3,"NOTTE",$C9:$Q9,AI$3)=0))=0,"",IF(0+((AI10&lt;&gt;"Xm")*(AI10&lt;&gt;"Xg")*(COUNTIFS($C$3:$Q$3,"MAT",$C10:$Q10,AI$3)=0)*(COUNTIFS($C$3:$Q$3,"GIORNO",$C10:$Q10,AI$3)=0)*(COUNTIFS($C$3:$Q$3,"NOTTE",$C10:$Q10,AI$3)=0)*(COUNTIFS($C$3:$Q$3,"NOTTE",$C9:$Q9,AI$3)=0))+((AI10&lt;&gt;"Xm")*(AI10&lt;&gt;"Xp")*(AI10&lt;&gt;"Xg")*(COUNTIFS($C$3:$Q$3,"MAT",$C10:$Q10,AI$3)=0)*(COUNTIFS($C$3:$Q$3,"GIORNO",$C10:$Q10,AI$3)=0)*(COUNTIFS($C$3:$Q$3,"NOTTE",$C10:$Q10,AI$3)=0)*(COUNTIFS($C$3:$Q$3,"NOTTE",$C9:$Q9,AI$3)=0))+((AI10&lt;&gt;"Xn")*(COUNTIFS($C$3:$Q$3,"MAT",$C10:$Q10,AI$3)=0)*(COUNTIFS($C$3:$Q$3,"GIORNO",$C10:$Q10,AI$3)=0)*(COUNTIFS($C$3:$Q$3,"NOTTE",$C10:$Q10,AI$3)=0)*(COUNTIFS($C$3:$Q$3,"NOTTE",$C9:$Q9,AI$3)=0))=3,AI$3&amp;", ",AI$3&amp;IF((AI10&lt;&gt;"Xm")*(AI10&lt;&gt;"Xg")*(COUNTIFS($C$3:$Q$3,"MAT",$C10:$Q10,AI$3)=0)*(COUNTIFS($C$3:$Q$3,"GIORNO",$C10:$Q10,AI$3)=0)*(COUNTIFS($C$3:$Q$3,"NOTTE",$C10:$Q10,AI$3)=0)*(COUNTIFS($C$3:$Q$3,"NOTTE",$C9:$Q9,AI$3)=0),"_m","")&amp;IF((AI10&lt;&gt;"Xm")*(AI10&lt;&gt;"Xp")*(AI10&lt;&gt;"Xg")*(COUNTIFS($C$3:$Q$3,"MAT",$C10:$Q10,AI$3)=0)*(COUNTIFS($C$3:$Q$3,"GIORNO",$C10:$Q10,AI$3)=0)*(COUNTIFS($C$3:$Q$3,"NOTTE",$C10:$Q10,AI$3)=0)*(COUNTIFS($C$3:$Q$3,"NOTTE",$C9:$Q9,AI$3)=0),"_g","")&amp;IF((AI10&lt;&gt;"Xn")*(COUNTIFS($C$3:$Q$3,"MAT",$C10:$Q10,AI$3)=0)*(COUNTIFS($C$3:$Q$3,"GIORNO",$C10:$Q10,AI$3)=0)*(COUNTIFS($C$3:$Q$3,"NOTTE",$C10:$Q10,AI$3)=0)*(COUNTIFS($C$3:$Q$3,"NOTTE",$C9:$Q9,AI$3)=0),"_n","")&amp;", ")))</f>
        <v xml:space="preserve">MARINI, </v>
      </c>
      <c r="CM10" s="9" t="str">
        <f>IF(0+(AJ10="X")&gt;0,"",IF(0+((AJ10&lt;&gt;"Xm")*(AJ10&lt;&gt;"Xg")*(COUNTIFS($C$3:$Q$3,"MAT",$C10:$Q10,AJ$3)=0)*(COUNTIFS($C$3:$Q$3,"GIORNO",$C10:$Q10,AJ$3)=0)*(COUNTIFS($C$3:$Q$3,"NOTTE",$C10:$Q10,AJ$3)=0)*(COUNTIFS($C$3:$Q$3,"NOTTE",$C9:$Q9,AJ$3)=0))+((AJ10&lt;&gt;"Xm")*(AJ10&lt;&gt;"Xp")*(AJ10&lt;&gt;"Xg")*(COUNTIFS($C$3:$Q$3,"MAT",$C10:$Q10,AJ$3)=0)*(COUNTIFS($C$3:$Q$3,"GIORNO",$C10:$Q10,AJ$3)=0)*(COUNTIFS($C$3:$Q$3,"NOTTE",$C10:$Q10,AJ$3)=0)*(COUNTIFS($C$3:$Q$3,"NOTTE",$C9:$Q9,AJ$3)=0))+((AJ10&lt;&gt;"Xn")*(COUNTIFS($C$3:$Q$3,"MAT",$C10:$Q10,AJ$3)=0)*(COUNTIFS($C$3:$Q$3,"GIORNO",$C10:$Q10,AJ$3)=0)*(COUNTIFS($C$3:$Q$3,"NOTTE",$C10:$Q10,AJ$3)=0)*(COUNTIFS($C$3:$Q$3,"NOTTE",$C9:$Q9,AJ$3)=0))=0,"",IF(0+((AJ10&lt;&gt;"Xm")*(AJ10&lt;&gt;"Xg")*(COUNTIFS($C$3:$Q$3,"MAT",$C10:$Q10,AJ$3)=0)*(COUNTIFS($C$3:$Q$3,"GIORNO",$C10:$Q10,AJ$3)=0)*(COUNTIFS($C$3:$Q$3,"NOTTE",$C10:$Q10,AJ$3)=0)*(COUNTIFS($C$3:$Q$3,"NOTTE",$C9:$Q9,AJ$3)=0))+((AJ10&lt;&gt;"Xm")*(AJ10&lt;&gt;"Xp")*(AJ10&lt;&gt;"Xg")*(COUNTIFS($C$3:$Q$3,"MAT",$C10:$Q10,AJ$3)=0)*(COUNTIFS($C$3:$Q$3,"GIORNO",$C10:$Q10,AJ$3)=0)*(COUNTIFS($C$3:$Q$3,"NOTTE",$C10:$Q10,AJ$3)=0)*(COUNTIFS($C$3:$Q$3,"NOTTE",$C9:$Q9,AJ$3)=0))+((AJ10&lt;&gt;"Xn")*(COUNTIFS($C$3:$Q$3,"MAT",$C10:$Q10,AJ$3)=0)*(COUNTIFS($C$3:$Q$3,"GIORNO",$C10:$Q10,AJ$3)=0)*(COUNTIFS($C$3:$Q$3,"NOTTE",$C10:$Q10,AJ$3)=0)*(COUNTIFS($C$3:$Q$3,"NOTTE",$C9:$Q9,AJ$3)=0))=3,AJ$3&amp;", ",AJ$3&amp;IF((AJ10&lt;&gt;"Xm")*(AJ10&lt;&gt;"Xg")*(COUNTIFS($C$3:$Q$3,"MAT",$C10:$Q10,AJ$3)=0)*(COUNTIFS($C$3:$Q$3,"GIORNO",$C10:$Q10,AJ$3)=0)*(COUNTIFS($C$3:$Q$3,"NOTTE",$C10:$Q10,AJ$3)=0)*(COUNTIFS($C$3:$Q$3,"NOTTE",$C9:$Q9,AJ$3)=0),"_m","")&amp;IF((AJ10&lt;&gt;"Xm")*(AJ10&lt;&gt;"Xp")*(AJ10&lt;&gt;"Xg")*(COUNTIFS($C$3:$Q$3,"MAT",$C10:$Q10,AJ$3)=0)*(COUNTIFS($C$3:$Q$3,"GIORNO",$C10:$Q10,AJ$3)=0)*(COUNTIFS($C$3:$Q$3,"NOTTE",$C10:$Q10,AJ$3)=0)*(COUNTIFS($C$3:$Q$3,"NOTTE",$C9:$Q9,AJ$3)=0),"_g","")&amp;IF((AJ10&lt;&gt;"Xn")*(COUNTIFS($C$3:$Q$3,"MAT",$C10:$Q10,AJ$3)=0)*(COUNTIFS($C$3:$Q$3,"GIORNO",$C10:$Q10,AJ$3)=0)*(COUNTIFS($C$3:$Q$3,"NOTTE",$C10:$Q10,AJ$3)=0)*(COUNTIFS($C$3:$Q$3,"NOTTE",$C9:$Q9,AJ$3)=0),"_n","")&amp;", ")))</f>
        <v xml:space="preserve">CONTI A, </v>
      </c>
      <c r="CN10" s="9" t="str">
        <f>IF(0+(AK10="X")&gt;0,"",IF(0+((AK10&lt;&gt;"Xm")*(AK10&lt;&gt;"Xg")*(COUNTIFS($C$3:$Q$3,"MAT",$C10:$Q10,AK$3)=0)*(COUNTIFS($C$3:$Q$3,"GIORNO",$C10:$Q10,AK$3)=0)*(COUNTIFS($C$3:$Q$3,"NOTTE",$C10:$Q10,AK$3)=0)*(COUNTIFS($C$3:$Q$3,"NOTTE",$C9:$Q9,AK$3)=0))+((AK10&lt;&gt;"Xm")*(AK10&lt;&gt;"Xp")*(AK10&lt;&gt;"Xg")*(COUNTIFS($C$3:$Q$3,"MAT",$C10:$Q10,AK$3)=0)*(COUNTIFS($C$3:$Q$3,"GIORNO",$C10:$Q10,AK$3)=0)*(COUNTIFS($C$3:$Q$3,"NOTTE",$C10:$Q10,AK$3)=0)*(COUNTIFS($C$3:$Q$3,"NOTTE",$C9:$Q9,AK$3)=0))+((AK10&lt;&gt;"Xn")*(COUNTIFS($C$3:$Q$3,"MAT",$C10:$Q10,AK$3)=0)*(COUNTIFS($C$3:$Q$3,"GIORNO",$C10:$Q10,AK$3)=0)*(COUNTIFS($C$3:$Q$3,"NOTTE",$C10:$Q10,AK$3)=0)*(COUNTIFS($C$3:$Q$3,"NOTTE",$C9:$Q9,AK$3)=0))=0,"",IF(0+((AK10&lt;&gt;"Xm")*(AK10&lt;&gt;"Xg")*(COUNTIFS($C$3:$Q$3,"MAT",$C10:$Q10,AK$3)=0)*(COUNTIFS($C$3:$Q$3,"GIORNO",$C10:$Q10,AK$3)=0)*(COUNTIFS($C$3:$Q$3,"NOTTE",$C10:$Q10,AK$3)=0)*(COUNTIFS($C$3:$Q$3,"NOTTE",$C9:$Q9,AK$3)=0))+((AK10&lt;&gt;"Xm")*(AK10&lt;&gt;"Xp")*(AK10&lt;&gt;"Xg")*(COUNTIFS($C$3:$Q$3,"MAT",$C10:$Q10,AK$3)=0)*(COUNTIFS($C$3:$Q$3,"GIORNO",$C10:$Q10,AK$3)=0)*(COUNTIFS($C$3:$Q$3,"NOTTE",$C10:$Q10,AK$3)=0)*(COUNTIFS($C$3:$Q$3,"NOTTE",$C9:$Q9,AK$3)=0))+((AK10&lt;&gt;"Xn")*(COUNTIFS($C$3:$Q$3,"MAT",$C10:$Q10,AK$3)=0)*(COUNTIFS($C$3:$Q$3,"GIORNO",$C10:$Q10,AK$3)=0)*(COUNTIFS($C$3:$Q$3,"NOTTE",$C10:$Q10,AK$3)=0)*(COUNTIFS($C$3:$Q$3,"NOTTE",$C9:$Q9,AK$3)=0))=3,AK$3&amp;", ",AK$3&amp;IF((AK10&lt;&gt;"Xm")*(AK10&lt;&gt;"Xg")*(COUNTIFS($C$3:$Q$3,"MAT",$C10:$Q10,AK$3)=0)*(COUNTIFS($C$3:$Q$3,"GIORNO",$C10:$Q10,AK$3)=0)*(COUNTIFS($C$3:$Q$3,"NOTTE",$C10:$Q10,AK$3)=0)*(COUNTIFS($C$3:$Q$3,"NOTTE",$C9:$Q9,AK$3)=0),"_m","")&amp;IF((AK10&lt;&gt;"Xm")*(AK10&lt;&gt;"Xp")*(AK10&lt;&gt;"Xg")*(COUNTIFS($C$3:$Q$3,"MAT",$C10:$Q10,AK$3)=0)*(COUNTIFS($C$3:$Q$3,"GIORNO",$C10:$Q10,AK$3)=0)*(COUNTIFS($C$3:$Q$3,"NOTTE",$C10:$Q10,AK$3)=0)*(COUNTIFS($C$3:$Q$3,"NOTTE",$C9:$Q9,AK$3)=0),"_g","")&amp;IF((AK10&lt;&gt;"Xn")*(COUNTIFS($C$3:$Q$3,"MAT",$C10:$Q10,AK$3)=0)*(COUNTIFS($C$3:$Q$3,"GIORNO",$C10:$Q10,AK$3)=0)*(COUNTIFS($C$3:$Q$3,"NOTTE",$C10:$Q10,AK$3)=0)*(COUNTIFS($C$3:$Q$3,"NOTTE",$C9:$Q9,AK$3)=0),"_n","")&amp;", ")))</f>
        <v xml:space="preserve">CONTI S, </v>
      </c>
      <c r="CO10" s="9" t="str">
        <f>IF(0+(AL10="X")&gt;0,"",IF(0+((AL10&lt;&gt;"Xm")*(AL10&lt;&gt;"Xg")*(COUNTIFS($C$3:$Q$3,"MAT",$C10:$Q10,AL$3)=0)*(COUNTIFS($C$3:$Q$3,"GIORNO",$C10:$Q10,AL$3)=0)*(COUNTIFS($C$3:$Q$3,"NOTTE",$C10:$Q10,AL$3)=0)*(COUNTIFS($C$3:$Q$3,"NOTTE",$C9:$Q9,AL$3)=0))+((AL10&lt;&gt;"Xm")*(AL10&lt;&gt;"Xp")*(AL10&lt;&gt;"Xg")*(COUNTIFS($C$3:$Q$3,"MAT",$C10:$Q10,AL$3)=0)*(COUNTIFS($C$3:$Q$3,"GIORNO",$C10:$Q10,AL$3)=0)*(COUNTIFS($C$3:$Q$3,"NOTTE",$C10:$Q10,AL$3)=0)*(COUNTIFS($C$3:$Q$3,"NOTTE",$C9:$Q9,AL$3)=0))+((AL10&lt;&gt;"Xn")*(COUNTIFS($C$3:$Q$3,"MAT",$C10:$Q10,AL$3)=0)*(COUNTIFS($C$3:$Q$3,"GIORNO",$C10:$Q10,AL$3)=0)*(COUNTIFS($C$3:$Q$3,"NOTTE",$C10:$Q10,AL$3)=0)*(COUNTIFS($C$3:$Q$3,"NOTTE",$C9:$Q9,AL$3)=0))=0,"",IF(0+((AL10&lt;&gt;"Xm")*(AL10&lt;&gt;"Xg")*(COUNTIFS($C$3:$Q$3,"MAT",$C10:$Q10,AL$3)=0)*(COUNTIFS($C$3:$Q$3,"GIORNO",$C10:$Q10,AL$3)=0)*(COUNTIFS($C$3:$Q$3,"NOTTE",$C10:$Q10,AL$3)=0)*(COUNTIFS($C$3:$Q$3,"NOTTE",$C9:$Q9,AL$3)=0))+((AL10&lt;&gt;"Xm")*(AL10&lt;&gt;"Xp")*(AL10&lt;&gt;"Xg")*(COUNTIFS($C$3:$Q$3,"MAT",$C10:$Q10,AL$3)=0)*(COUNTIFS($C$3:$Q$3,"GIORNO",$C10:$Q10,AL$3)=0)*(COUNTIFS($C$3:$Q$3,"NOTTE",$C10:$Q10,AL$3)=0)*(COUNTIFS($C$3:$Q$3,"NOTTE",$C9:$Q9,AL$3)=0))+((AL10&lt;&gt;"Xn")*(COUNTIFS($C$3:$Q$3,"MAT",$C10:$Q10,AL$3)=0)*(COUNTIFS($C$3:$Q$3,"GIORNO",$C10:$Q10,AL$3)=0)*(COUNTIFS($C$3:$Q$3,"NOTTE",$C10:$Q10,AL$3)=0)*(COUNTIFS($C$3:$Q$3,"NOTTE",$C9:$Q9,AL$3)=0))=3,AL$3&amp;", ",AL$3&amp;IF((AL10&lt;&gt;"Xm")*(AL10&lt;&gt;"Xg")*(COUNTIFS($C$3:$Q$3,"MAT",$C10:$Q10,AL$3)=0)*(COUNTIFS($C$3:$Q$3,"GIORNO",$C10:$Q10,AL$3)=0)*(COUNTIFS($C$3:$Q$3,"NOTTE",$C10:$Q10,AL$3)=0)*(COUNTIFS($C$3:$Q$3,"NOTTE",$C9:$Q9,AL$3)=0),"_m","")&amp;IF((AL10&lt;&gt;"Xm")*(AL10&lt;&gt;"Xp")*(AL10&lt;&gt;"Xg")*(COUNTIFS($C$3:$Q$3,"MAT",$C10:$Q10,AL$3)=0)*(COUNTIFS($C$3:$Q$3,"GIORNO",$C10:$Q10,AL$3)=0)*(COUNTIFS($C$3:$Q$3,"NOTTE",$C10:$Q10,AL$3)=0)*(COUNTIFS($C$3:$Q$3,"NOTTE",$C9:$Q9,AL$3)=0),"_g","")&amp;IF((AL10&lt;&gt;"Xn")*(COUNTIFS($C$3:$Q$3,"MAT",$C10:$Q10,AL$3)=0)*(COUNTIFS($C$3:$Q$3,"GIORNO",$C10:$Q10,AL$3)=0)*(COUNTIFS($C$3:$Q$3,"NOTTE",$C10:$Q10,AL$3)=0)*(COUNTIFS($C$3:$Q$3,"NOTTE",$C9:$Q9,AL$3)=0),"_n","")&amp;", ")))</f>
        <v xml:space="preserve">FERRARI, </v>
      </c>
      <c r="CP10" s="9" t="str">
        <f>IF(0+(AM10="X")&gt;0,"",IF(0+((AM10&lt;&gt;"Xm")*(AM10&lt;&gt;"Xg")*(COUNTIFS($C$3:$Q$3,"MAT",$C10:$Q10,AM$3)=0)*(COUNTIFS($C$3:$Q$3,"GIORNO",$C10:$Q10,AM$3)=0)*(COUNTIFS($C$3:$Q$3,"NOTTE",$C10:$Q10,AM$3)=0)*(COUNTIFS($C$3:$Q$3,"NOTTE",$C9:$Q9,AM$3)=0))+((AM10&lt;&gt;"Xm")*(AM10&lt;&gt;"Xp")*(AM10&lt;&gt;"Xg")*(COUNTIFS($C$3:$Q$3,"MAT",$C10:$Q10,AM$3)=0)*(COUNTIFS($C$3:$Q$3,"GIORNO",$C10:$Q10,AM$3)=0)*(COUNTIFS($C$3:$Q$3,"NOTTE",$C10:$Q10,AM$3)=0)*(COUNTIFS($C$3:$Q$3,"NOTTE",$C9:$Q9,AM$3)=0))+((AM10&lt;&gt;"Xn")*(COUNTIFS($C$3:$Q$3,"MAT",$C10:$Q10,AM$3)=0)*(COUNTIFS($C$3:$Q$3,"GIORNO",$C10:$Q10,AM$3)=0)*(COUNTIFS($C$3:$Q$3,"NOTTE",$C10:$Q10,AM$3)=0)*(COUNTIFS($C$3:$Q$3,"NOTTE",$C9:$Q9,AM$3)=0))=0,"",IF(0+((AM10&lt;&gt;"Xm")*(AM10&lt;&gt;"Xg")*(COUNTIFS($C$3:$Q$3,"MAT",$C10:$Q10,AM$3)=0)*(COUNTIFS($C$3:$Q$3,"GIORNO",$C10:$Q10,AM$3)=0)*(COUNTIFS($C$3:$Q$3,"NOTTE",$C10:$Q10,AM$3)=0)*(COUNTIFS($C$3:$Q$3,"NOTTE",$C9:$Q9,AM$3)=0))+((AM10&lt;&gt;"Xm")*(AM10&lt;&gt;"Xp")*(AM10&lt;&gt;"Xg")*(COUNTIFS($C$3:$Q$3,"MAT",$C10:$Q10,AM$3)=0)*(COUNTIFS($C$3:$Q$3,"GIORNO",$C10:$Q10,AM$3)=0)*(COUNTIFS($C$3:$Q$3,"NOTTE",$C10:$Q10,AM$3)=0)*(COUNTIFS($C$3:$Q$3,"NOTTE",$C9:$Q9,AM$3)=0))+((AM10&lt;&gt;"Xn")*(COUNTIFS($C$3:$Q$3,"MAT",$C10:$Q10,AM$3)=0)*(COUNTIFS($C$3:$Q$3,"GIORNO",$C10:$Q10,AM$3)=0)*(COUNTIFS($C$3:$Q$3,"NOTTE",$C10:$Q10,AM$3)=0)*(COUNTIFS($C$3:$Q$3,"NOTTE",$C9:$Q9,AM$3)=0))=3,AM$3&amp;", ",AM$3&amp;IF((AM10&lt;&gt;"Xm")*(AM10&lt;&gt;"Xg")*(COUNTIFS($C$3:$Q$3,"MAT",$C10:$Q10,AM$3)=0)*(COUNTIFS($C$3:$Q$3,"GIORNO",$C10:$Q10,AM$3)=0)*(COUNTIFS($C$3:$Q$3,"NOTTE",$C10:$Q10,AM$3)=0)*(COUNTIFS($C$3:$Q$3,"NOTTE",$C9:$Q9,AM$3)=0),"_m","")&amp;IF((AM10&lt;&gt;"Xm")*(AM10&lt;&gt;"Xp")*(AM10&lt;&gt;"Xg")*(COUNTIFS($C$3:$Q$3,"MAT",$C10:$Q10,AM$3)=0)*(COUNTIFS($C$3:$Q$3,"GIORNO",$C10:$Q10,AM$3)=0)*(COUNTIFS($C$3:$Q$3,"NOTTE",$C10:$Q10,AM$3)=0)*(COUNTIFS($C$3:$Q$3,"NOTTE",$C9:$Q9,AM$3)=0),"_g","")&amp;IF((AM10&lt;&gt;"Xn")*(COUNTIFS($C$3:$Q$3,"MAT",$C10:$Q10,AM$3)=0)*(COUNTIFS($C$3:$Q$3,"GIORNO",$C10:$Q10,AM$3)=0)*(COUNTIFS($C$3:$Q$3,"NOTTE",$C10:$Q10,AM$3)=0)*(COUNTIFS($C$3:$Q$3,"NOTTE",$C9:$Q9,AM$3)=0),"_n","")&amp;", ")))</f>
        <v xml:space="preserve">GRECO, </v>
      </c>
      <c r="CQ10" s="9" t="str">
        <f>IF(0+(AN10="X")&gt;0,"",IF(0+((AN10&lt;&gt;"Xm")*(AN10&lt;&gt;"Xg")*(COUNTIFS($C$3:$Q$3,"MAT",$C10:$Q10,AN$3)=0)*(COUNTIFS($C$3:$Q$3,"GIORNO",$C10:$Q10,AN$3)=0)*(COUNTIFS($C$3:$Q$3,"NOTTE",$C10:$Q10,AN$3)=0)*(COUNTIFS($C$3:$Q$3,"NOTTE",$C9:$Q9,AN$3)=0))+((AN10&lt;&gt;"Xm")*(AN10&lt;&gt;"Xp")*(AN10&lt;&gt;"Xg")*(COUNTIFS($C$3:$Q$3,"MAT",$C10:$Q10,AN$3)=0)*(COUNTIFS($C$3:$Q$3,"GIORNO",$C10:$Q10,AN$3)=0)*(COUNTIFS($C$3:$Q$3,"NOTTE",$C10:$Q10,AN$3)=0)*(COUNTIFS($C$3:$Q$3,"NOTTE",$C9:$Q9,AN$3)=0))+((AN10&lt;&gt;"Xn")*(COUNTIFS($C$3:$Q$3,"MAT",$C10:$Q10,AN$3)=0)*(COUNTIFS($C$3:$Q$3,"GIORNO",$C10:$Q10,AN$3)=0)*(COUNTIFS($C$3:$Q$3,"NOTTE",$C10:$Q10,AN$3)=0)*(COUNTIFS($C$3:$Q$3,"NOTTE",$C9:$Q9,AN$3)=0))=0,"",IF(0+((AN10&lt;&gt;"Xm")*(AN10&lt;&gt;"Xg")*(COUNTIFS($C$3:$Q$3,"MAT",$C10:$Q10,AN$3)=0)*(COUNTIFS($C$3:$Q$3,"GIORNO",$C10:$Q10,AN$3)=0)*(COUNTIFS($C$3:$Q$3,"NOTTE",$C10:$Q10,AN$3)=0)*(COUNTIFS($C$3:$Q$3,"NOTTE",$C9:$Q9,AN$3)=0))+((AN10&lt;&gt;"Xm")*(AN10&lt;&gt;"Xp")*(AN10&lt;&gt;"Xg")*(COUNTIFS($C$3:$Q$3,"MAT",$C10:$Q10,AN$3)=0)*(COUNTIFS($C$3:$Q$3,"GIORNO",$C10:$Q10,AN$3)=0)*(COUNTIFS($C$3:$Q$3,"NOTTE",$C10:$Q10,AN$3)=0)*(COUNTIFS($C$3:$Q$3,"NOTTE",$C9:$Q9,AN$3)=0))+((AN10&lt;&gt;"Xn")*(COUNTIFS($C$3:$Q$3,"MAT",$C10:$Q10,AN$3)=0)*(COUNTIFS($C$3:$Q$3,"GIORNO",$C10:$Q10,AN$3)=0)*(COUNTIFS($C$3:$Q$3,"NOTTE",$C10:$Q10,AN$3)=0)*(COUNTIFS($C$3:$Q$3,"NOTTE",$C9:$Q9,AN$3)=0))=3,AN$3&amp;", ",AN$3&amp;IF((AN10&lt;&gt;"Xm")*(AN10&lt;&gt;"Xg")*(COUNTIFS($C$3:$Q$3,"MAT",$C10:$Q10,AN$3)=0)*(COUNTIFS($C$3:$Q$3,"GIORNO",$C10:$Q10,AN$3)=0)*(COUNTIFS($C$3:$Q$3,"NOTTE",$C10:$Q10,AN$3)=0)*(COUNTIFS($C$3:$Q$3,"NOTTE",$C9:$Q9,AN$3)=0),"_m","")&amp;IF((AN10&lt;&gt;"Xm")*(AN10&lt;&gt;"Xp")*(AN10&lt;&gt;"Xg")*(COUNTIFS($C$3:$Q$3,"MAT",$C10:$Q10,AN$3)=0)*(COUNTIFS($C$3:$Q$3,"GIORNO",$C10:$Q10,AN$3)=0)*(COUNTIFS($C$3:$Q$3,"NOTTE",$C10:$Q10,AN$3)=0)*(COUNTIFS($C$3:$Q$3,"NOTTE",$C9:$Q9,AN$3)=0),"_g","")&amp;IF((AN10&lt;&gt;"Xn")*(COUNTIFS($C$3:$Q$3,"MAT",$C10:$Q10,AN$3)=0)*(COUNTIFS($C$3:$Q$3,"GIORNO",$C10:$Q10,AN$3)=0)*(COUNTIFS($C$3:$Q$3,"NOTTE",$C10:$Q10,AN$3)=0)*(COUNTIFS($C$3:$Q$3,"NOTTE",$C9:$Q9,AN$3)=0),"_n","")&amp;", ")))</f>
        <v xml:space="preserve">SANNA, </v>
      </c>
      <c r="CR10" s="9" t="str">
        <f>IF(0+(AO10="X")&gt;0,"",IF(0+((AO10&lt;&gt;"Xm")*(AO10&lt;&gt;"Xg")*(COUNTIFS($C$3:$Q$3,"MAT",$C10:$Q10,AO$3)=0)*(COUNTIFS($C$3:$Q$3,"GIORNO",$C10:$Q10,AO$3)=0)*(COUNTIFS($C$3:$Q$3,"NOTTE",$C10:$Q10,AO$3)=0)*(COUNTIFS($C$3:$Q$3,"NOTTE",$C9:$Q9,AO$3)=0))+((AO10&lt;&gt;"Xm")*(AO10&lt;&gt;"Xp")*(AO10&lt;&gt;"Xg")*(COUNTIFS($C$3:$Q$3,"MAT",$C10:$Q10,AO$3)=0)*(COUNTIFS($C$3:$Q$3,"GIORNO",$C10:$Q10,AO$3)=0)*(COUNTIFS($C$3:$Q$3,"NOTTE",$C10:$Q10,AO$3)=0)*(COUNTIFS($C$3:$Q$3,"NOTTE",$C9:$Q9,AO$3)=0))+((AO10&lt;&gt;"Xn")*(COUNTIFS($C$3:$Q$3,"MAT",$C10:$Q10,AO$3)=0)*(COUNTIFS($C$3:$Q$3,"GIORNO",$C10:$Q10,AO$3)=0)*(COUNTIFS($C$3:$Q$3,"NOTTE",$C10:$Q10,AO$3)=0)*(COUNTIFS($C$3:$Q$3,"NOTTE",$C9:$Q9,AO$3)=0))=0,"",IF(0+((AO10&lt;&gt;"Xm")*(AO10&lt;&gt;"Xg")*(COUNTIFS($C$3:$Q$3,"MAT",$C10:$Q10,AO$3)=0)*(COUNTIFS($C$3:$Q$3,"GIORNO",$C10:$Q10,AO$3)=0)*(COUNTIFS($C$3:$Q$3,"NOTTE",$C10:$Q10,AO$3)=0)*(COUNTIFS($C$3:$Q$3,"NOTTE",$C9:$Q9,AO$3)=0))+((AO10&lt;&gt;"Xm")*(AO10&lt;&gt;"Xp")*(AO10&lt;&gt;"Xg")*(COUNTIFS($C$3:$Q$3,"MAT",$C10:$Q10,AO$3)=0)*(COUNTIFS($C$3:$Q$3,"GIORNO",$C10:$Q10,AO$3)=0)*(COUNTIFS($C$3:$Q$3,"NOTTE",$C10:$Q10,AO$3)=0)*(COUNTIFS($C$3:$Q$3,"NOTTE",$C9:$Q9,AO$3)=0))+((AO10&lt;&gt;"Xn")*(COUNTIFS($C$3:$Q$3,"MAT",$C10:$Q10,AO$3)=0)*(COUNTIFS($C$3:$Q$3,"GIORNO",$C10:$Q10,AO$3)=0)*(COUNTIFS($C$3:$Q$3,"NOTTE",$C10:$Q10,AO$3)=0)*(COUNTIFS($C$3:$Q$3,"NOTTE",$C9:$Q9,AO$3)=0))=3,AO$3&amp;", ",AO$3&amp;IF((AO10&lt;&gt;"Xm")*(AO10&lt;&gt;"Xg")*(COUNTIFS($C$3:$Q$3,"MAT",$C10:$Q10,AO$3)=0)*(COUNTIFS($C$3:$Q$3,"GIORNO",$C10:$Q10,AO$3)=0)*(COUNTIFS($C$3:$Q$3,"NOTTE",$C10:$Q10,AO$3)=0)*(COUNTIFS($C$3:$Q$3,"NOTTE",$C9:$Q9,AO$3)=0),"_m","")&amp;IF((AO10&lt;&gt;"Xm")*(AO10&lt;&gt;"Xp")*(AO10&lt;&gt;"Xg")*(COUNTIFS($C$3:$Q$3,"MAT",$C10:$Q10,AO$3)=0)*(COUNTIFS($C$3:$Q$3,"GIORNO",$C10:$Q10,AO$3)=0)*(COUNTIFS($C$3:$Q$3,"NOTTE",$C10:$Q10,AO$3)=0)*(COUNTIFS($C$3:$Q$3,"NOTTE",$C9:$Q9,AO$3)=0),"_g","")&amp;IF((AO10&lt;&gt;"Xn")*(COUNTIFS($C$3:$Q$3,"MAT",$C10:$Q10,AO$3)=0)*(COUNTIFS($C$3:$Q$3,"GIORNO",$C10:$Q10,AO$3)=0)*(COUNTIFS($C$3:$Q$3,"NOTTE",$C10:$Q10,AO$3)=0)*(COUNTIFS($C$3:$Q$3,"NOTTE",$C9:$Q9,AO$3)=0),"_n","")&amp;", ")))</f>
        <v xml:space="preserve">LI, </v>
      </c>
    </row>
    <row r="11">
      <c r="A11" s="3" t="str">
        <f>CHOOSE(WEEKDAY(DATE($B$1,$A$2,B11),2),"lunedì","martedì","mercoledì","giovedì","venerdì","sabato","domenica")</f>
        <v>domenica</v>
      </c>
      <c r="B11" s="3" t="n">
        <v>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3" t="n"/>
      <c r="Q11" s="3" t="n"/>
      <c r="R11" s="3" t="n"/>
      <c r="S11" s="3">
        <f>IF(SUMPRODUCT(($C$3:$Q$3&lt;&gt;"")*($C11:$Q11&lt;&gt;"")*(LEFT($C11:$Q11,6)&lt;&gt;"chiuso")*(COUNTIFS($C11:$Q11,$C11:$Q11,$C$3:$Q$3,$C$3:$Q$3)&gt;1))&gt;0,"X","")</f>
      </c>
      <c r="T11" s="3" t="str">
        <f>IF(LEN(BP11&amp;BQ11&amp;BR11&amp;BS11&amp;BT11&amp;BU11&amp;BV11&amp;BW11&amp;BX11&amp;BY11&amp;BZ11&amp;CA11&amp;CB11&amp;CC11)=0,"",LEFT(BP11&amp;BQ11&amp;BR11&amp;BS11&amp;BT11&amp;BU11&amp;BV11&amp;BW11&amp;BX11&amp;BY11&amp;BZ11&amp;CA11&amp;CB11&amp;CC11,LEN(BP11&amp;BQ11&amp;BR11&amp;BS11&amp;BT11&amp;BU11&amp;BV11&amp;BW11&amp;BX11&amp;BY11&amp;BZ11&amp;CA11&amp;CB11&amp;CC11)-2))</f>
        <v>LEONI, ROSSI M, ROSSI L, GALLINA, RUSSO, VERDI, HU, MARINI, CONTI A, CONTI S, FERRARI, GRECO, SANNA, LI</v>
      </c>
      <c r="U11" s="3" t="str">
        <f>IF(LEN(CE11&amp;CF11&amp;CG11&amp;CH11&amp;CI11&amp;CJ11&amp;CK11&amp;CL11&amp;CM11&amp;CN11&amp;CO11&amp;CP11&amp;CQ11&amp;CR11)=0,"",LEFT(CE11&amp;CF11&amp;CG11&amp;CH11&amp;CI11&amp;CJ11&amp;CK11&amp;CL11&amp;CM11&amp;CN11&amp;CO11&amp;CP11&amp;CQ11&amp;CR11,LEN(CE11&amp;CF11&amp;CG11&amp;CH11&amp;CI11&amp;CJ11&amp;CK11&amp;CL11&amp;CM11&amp;CN11&amp;CO11&amp;CP11&amp;CQ11&amp;CR11)-2))</f>
        <v>LEONI, ROSSI M, ROSSI L, GALLINA, RUSSO, VERDI, HU, MARINI, CONTI A, CONTI S, FERRARI, GRECO, SANNA, LI</v>
      </c>
      <c r="Z11" s="3" t="str">
        <f>A11</f>
        <v>domenica</v>
      </c>
      <c r="AA11" s="3">
        <f>B11</f>
        <v>8</v>
      </c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Q11" s="12" t="inlineStr">
        <is>
          <t>Le celle grigio scuro sono turni che quel giorno non esistono: non vanno compilate.</t>
        </is>
      </c>
      <c r="AT11" s="7" t="str">
        <f>AI$3</f>
        <v>MARINI</v>
      </c>
      <c r="AU11" s="7">
        <f>COUNTIF($C$4:$D$33,$AT11)</f>
        <v>0</v>
      </c>
      <c r="AV11" s="7">
        <f>COUNTIF($E$4:$F$33,$AT11)</f>
        <v>0</v>
      </c>
      <c r="AW11" s="7">
        <f>COUNTIF($G$4:$H$33,$AT11)</f>
        <v>0</v>
      </c>
      <c r="AX11" s="7">
        <f>COUNTIF($I$4:$J$33,$AT11)</f>
        <v>0</v>
      </c>
      <c r="AY11" s="7">
        <f>COUNTIF($K$4:$K$33,$AT11)</f>
        <v>0</v>
      </c>
      <c r="AZ11" s="7">
        <f>COUNTIF($L$4:$L$33,$AT11)</f>
        <v>0</v>
      </c>
      <c r="BA11" s="7">
        <f>COUNTIF($M$4:$M$33,$AT11)</f>
        <v>0</v>
      </c>
      <c r="BB11" s="7">
        <f>COUNTIF($N$4:$Q$33,$AT11)</f>
        <v>0</v>
      </c>
      <c r="BC11" s="7">
        <f>COUNTIF($C$4:$Q$33,$AT11)</f>
        <v>0</v>
      </c>
      <c r="BE11" s="8" t="str">
        <f>AI$3</f>
        <v>MARINI</v>
      </c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P11" s="9" t="str">
        <f>IF(0+(AB11="X")&gt;0,"",IF(0+((AB11&lt;&gt;"Xm")*(AB11&lt;&gt;"Xp")*(AB11&lt;&gt;"Xg"))+((AB11&lt;&gt;"Xn"))=0,"",IF(0+((AB11&lt;&gt;"Xm")*(AB11&lt;&gt;"Xp")*(AB11&lt;&gt;"Xg"))+((AB11&lt;&gt;"Xn"))=2,AB$3&amp;", ",AB$3&amp;IF((AB11&lt;&gt;"Xm")*(AB11&lt;&gt;"Xp")*(AB11&lt;&gt;"Xg"),"_g","")&amp;IF((AB11&lt;&gt;"Xn"),"_n","")&amp;", ")))</f>
        <v xml:space="preserve">LEONI, </v>
      </c>
      <c r="BQ11" s="9" t="str">
        <f>IF(0+(AC11="X")&gt;0,"",IF(0+((AC11&lt;&gt;"Xm")*(AC11&lt;&gt;"Xp")*(AC11&lt;&gt;"Xg"))+((AC11&lt;&gt;"Xn"))=0,"",IF(0+((AC11&lt;&gt;"Xm")*(AC11&lt;&gt;"Xp")*(AC11&lt;&gt;"Xg"))+((AC11&lt;&gt;"Xn"))=2,AC$3&amp;", ",AC$3&amp;IF((AC11&lt;&gt;"Xm")*(AC11&lt;&gt;"Xp")*(AC11&lt;&gt;"Xg"),"_g","")&amp;IF((AC11&lt;&gt;"Xn"),"_n","")&amp;", ")))</f>
        <v xml:space="preserve">ROSSI M, </v>
      </c>
      <c r="BR11" s="9" t="str">
        <f>IF(0+(AD11="X")&gt;0,"",IF(0+((AD11&lt;&gt;"Xm")*(AD11&lt;&gt;"Xp")*(AD11&lt;&gt;"Xg"))+((AD11&lt;&gt;"Xn"))=0,"",IF(0+((AD11&lt;&gt;"Xm")*(AD11&lt;&gt;"Xp")*(AD11&lt;&gt;"Xg"))+((AD11&lt;&gt;"Xn"))=2,AD$3&amp;", ",AD$3&amp;IF((AD11&lt;&gt;"Xm")*(AD11&lt;&gt;"Xp")*(AD11&lt;&gt;"Xg"),"_g","")&amp;IF((AD11&lt;&gt;"Xn"),"_n","")&amp;", ")))</f>
        <v xml:space="preserve">ROSSI L, </v>
      </c>
      <c r="BS11" s="9" t="str">
        <f>IF(0+(AE11="X")&gt;0,"",IF(0+((AE11&lt;&gt;"Xm")*(AE11&lt;&gt;"Xp")*(AE11&lt;&gt;"Xg"))+((AE11&lt;&gt;"Xn"))=0,"",IF(0+((AE11&lt;&gt;"Xm")*(AE11&lt;&gt;"Xp")*(AE11&lt;&gt;"Xg"))+((AE11&lt;&gt;"Xn"))=2,AE$3&amp;", ",AE$3&amp;IF((AE11&lt;&gt;"Xm")*(AE11&lt;&gt;"Xp")*(AE11&lt;&gt;"Xg"),"_g","")&amp;IF((AE11&lt;&gt;"Xn"),"_n","")&amp;", ")))</f>
        <v xml:space="preserve">GALLINA, </v>
      </c>
      <c r="BT11" s="9" t="str">
        <f>IF(0+(AF11="X")&gt;0,"",IF(0+((AF11&lt;&gt;"Xm")*(AF11&lt;&gt;"Xp")*(AF11&lt;&gt;"Xg"))+((AF11&lt;&gt;"Xn"))=0,"",IF(0+((AF11&lt;&gt;"Xm")*(AF11&lt;&gt;"Xp")*(AF11&lt;&gt;"Xg"))+((AF11&lt;&gt;"Xn"))=2,AF$3&amp;", ",AF$3&amp;IF((AF11&lt;&gt;"Xm")*(AF11&lt;&gt;"Xp")*(AF11&lt;&gt;"Xg"),"_g","")&amp;IF((AF11&lt;&gt;"Xn"),"_n","")&amp;", ")))</f>
        <v xml:space="preserve">RUSSO, </v>
      </c>
      <c r="BU11" s="9" t="str">
        <f>IF(0+(AG11="X")&gt;0,"",IF(0+((AG11&lt;&gt;"Xm")*(AG11&lt;&gt;"Xp")*(AG11&lt;&gt;"Xg"))+((AG11&lt;&gt;"Xn"))=0,"",IF(0+((AG11&lt;&gt;"Xm")*(AG11&lt;&gt;"Xp")*(AG11&lt;&gt;"Xg"))+((AG11&lt;&gt;"Xn"))=2,AG$3&amp;", ",AG$3&amp;IF((AG11&lt;&gt;"Xm")*(AG11&lt;&gt;"Xp")*(AG11&lt;&gt;"Xg"),"_g","")&amp;IF((AG11&lt;&gt;"Xn"),"_n","")&amp;", ")))</f>
        <v xml:space="preserve">VERDI, </v>
      </c>
      <c r="BV11" s="9" t="str">
        <f>IF(0+(AH11="X")&gt;0,"",IF(0+((AH11&lt;&gt;"Xm")*(AH11&lt;&gt;"Xp")*(AH11&lt;&gt;"Xg"))+((AH11&lt;&gt;"Xn"))=0,"",IF(0+((AH11&lt;&gt;"Xm")*(AH11&lt;&gt;"Xp")*(AH11&lt;&gt;"Xg"))+((AH11&lt;&gt;"Xn"))=2,AH$3&amp;", ",AH$3&amp;IF((AH11&lt;&gt;"Xm")*(AH11&lt;&gt;"Xp")*(AH11&lt;&gt;"Xg"),"_g","")&amp;IF((AH11&lt;&gt;"Xn"),"_n","")&amp;", ")))</f>
        <v xml:space="preserve">HU, </v>
      </c>
      <c r="BW11" s="9" t="str">
        <f>IF(0+(AI11="X")&gt;0,"",IF(0+((AI11&lt;&gt;"Xm")*(AI11&lt;&gt;"Xp")*(AI11&lt;&gt;"Xg"))+((AI11&lt;&gt;"Xn"))=0,"",IF(0+((AI11&lt;&gt;"Xm")*(AI11&lt;&gt;"Xp")*(AI11&lt;&gt;"Xg"))+((AI11&lt;&gt;"Xn"))=2,AI$3&amp;", ",AI$3&amp;IF((AI11&lt;&gt;"Xm")*(AI11&lt;&gt;"Xp")*(AI11&lt;&gt;"Xg"),"_g","")&amp;IF((AI11&lt;&gt;"Xn"),"_n","")&amp;", ")))</f>
        <v xml:space="preserve">MARINI, </v>
      </c>
      <c r="BX11" s="9" t="str">
        <f>IF(0+(AJ11="X")&gt;0,"",IF(0+((AJ11&lt;&gt;"Xm")*(AJ11&lt;&gt;"Xp")*(AJ11&lt;&gt;"Xg"))+((AJ11&lt;&gt;"Xn"))=0,"",IF(0+((AJ11&lt;&gt;"Xm")*(AJ11&lt;&gt;"Xp")*(AJ11&lt;&gt;"Xg"))+((AJ11&lt;&gt;"Xn"))=2,AJ$3&amp;", ",AJ$3&amp;IF((AJ11&lt;&gt;"Xm")*(AJ11&lt;&gt;"Xp")*(AJ11&lt;&gt;"Xg"),"_g","")&amp;IF((AJ11&lt;&gt;"Xn"),"_n","")&amp;", ")))</f>
        <v xml:space="preserve">CONTI A, </v>
      </c>
      <c r="BY11" s="9" t="str">
        <f>IF(0+(AK11="X")&gt;0,"",IF(0+((AK11&lt;&gt;"Xm")*(AK11&lt;&gt;"Xp")*(AK11&lt;&gt;"Xg"))+((AK11&lt;&gt;"Xn"))=0,"",IF(0+((AK11&lt;&gt;"Xm")*(AK11&lt;&gt;"Xp")*(AK11&lt;&gt;"Xg"))+((AK11&lt;&gt;"Xn"))=2,AK$3&amp;", ",AK$3&amp;IF((AK11&lt;&gt;"Xm")*(AK11&lt;&gt;"Xp")*(AK11&lt;&gt;"Xg"),"_g","")&amp;IF((AK11&lt;&gt;"Xn"),"_n","")&amp;", ")))</f>
        <v xml:space="preserve">CONTI S, </v>
      </c>
      <c r="BZ11" s="9" t="str">
        <f>IF(0+(AL11="X")&gt;0,"",IF(0+((AL11&lt;&gt;"Xm")*(AL11&lt;&gt;"Xp")*(AL11&lt;&gt;"Xg"))+((AL11&lt;&gt;"Xn"))=0,"",IF(0+((AL11&lt;&gt;"Xm")*(AL11&lt;&gt;"Xp")*(AL11&lt;&gt;"Xg"))+((AL11&lt;&gt;"Xn"))=2,AL$3&amp;", ",AL$3&amp;IF((AL11&lt;&gt;"Xm")*(AL11&lt;&gt;"Xp")*(AL11&lt;&gt;"Xg"),"_g","")&amp;IF((AL11&lt;&gt;"Xn"),"_n","")&amp;", ")))</f>
        <v xml:space="preserve">FERRARI, </v>
      </c>
      <c r="CA11" s="9" t="str">
        <f>IF(0+(AM11="X")&gt;0,"",IF(0+((AM11&lt;&gt;"Xm")*(AM11&lt;&gt;"Xp")*(AM11&lt;&gt;"Xg"))+((AM11&lt;&gt;"Xn"))=0,"",IF(0+((AM11&lt;&gt;"Xm")*(AM11&lt;&gt;"Xp")*(AM11&lt;&gt;"Xg"))+((AM11&lt;&gt;"Xn"))=2,AM$3&amp;", ",AM$3&amp;IF((AM11&lt;&gt;"Xm")*(AM11&lt;&gt;"Xp")*(AM11&lt;&gt;"Xg"),"_g","")&amp;IF((AM11&lt;&gt;"Xn"),"_n","")&amp;", ")))</f>
        <v xml:space="preserve">GRECO, </v>
      </c>
      <c r="CB11" s="9" t="str">
        <f>IF(0+(AN11="X")&gt;0,"",IF(0+((AN11&lt;&gt;"Xm")*(AN11&lt;&gt;"Xp")*(AN11&lt;&gt;"Xg"))+((AN11&lt;&gt;"Xn"))=0,"",IF(0+((AN11&lt;&gt;"Xm")*(AN11&lt;&gt;"Xp")*(AN11&lt;&gt;"Xg"))+((AN11&lt;&gt;"Xn"))=2,AN$3&amp;", ",AN$3&amp;IF((AN11&lt;&gt;"Xm")*(AN11&lt;&gt;"Xp")*(AN11&lt;&gt;"Xg"),"_g","")&amp;IF((AN11&lt;&gt;"Xn"),"_n","")&amp;", ")))</f>
        <v xml:space="preserve">SANNA, </v>
      </c>
      <c r="CC11" s="9" t="str">
        <f>IF(0+(AO11="X")&gt;0,"",IF(0+((AO11&lt;&gt;"Xm")*(AO11&lt;&gt;"Xp")*(AO11&lt;&gt;"Xg"))+((AO11&lt;&gt;"Xn"))=0,"",IF(0+((AO11&lt;&gt;"Xm")*(AO11&lt;&gt;"Xp")*(AO11&lt;&gt;"Xg"))+((AO11&lt;&gt;"Xn"))=2,AO$3&amp;", ",AO$3&amp;IF((AO11&lt;&gt;"Xm")*(AO11&lt;&gt;"Xp")*(AO11&lt;&gt;"Xg"),"_g","")&amp;IF((AO11&lt;&gt;"Xn"),"_n","")&amp;", ")))</f>
        <v xml:space="preserve">LI, </v>
      </c>
      <c r="CD11" s="9" t="n"/>
      <c r="CE11" s="9" t="str">
        <f>IF(0+(AB11="X")&gt;0,"",IF(0+((AB11&lt;&gt;"Xm")*(AB11&lt;&gt;"Xp")*(AB11&lt;&gt;"Xg")*(COUNTIFS($C$3:$Q$3,"GIORNO",$C11:$Q11,AB$3)=0)*(COUNTIFS($C$3:$Q$3,"NOTTE",$C11:$Q11,AB$3)=0)*(COUNTIFS($C$3:$Q$3,"NOTTE",$C10:$Q10,AB$3)=0))+((AB11&lt;&gt;"Xn")*(COUNTIFS($C$3:$Q$3,"GIORNO",$C11:$Q11,AB$3)=0)*(COUNTIFS($C$3:$Q$3,"NOTTE",$C11:$Q11,AB$3)=0)*(COUNTIFS($C$3:$Q$3,"NOTTE",$C10:$Q10,AB$3)=0))=0,"",IF(0+((AB11&lt;&gt;"Xm")*(AB11&lt;&gt;"Xp")*(AB11&lt;&gt;"Xg")*(COUNTIFS($C$3:$Q$3,"GIORNO",$C11:$Q11,AB$3)=0)*(COUNTIFS($C$3:$Q$3,"NOTTE",$C11:$Q11,AB$3)=0)*(COUNTIFS($C$3:$Q$3,"NOTTE",$C10:$Q10,AB$3)=0))+((AB11&lt;&gt;"Xn")*(COUNTIFS($C$3:$Q$3,"GIORNO",$C11:$Q11,AB$3)=0)*(COUNTIFS($C$3:$Q$3,"NOTTE",$C11:$Q11,AB$3)=0)*(COUNTIFS($C$3:$Q$3,"NOTTE",$C10:$Q10,AB$3)=0))=2,AB$3&amp;", ",AB$3&amp;IF((AB11&lt;&gt;"Xm")*(AB11&lt;&gt;"Xp")*(AB11&lt;&gt;"Xg")*(COUNTIFS($C$3:$Q$3,"GIORNO",$C11:$Q11,AB$3)=0)*(COUNTIFS($C$3:$Q$3,"NOTTE",$C11:$Q11,AB$3)=0)*(COUNTIFS($C$3:$Q$3,"NOTTE",$C10:$Q10,AB$3)=0),"_g","")&amp;IF((AB11&lt;&gt;"Xn")*(COUNTIFS($C$3:$Q$3,"GIORNO",$C11:$Q11,AB$3)=0)*(COUNTIFS($C$3:$Q$3,"NOTTE",$C11:$Q11,AB$3)=0)*(COUNTIFS($C$3:$Q$3,"NOTTE",$C10:$Q10,AB$3)=0),"_n","")&amp;", ")))</f>
        <v xml:space="preserve">LEONI, </v>
      </c>
      <c r="CF11" s="9" t="str">
        <f>IF(0+(AC11="X")&gt;0,"",IF(0+((AC11&lt;&gt;"Xm")*(AC11&lt;&gt;"Xp")*(AC11&lt;&gt;"Xg")*(COUNTIFS($C$3:$Q$3,"GIORNO",$C11:$Q11,AC$3)=0)*(COUNTIFS($C$3:$Q$3,"NOTTE",$C11:$Q11,AC$3)=0)*(COUNTIFS($C$3:$Q$3,"NOTTE",$C10:$Q10,AC$3)=0))+((AC11&lt;&gt;"Xn")*(COUNTIFS($C$3:$Q$3,"GIORNO",$C11:$Q11,AC$3)=0)*(COUNTIFS($C$3:$Q$3,"NOTTE",$C11:$Q11,AC$3)=0)*(COUNTIFS($C$3:$Q$3,"NOTTE",$C10:$Q10,AC$3)=0))=0,"",IF(0+((AC11&lt;&gt;"Xm")*(AC11&lt;&gt;"Xp")*(AC11&lt;&gt;"Xg")*(COUNTIFS($C$3:$Q$3,"GIORNO",$C11:$Q11,AC$3)=0)*(COUNTIFS($C$3:$Q$3,"NOTTE",$C11:$Q11,AC$3)=0)*(COUNTIFS($C$3:$Q$3,"NOTTE",$C10:$Q10,AC$3)=0))+((AC11&lt;&gt;"Xn")*(COUNTIFS($C$3:$Q$3,"GIORNO",$C11:$Q11,AC$3)=0)*(COUNTIFS($C$3:$Q$3,"NOTTE",$C11:$Q11,AC$3)=0)*(COUNTIFS($C$3:$Q$3,"NOTTE",$C10:$Q10,AC$3)=0))=2,AC$3&amp;", ",AC$3&amp;IF((AC11&lt;&gt;"Xm")*(AC11&lt;&gt;"Xp")*(AC11&lt;&gt;"Xg")*(COUNTIFS($C$3:$Q$3,"GIORNO",$C11:$Q11,AC$3)=0)*(COUNTIFS($C$3:$Q$3,"NOTTE",$C11:$Q11,AC$3)=0)*(COUNTIFS($C$3:$Q$3,"NOTTE",$C10:$Q10,AC$3)=0),"_g","")&amp;IF((AC11&lt;&gt;"Xn")*(COUNTIFS($C$3:$Q$3,"GIORNO",$C11:$Q11,AC$3)=0)*(COUNTIFS($C$3:$Q$3,"NOTTE",$C11:$Q11,AC$3)=0)*(COUNTIFS($C$3:$Q$3,"NOTTE",$C10:$Q10,AC$3)=0),"_n","")&amp;", ")))</f>
        <v xml:space="preserve">ROSSI M, </v>
      </c>
      <c r="CG11" s="9" t="str">
        <f>IF(0+(AD11="X")&gt;0,"",IF(0+((AD11&lt;&gt;"Xm")*(AD11&lt;&gt;"Xp")*(AD11&lt;&gt;"Xg")*(COUNTIFS($C$3:$Q$3,"GIORNO",$C11:$Q11,AD$3)=0)*(COUNTIFS($C$3:$Q$3,"NOTTE",$C11:$Q11,AD$3)=0)*(COUNTIFS($C$3:$Q$3,"NOTTE",$C10:$Q10,AD$3)=0))+((AD11&lt;&gt;"Xn")*(COUNTIFS($C$3:$Q$3,"GIORNO",$C11:$Q11,AD$3)=0)*(COUNTIFS($C$3:$Q$3,"NOTTE",$C11:$Q11,AD$3)=0)*(COUNTIFS($C$3:$Q$3,"NOTTE",$C10:$Q10,AD$3)=0))=0,"",IF(0+((AD11&lt;&gt;"Xm")*(AD11&lt;&gt;"Xp")*(AD11&lt;&gt;"Xg")*(COUNTIFS($C$3:$Q$3,"GIORNO",$C11:$Q11,AD$3)=0)*(COUNTIFS($C$3:$Q$3,"NOTTE",$C11:$Q11,AD$3)=0)*(COUNTIFS($C$3:$Q$3,"NOTTE",$C10:$Q10,AD$3)=0))+((AD11&lt;&gt;"Xn")*(COUNTIFS($C$3:$Q$3,"GIORNO",$C11:$Q11,AD$3)=0)*(COUNTIFS($C$3:$Q$3,"NOTTE",$C11:$Q11,AD$3)=0)*(COUNTIFS($C$3:$Q$3,"NOTTE",$C10:$Q10,AD$3)=0))=2,AD$3&amp;", ",AD$3&amp;IF((AD11&lt;&gt;"Xm")*(AD11&lt;&gt;"Xp")*(AD11&lt;&gt;"Xg")*(COUNTIFS($C$3:$Q$3,"GIORNO",$C11:$Q11,AD$3)=0)*(COUNTIFS($C$3:$Q$3,"NOTTE",$C11:$Q11,AD$3)=0)*(COUNTIFS($C$3:$Q$3,"NOTTE",$C10:$Q10,AD$3)=0),"_g","")&amp;IF((AD11&lt;&gt;"Xn")*(COUNTIFS($C$3:$Q$3,"GIORNO",$C11:$Q11,AD$3)=0)*(COUNTIFS($C$3:$Q$3,"NOTTE",$C11:$Q11,AD$3)=0)*(COUNTIFS($C$3:$Q$3,"NOTTE",$C10:$Q10,AD$3)=0),"_n","")&amp;", ")))</f>
        <v xml:space="preserve">ROSSI L, </v>
      </c>
      <c r="CH11" s="9" t="str">
        <f>IF(0+(AE11="X")&gt;0,"",IF(0+((AE11&lt;&gt;"Xm")*(AE11&lt;&gt;"Xp")*(AE11&lt;&gt;"Xg")*(COUNTIFS($C$3:$Q$3,"GIORNO",$C11:$Q11,AE$3)=0)*(COUNTIFS($C$3:$Q$3,"NOTTE",$C11:$Q11,AE$3)=0)*(COUNTIFS($C$3:$Q$3,"NOTTE",$C10:$Q10,AE$3)=0))+((AE11&lt;&gt;"Xn")*(COUNTIFS($C$3:$Q$3,"GIORNO",$C11:$Q11,AE$3)=0)*(COUNTIFS($C$3:$Q$3,"NOTTE",$C11:$Q11,AE$3)=0)*(COUNTIFS($C$3:$Q$3,"NOTTE",$C10:$Q10,AE$3)=0))=0,"",IF(0+((AE11&lt;&gt;"Xm")*(AE11&lt;&gt;"Xp")*(AE11&lt;&gt;"Xg")*(COUNTIFS($C$3:$Q$3,"GIORNO",$C11:$Q11,AE$3)=0)*(COUNTIFS($C$3:$Q$3,"NOTTE",$C11:$Q11,AE$3)=0)*(COUNTIFS($C$3:$Q$3,"NOTTE",$C10:$Q10,AE$3)=0))+((AE11&lt;&gt;"Xn")*(COUNTIFS($C$3:$Q$3,"GIORNO",$C11:$Q11,AE$3)=0)*(COUNTIFS($C$3:$Q$3,"NOTTE",$C11:$Q11,AE$3)=0)*(COUNTIFS($C$3:$Q$3,"NOTTE",$C10:$Q10,AE$3)=0))=2,AE$3&amp;", ",AE$3&amp;IF((AE11&lt;&gt;"Xm")*(AE11&lt;&gt;"Xp")*(AE11&lt;&gt;"Xg")*(COUNTIFS($C$3:$Q$3,"GIORNO",$C11:$Q11,AE$3)=0)*(COUNTIFS($C$3:$Q$3,"NOTTE",$C11:$Q11,AE$3)=0)*(COUNTIFS($C$3:$Q$3,"NOTTE",$C10:$Q10,AE$3)=0),"_g","")&amp;IF((AE11&lt;&gt;"Xn")*(COUNTIFS($C$3:$Q$3,"GIORNO",$C11:$Q11,AE$3)=0)*(COUNTIFS($C$3:$Q$3,"NOTTE",$C11:$Q11,AE$3)=0)*(COUNTIFS($C$3:$Q$3,"NOTTE",$C10:$Q10,AE$3)=0),"_n","")&amp;", ")))</f>
        <v xml:space="preserve">GALLINA, </v>
      </c>
      <c r="CI11" s="9" t="str">
        <f>IF(0+(AF11="X")&gt;0,"",IF(0+((AF11&lt;&gt;"Xm")*(AF11&lt;&gt;"Xp")*(AF11&lt;&gt;"Xg")*(COUNTIFS($C$3:$Q$3,"GIORNO",$C11:$Q11,AF$3)=0)*(COUNTIFS($C$3:$Q$3,"NOTTE",$C11:$Q11,AF$3)=0)*(COUNTIFS($C$3:$Q$3,"NOTTE",$C10:$Q10,AF$3)=0))+((AF11&lt;&gt;"Xn")*(COUNTIFS($C$3:$Q$3,"GIORNO",$C11:$Q11,AF$3)=0)*(COUNTIFS($C$3:$Q$3,"NOTTE",$C11:$Q11,AF$3)=0)*(COUNTIFS($C$3:$Q$3,"NOTTE",$C10:$Q10,AF$3)=0))=0,"",IF(0+((AF11&lt;&gt;"Xm")*(AF11&lt;&gt;"Xp")*(AF11&lt;&gt;"Xg")*(COUNTIFS($C$3:$Q$3,"GIORNO",$C11:$Q11,AF$3)=0)*(COUNTIFS($C$3:$Q$3,"NOTTE",$C11:$Q11,AF$3)=0)*(COUNTIFS($C$3:$Q$3,"NOTTE",$C10:$Q10,AF$3)=0))+((AF11&lt;&gt;"Xn")*(COUNTIFS($C$3:$Q$3,"GIORNO",$C11:$Q11,AF$3)=0)*(COUNTIFS($C$3:$Q$3,"NOTTE",$C11:$Q11,AF$3)=0)*(COUNTIFS($C$3:$Q$3,"NOTTE",$C10:$Q10,AF$3)=0))=2,AF$3&amp;", ",AF$3&amp;IF((AF11&lt;&gt;"Xm")*(AF11&lt;&gt;"Xp")*(AF11&lt;&gt;"Xg")*(COUNTIFS($C$3:$Q$3,"GIORNO",$C11:$Q11,AF$3)=0)*(COUNTIFS($C$3:$Q$3,"NOTTE",$C11:$Q11,AF$3)=0)*(COUNTIFS($C$3:$Q$3,"NOTTE",$C10:$Q10,AF$3)=0),"_g","")&amp;IF((AF11&lt;&gt;"Xn")*(COUNTIFS($C$3:$Q$3,"GIORNO",$C11:$Q11,AF$3)=0)*(COUNTIFS($C$3:$Q$3,"NOTTE",$C11:$Q11,AF$3)=0)*(COUNTIFS($C$3:$Q$3,"NOTTE",$C10:$Q10,AF$3)=0),"_n","")&amp;", ")))</f>
        <v xml:space="preserve">RUSSO, </v>
      </c>
      <c r="CJ11" s="9" t="str">
        <f>IF(0+(AG11="X")&gt;0,"",IF(0+((AG11&lt;&gt;"Xm")*(AG11&lt;&gt;"Xp")*(AG11&lt;&gt;"Xg")*(COUNTIFS($C$3:$Q$3,"GIORNO",$C11:$Q11,AG$3)=0)*(COUNTIFS($C$3:$Q$3,"NOTTE",$C11:$Q11,AG$3)=0)*(COUNTIFS($C$3:$Q$3,"NOTTE",$C10:$Q10,AG$3)=0))+((AG11&lt;&gt;"Xn")*(COUNTIFS($C$3:$Q$3,"GIORNO",$C11:$Q11,AG$3)=0)*(COUNTIFS($C$3:$Q$3,"NOTTE",$C11:$Q11,AG$3)=0)*(COUNTIFS($C$3:$Q$3,"NOTTE",$C10:$Q10,AG$3)=0))=0,"",IF(0+((AG11&lt;&gt;"Xm")*(AG11&lt;&gt;"Xp")*(AG11&lt;&gt;"Xg")*(COUNTIFS($C$3:$Q$3,"GIORNO",$C11:$Q11,AG$3)=0)*(COUNTIFS($C$3:$Q$3,"NOTTE",$C11:$Q11,AG$3)=0)*(COUNTIFS($C$3:$Q$3,"NOTTE",$C10:$Q10,AG$3)=0))+((AG11&lt;&gt;"Xn")*(COUNTIFS($C$3:$Q$3,"GIORNO",$C11:$Q11,AG$3)=0)*(COUNTIFS($C$3:$Q$3,"NOTTE",$C11:$Q11,AG$3)=0)*(COUNTIFS($C$3:$Q$3,"NOTTE",$C10:$Q10,AG$3)=0))=2,AG$3&amp;", ",AG$3&amp;IF((AG11&lt;&gt;"Xm")*(AG11&lt;&gt;"Xp")*(AG11&lt;&gt;"Xg")*(COUNTIFS($C$3:$Q$3,"GIORNO",$C11:$Q11,AG$3)=0)*(COUNTIFS($C$3:$Q$3,"NOTTE",$C11:$Q11,AG$3)=0)*(COUNTIFS($C$3:$Q$3,"NOTTE",$C10:$Q10,AG$3)=0),"_g","")&amp;IF((AG11&lt;&gt;"Xn")*(COUNTIFS($C$3:$Q$3,"GIORNO",$C11:$Q11,AG$3)=0)*(COUNTIFS($C$3:$Q$3,"NOTTE",$C11:$Q11,AG$3)=0)*(COUNTIFS($C$3:$Q$3,"NOTTE",$C10:$Q10,AG$3)=0),"_n","")&amp;", ")))</f>
        <v xml:space="preserve">VERDI, </v>
      </c>
      <c r="CK11" s="9" t="str">
        <f>IF(0+(AH11="X")&gt;0,"",IF(0+((AH11&lt;&gt;"Xm")*(AH11&lt;&gt;"Xp")*(AH11&lt;&gt;"Xg")*(COUNTIFS($C$3:$Q$3,"GIORNO",$C11:$Q11,AH$3)=0)*(COUNTIFS($C$3:$Q$3,"NOTTE",$C11:$Q11,AH$3)=0)*(COUNTIFS($C$3:$Q$3,"NOTTE",$C10:$Q10,AH$3)=0))+((AH11&lt;&gt;"Xn")*(COUNTIFS($C$3:$Q$3,"GIORNO",$C11:$Q11,AH$3)=0)*(COUNTIFS($C$3:$Q$3,"NOTTE",$C11:$Q11,AH$3)=0)*(COUNTIFS($C$3:$Q$3,"NOTTE",$C10:$Q10,AH$3)=0))=0,"",IF(0+((AH11&lt;&gt;"Xm")*(AH11&lt;&gt;"Xp")*(AH11&lt;&gt;"Xg")*(COUNTIFS($C$3:$Q$3,"GIORNO",$C11:$Q11,AH$3)=0)*(COUNTIFS($C$3:$Q$3,"NOTTE",$C11:$Q11,AH$3)=0)*(COUNTIFS($C$3:$Q$3,"NOTTE",$C10:$Q10,AH$3)=0))+((AH11&lt;&gt;"Xn")*(COUNTIFS($C$3:$Q$3,"GIORNO",$C11:$Q11,AH$3)=0)*(COUNTIFS($C$3:$Q$3,"NOTTE",$C11:$Q11,AH$3)=0)*(COUNTIFS($C$3:$Q$3,"NOTTE",$C10:$Q10,AH$3)=0))=2,AH$3&amp;", ",AH$3&amp;IF((AH11&lt;&gt;"Xm")*(AH11&lt;&gt;"Xp")*(AH11&lt;&gt;"Xg")*(COUNTIFS($C$3:$Q$3,"GIORNO",$C11:$Q11,AH$3)=0)*(COUNTIFS($C$3:$Q$3,"NOTTE",$C11:$Q11,AH$3)=0)*(COUNTIFS($C$3:$Q$3,"NOTTE",$C10:$Q10,AH$3)=0),"_g","")&amp;IF((AH11&lt;&gt;"Xn")*(COUNTIFS($C$3:$Q$3,"GIORNO",$C11:$Q11,AH$3)=0)*(COUNTIFS($C$3:$Q$3,"NOTTE",$C11:$Q11,AH$3)=0)*(COUNTIFS($C$3:$Q$3,"NOTTE",$C10:$Q10,AH$3)=0),"_n","")&amp;", ")))</f>
        <v xml:space="preserve">HU, </v>
      </c>
      <c r="CL11" s="9" t="str">
        <f>IF(0+(AI11="X")&gt;0,"",IF(0+((AI11&lt;&gt;"Xm")*(AI11&lt;&gt;"Xp")*(AI11&lt;&gt;"Xg")*(COUNTIFS($C$3:$Q$3,"GIORNO",$C11:$Q11,AI$3)=0)*(COUNTIFS($C$3:$Q$3,"NOTTE",$C11:$Q11,AI$3)=0)*(COUNTIFS($C$3:$Q$3,"NOTTE",$C10:$Q10,AI$3)=0))+((AI11&lt;&gt;"Xn")*(COUNTIFS($C$3:$Q$3,"GIORNO",$C11:$Q11,AI$3)=0)*(COUNTIFS($C$3:$Q$3,"NOTTE",$C11:$Q11,AI$3)=0)*(COUNTIFS($C$3:$Q$3,"NOTTE",$C10:$Q10,AI$3)=0))=0,"",IF(0+((AI11&lt;&gt;"Xm")*(AI11&lt;&gt;"Xp")*(AI11&lt;&gt;"Xg")*(COUNTIFS($C$3:$Q$3,"GIORNO",$C11:$Q11,AI$3)=0)*(COUNTIFS($C$3:$Q$3,"NOTTE",$C11:$Q11,AI$3)=0)*(COUNTIFS($C$3:$Q$3,"NOTTE",$C10:$Q10,AI$3)=0))+((AI11&lt;&gt;"Xn")*(COUNTIFS($C$3:$Q$3,"GIORNO",$C11:$Q11,AI$3)=0)*(COUNTIFS($C$3:$Q$3,"NOTTE",$C11:$Q11,AI$3)=0)*(COUNTIFS($C$3:$Q$3,"NOTTE",$C10:$Q10,AI$3)=0))=2,AI$3&amp;", ",AI$3&amp;IF((AI11&lt;&gt;"Xm")*(AI11&lt;&gt;"Xp")*(AI11&lt;&gt;"Xg")*(COUNTIFS($C$3:$Q$3,"GIORNO",$C11:$Q11,AI$3)=0)*(COUNTIFS($C$3:$Q$3,"NOTTE",$C11:$Q11,AI$3)=0)*(COUNTIFS($C$3:$Q$3,"NOTTE",$C10:$Q10,AI$3)=0),"_g","")&amp;IF((AI11&lt;&gt;"Xn")*(COUNTIFS($C$3:$Q$3,"GIORNO",$C11:$Q11,AI$3)=0)*(COUNTIFS($C$3:$Q$3,"NOTTE",$C11:$Q11,AI$3)=0)*(COUNTIFS($C$3:$Q$3,"NOTTE",$C10:$Q10,AI$3)=0),"_n","")&amp;", ")))</f>
        <v xml:space="preserve">MARINI, </v>
      </c>
      <c r="CM11" s="9" t="str">
        <f>IF(0+(AJ11="X")&gt;0,"",IF(0+((AJ11&lt;&gt;"Xm")*(AJ11&lt;&gt;"Xp")*(AJ11&lt;&gt;"Xg")*(COUNTIFS($C$3:$Q$3,"GIORNO",$C11:$Q11,AJ$3)=0)*(COUNTIFS($C$3:$Q$3,"NOTTE",$C11:$Q11,AJ$3)=0)*(COUNTIFS($C$3:$Q$3,"NOTTE",$C10:$Q10,AJ$3)=0))+((AJ11&lt;&gt;"Xn")*(COUNTIFS($C$3:$Q$3,"GIORNO",$C11:$Q11,AJ$3)=0)*(COUNTIFS($C$3:$Q$3,"NOTTE",$C11:$Q11,AJ$3)=0)*(COUNTIFS($C$3:$Q$3,"NOTTE",$C10:$Q10,AJ$3)=0))=0,"",IF(0+((AJ11&lt;&gt;"Xm")*(AJ11&lt;&gt;"Xp")*(AJ11&lt;&gt;"Xg")*(COUNTIFS($C$3:$Q$3,"GIORNO",$C11:$Q11,AJ$3)=0)*(COUNTIFS($C$3:$Q$3,"NOTTE",$C11:$Q11,AJ$3)=0)*(COUNTIFS($C$3:$Q$3,"NOTTE",$C10:$Q10,AJ$3)=0))+((AJ11&lt;&gt;"Xn")*(COUNTIFS($C$3:$Q$3,"GIORNO",$C11:$Q11,AJ$3)=0)*(COUNTIFS($C$3:$Q$3,"NOTTE",$C11:$Q11,AJ$3)=0)*(COUNTIFS($C$3:$Q$3,"NOTTE",$C10:$Q10,AJ$3)=0))=2,AJ$3&amp;", ",AJ$3&amp;IF((AJ11&lt;&gt;"Xm")*(AJ11&lt;&gt;"Xp")*(AJ11&lt;&gt;"Xg")*(COUNTIFS($C$3:$Q$3,"GIORNO",$C11:$Q11,AJ$3)=0)*(COUNTIFS($C$3:$Q$3,"NOTTE",$C11:$Q11,AJ$3)=0)*(COUNTIFS($C$3:$Q$3,"NOTTE",$C10:$Q10,AJ$3)=0),"_g","")&amp;IF((AJ11&lt;&gt;"Xn")*(COUNTIFS($C$3:$Q$3,"GIORNO",$C11:$Q11,AJ$3)=0)*(COUNTIFS($C$3:$Q$3,"NOTTE",$C11:$Q11,AJ$3)=0)*(COUNTIFS($C$3:$Q$3,"NOTTE",$C10:$Q10,AJ$3)=0),"_n","")&amp;", ")))</f>
        <v xml:space="preserve">CONTI A, </v>
      </c>
      <c r="CN11" s="9" t="str">
        <f>IF(0+(AK11="X")&gt;0,"",IF(0+((AK11&lt;&gt;"Xm")*(AK11&lt;&gt;"Xp")*(AK11&lt;&gt;"Xg")*(COUNTIFS($C$3:$Q$3,"GIORNO",$C11:$Q11,AK$3)=0)*(COUNTIFS($C$3:$Q$3,"NOTTE",$C11:$Q11,AK$3)=0)*(COUNTIFS($C$3:$Q$3,"NOTTE",$C10:$Q10,AK$3)=0))+((AK11&lt;&gt;"Xn")*(COUNTIFS($C$3:$Q$3,"GIORNO",$C11:$Q11,AK$3)=0)*(COUNTIFS($C$3:$Q$3,"NOTTE",$C11:$Q11,AK$3)=0)*(COUNTIFS($C$3:$Q$3,"NOTTE",$C10:$Q10,AK$3)=0))=0,"",IF(0+((AK11&lt;&gt;"Xm")*(AK11&lt;&gt;"Xp")*(AK11&lt;&gt;"Xg")*(COUNTIFS($C$3:$Q$3,"GIORNO",$C11:$Q11,AK$3)=0)*(COUNTIFS($C$3:$Q$3,"NOTTE",$C11:$Q11,AK$3)=0)*(COUNTIFS($C$3:$Q$3,"NOTTE",$C10:$Q10,AK$3)=0))+((AK11&lt;&gt;"Xn")*(COUNTIFS($C$3:$Q$3,"GIORNO",$C11:$Q11,AK$3)=0)*(COUNTIFS($C$3:$Q$3,"NOTTE",$C11:$Q11,AK$3)=0)*(COUNTIFS($C$3:$Q$3,"NOTTE",$C10:$Q10,AK$3)=0))=2,AK$3&amp;", ",AK$3&amp;IF((AK11&lt;&gt;"Xm")*(AK11&lt;&gt;"Xp")*(AK11&lt;&gt;"Xg")*(COUNTIFS($C$3:$Q$3,"GIORNO",$C11:$Q11,AK$3)=0)*(COUNTIFS($C$3:$Q$3,"NOTTE",$C11:$Q11,AK$3)=0)*(COUNTIFS($C$3:$Q$3,"NOTTE",$C10:$Q10,AK$3)=0),"_g","")&amp;IF((AK11&lt;&gt;"Xn")*(COUNTIFS($C$3:$Q$3,"GIORNO",$C11:$Q11,AK$3)=0)*(COUNTIFS($C$3:$Q$3,"NOTTE",$C11:$Q11,AK$3)=0)*(COUNTIFS($C$3:$Q$3,"NOTTE",$C10:$Q10,AK$3)=0),"_n","")&amp;", ")))</f>
        <v xml:space="preserve">CONTI S, </v>
      </c>
      <c r="CO11" s="9" t="str">
        <f>IF(0+(AL11="X")&gt;0,"",IF(0+((AL11&lt;&gt;"Xm")*(AL11&lt;&gt;"Xp")*(AL11&lt;&gt;"Xg")*(COUNTIFS($C$3:$Q$3,"GIORNO",$C11:$Q11,AL$3)=0)*(COUNTIFS($C$3:$Q$3,"NOTTE",$C11:$Q11,AL$3)=0)*(COUNTIFS($C$3:$Q$3,"NOTTE",$C10:$Q10,AL$3)=0))+((AL11&lt;&gt;"Xn")*(COUNTIFS($C$3:$Q$3,"GIORNO",$C11:$Q11,AL$3)=0)*(COUNTIFS($C$3:$Q$3,"NOTTE",$C11:$Q11,AL$3)=0)*(COUNTIFS($C$3:$Q$3,"NOTTE",$C10:$Q10,AL$3)=0))=0,"",IF(0+((AL11&lt;&gt;"Xm")*(AL11&lt;&gt;"Xp")*(AL11&lt;&gt;"Xg")*(COUNTIFS($C$3:$Q$3,"GIORNO",$C11:$Q11,AL$3)=0)*(COUNTIFS($C$3:$Q$3,"NOTTE",$C11:$Q11,AL$3)=0)*(COUNTIFS($C$3:$Q$3,"NOTTE",$C10:$Q10,AL$3)=0))+((AL11&lt;&gt;"Xn")*(COUNTIFS($C$3:$Q$3,"GIORNO",$C11:$Q11,AL$3)=0)*(COUNTIFS($C$3:$Q$3,"NOTTE",$C11:$Q11,AL$3)=0)*(COUNTIFS($C$3:$Q$3,"NOTTE",$C10:$Q10,AL$3)=0))=2,AL$3&amp;", ",AL$3&amp;IF((AL11&lt;&gt;"Xm")*(AL11&lt;&gt;"Xp")*(AL11&lt;&gt;"Xg")*(COUNTIFS($C$3:$Q$3,"GIORNO",$C11:$Q11,AL$3)=0)*(COUNTIFS($C$3:$Q$3,"NOTTE",$C11:$Q11,AL$3)=0)*(COUNTIFS($C$3:$Q$3,"NOTTE",$C10:$Q10,AL$3)=0),"_g","")&amp;IF((AL11&lt;&gt;"Xn")*(COUNTIFS($C$3:$Q$3,"GIORNO",$C11:$Q11,AL$3)=0)*(COUNTIFS($C$3:$Q$3,"NOTTE",$C11:$Q11,AL$3)=0)*(COUNTIFS($C$3:$Q$3,"NOTTE",$C10:$Q10,AL$3)=0),"_n","")&amp;", ")))</f>
        <v xml:space="preserve">FERRARI, </v>
      </c>
      <c r="CP11" s="9" t="str">
        <f>IF(0+(AM11="X")&gt;0,"",IF(0+((AM11&lt;&gt;"Xm")*(AM11&lt;&gt;"Xp")*(AM11&lt;&gt;"Xg")*(COUNTIFS($C$3:$Q$3,"GIORNO",$C11:$Q11,AM$3)=0)*(COUNTIFS($C$3:$Q$3,"NOTTE",$C11:$Q11,AM$3)=0)*(COUNTIFS($C$3:$Q$3,"NOTTE",$C10:$Q10,AM$3)=0))+((AM11&lt;&gt;"Xn")*(COUNTIFS($C$3:$Q$3,"GIORNO",$C11:$Q11,AM$3)=0)*(COUNTIFS($C$3:$Q$3,"NOTTE",$C11:$Q11,AM$3)=0)*(COUNTIFS($C$3:$Q$3,"NOTTE",$C10:$Q10,AM$3)=0))=0,"",IF(0+((AM11&lt;&gt;"Xm")*(AM11&lt;&gt;"Xp")*(AM11&lt;&gt;"Xg")*(COUNTIFS($C$3:$Q$3,"GIORNO",$C11:$Q11,AM$3)=0)*(COUNTIFS($C$3:$Q$3,"NOTTE",$C11:$Q11,AM$3)=0)*(COUNTIFS($C$3:$Q$3,"NOTTE",$C10:$Q10,AM$3)=0))+((AM11&lt;&gt;"Xn")*(COUNTIFS($C$3:$Q$3,"GIORNO",$C11:$Q11,AM$3)=0)*(COUNTIFS($C$3:$Q$3,"NOTTE",$C11:$Q11,AM$3)=0)*(COUNTIFS($C$3:$Q$3,"NOTTE",$C10:$Q10,AM$3)=0))=2,AM$3&amp;", ",AM$3&amp;IF((AM11&lt;&gt;"Xm")*(AM11&lt;&gt;"Xp")*(AM11&lt;&gt;"Xg")*(COUNTIFS($C$3:$Q$3,"GIORNO",$C11:$Q11,AM$3)=0)*(COUNTIFS($C$3:$Q$3,"NOTTE",$C11:$Q11,AM$3)=0)*(COUNTIFS($C$3:$Q$3,"NOTTE",$C10:$Q10,AM$3)=0),"_g","")&amp;IF((AM11&lt;&gt;"Xn")*(COUNTIFS($C$3:$Q$3,"GIORNO",$C11:$Q11,AM$3)=0)*(COUNTIFS($C$3:$Q$3,"NOTTE",$C11:$Q11,AM$3)=0)*(COUNTIFS($C$3:$Q$3,"NOTTE",$C10:$Q10,AM$3)=0),"_n","")&amp;", ")))</f>
        <v xml:space="preserve">GRECO, </v>
      </c>
      <c r="CQ11" s="9" t="str">
        <f>IF(0+(AN11="X")&gt;0,"",IF(0+((AN11&lt;&gt;"Xm")*(AN11&lt;&gt;"Xp")*(AN11&lt;&gt;"Xg")*(COUNTIFS($C$3:$Q$3,"GIORNO",$C11:$Q11,AN$3)=0)*(COUNTIFS($C$3:$Q$3,"NOTTE",$C11:$Q11,AN$3)=0)*(COUNTIFS($C$3:$Q$3,"NOTTE",$C10:$Q10,AN$3)=0))+((AN11&lt;&gt;"Xn")*(COUNTIFS($C$3:$Q$3,"GIORNO",$C11:$Q11,AN$3)=0)*(COUNTIFS($C$3:$Q$3,"NOTTE",$C11:$Q11,AN$3)=0)*(COUNTIFS($C$3:$Q$3,"NOTTE",$C10:$Q10,AN$3)=0))=0,"",IF(0+((AN11&lt;&gt;"Xm")*(AN11&lt;&gt;"Xp")*(AN11&lt;&gt;"Xg")*(COUNTIFS($C$3:$Q$3,"GIORNO",$C11:$Q11,AN$3)=0)*(COUNTIFS($C$3:$Q$3,"NOTTE",$C11:$Q11,AN$3)=0)*(COUNTIFS($C$3:$Q$3,"NOTTE",$C10:$Q10,AN$3)=0))+((AN11&lt;&gt;"Xn")*(COUNTIFS($C$3:$Q$3,"GIORNO",$C11:$Q11,AN$3)=0)*(COUNTIFS($C$3:$Q$3,"NOTTE",$C11:$Q11,AN$3)=0)*(COUNTIFS($C$3:$Q$3,"NOTTE",$C10:$Q10,AN$3)=0))=2,AN$3&amp;", ",AN$3&amp;IF((AN11&lt;&gt;"Xm")*(AN11&lt;&gt;"Xp")*(AN11&lt;&gt;"Xg")*(COUNTIFS($C$3:$Q$3,"GIORNO",$C11:$Q11,AN$3)=0)*(COUNTIFS($C$3:$Q$3,"NOTTE",$C11:$Q11,AN$3)=0)*(COUNTIFS($C$3:$Q$3,"NOTTE",$C10:$Q10,AN$3)=0),"_g","")&amp;IF((AN11&lt;&gt;"Xn")*(COUNTIFS($C$3:$Q$3,"GIORNO",$C11:$Q11,AN$3)=0)*(COUNTIFS($C$3:$Q$3,"NOTTE",$C11:$Q11,AN$3)=0)*(COUNTIFS($C$3:$Q$3,"NOTTE",$C10:$Q10,AN$3)=0),"_n","")&amp;", ")))</f>
        <v xml:space="preserve">SANNA, </v>
      </c>
      <c r="CR11" s="9" t="str">
        <f>IF(0+(AO11="X")&gt;0,"",IF(0+((AO11&lt;&gt;"Xm")*(AO11&lt;&gt;"Xp")*(AO11&lt;&gt;"Xg")*(COUNTIFS($C$3:$Q$3,"GIORNO",$C11:$Q11,AO$3)=0)*(COUNTIFS($C$3:$Q$3,"NOTTE",$C11:$Q11,AO$3)=0)*(COUNTIFS($C$3:$Q$3,"NOTTE",$C10:$Q10,AO$3)=0))+((AO11&lt;&gt;"Xn")*(COUNTIFS($C$3:$Q$3,"GIORNO",$C11:$Q11,AO$3)=0)*(COUNTIFS($C$3:$Q$3,"NOTTE",$C11:$Q11,AO$3)=0)*(COUNTIFS($C$3:$Q$3,"NOTTE",$C10:$Q10,AO$3)=0))=0,"",IF(0+((AO11&lt;&gt;"Xm")*(AO11&lt;&gt;"Xp")*(AO11&lt;&gt;"Xg")*(COUNTIFS($C$3:$Q$3,"GIORNO",$C11:$Q11,AO$3)=0)*(COUNTIFS($C$3:$Q$3,"NOTTE",$C11:$Q11,AO$3)=0)*(COUNTIFS($C$3:$Q$3,"NOTTE",$C10:$Q10,AO$3)=0))+((AO11&lt;&gt;"Xn")*(COUNTIFS($C$3:$Q$3,"GIORNO",$C11:$Q11,AO$3)=0)*(COUNTIFS($C$3:$Q$3,"NOTTE",$C11:$Q11,AO$3)=0)*(COUNTIFS($C$3:$Q$3,"NOTTE",$C10:$Q10,AO$3)=0))=2,AO$3&amp;", ",AO$3&amp;IF((AO11&lt;&gt;"Xm")*(AO11&lt;&gt;"Xp")*(AO11&lt;&gt;"Xg")*(COUNTIFS($C$3:$Q$3,"GIORNO",$C11:$Q11,AO$3)=0)*(COUNTIFS($C$3:$Q$3,"NOTTE",$C11:$Q11,AO$3)=0)*(COUNTIFS($C$3:$Q$3,"NOTTE",$C10:$Q10,AO$3)=0),"_g","")&amp;IF((AO11&lt;&gt;"Xn")*(COUNTIFS($C$3:$Q$3,"GIORNO",$C11:$Q11,AO$3)=0)*(COUNTIFS($C$3:$Q$3,"NOTTE",$C11:$Q11,AO$3)=0)*(COUNTIFS($C$3:$Q$3,"NOTTE",$C10:$Q10,AO$3)=0),"_n","")&amp;", ")))</f>
        <v xml:space="preserve">LI, </v>
      </c>
    </row>
    <row r="12">
      <c r="A12" s="10" t="str">
        <f>CHOOSE(WEEKDAY(DATE($B$1,$A$2,B12),2),"lunedì","martedì","mercoledì","giovedì","venerdì","sabato","domenica")</f>
        <v>lunedì</v>
      </c>
      <c r="B12" s="10" t="n">
        <v>9</v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4" t="n"/>
      <c r="M12" s="11" t="n"/>
      <c r="N12" s="11" t="n"/>
      <c r="O12" s="11" t="n"/>
      <c r="P12" s="4" t="n"/>
      <c r="Q12" s="11" t="n"/>
      <c r="R12" s="11" t="n"/>
      <c r="S12" s="11">
        <f>IF(SUMPRODUCT(($C$3:$Q$3&lt;&gt;"")*($C12:$Q12&lt;&gt;"")*(LEFT($C12:$Q12,6)&lt;&gt;"chiuso")*(COUNTIFS($C12:$Q12,$C12:$Q12,$C$3:$Q$3,$C$3:$Q$3)&gt;1))&gt;0,"X","")</f>
      </c>
      <c r="T12" s="11" t="str">
        <f>IF(LEN(BP12&amp;BQ12&amp;BR12&amp;BS12&amp;BT12&amp;BU12&amp;BV12&amp;BW12&amp;BX12&amp;BY12&amp;BZ12&amp;CA12&amp;CB12&amp;CC12)=0,"",LEFT(BP12&amp;BQ12&amp;BR12&amp;BS12&amp;BT12&amp;BU12&amp;BV12&amp;BW12&amp;BX12&amp;BY12&amp;BZ12&amp;CA12&amp;CB12&amp;CC12,LEN(BP12&amp;BQ12&amp;BR12&amp;BS12&amp;BT12&amp;BU12&amp;BV12&amp;BW12&amp;BX12&amp;BY12&amp;BZ12&amp;CA12&amp;CB12&amp;CC12)-2))</f>
        <v>LEONI, ROSSI M, ROSSI L, GALLINA, RUSSO, VERDI, HU, MARINI, CONTI A, CONTI S, FERRARI, GRECO, SANNA, LI</v>
      </c>
      <c r="U12" s="11" t="str">
        <f>IF(LEN(CE12&amp;CF12&amp;CG12&amp;CH12&amp;CI12&amp;CJ12&amp;CK12&amp;CL12&amp;CM12&amp;CN12&amp;CO12&amp;CP12&amp;CQ12&amp;CR12)=0,"",LEFT(CE12&amp;CF12&amp;CG12&amp;CH12&amp;CI12&amp;CJ12&amp;CK12&amp;CL12&amp;CM12&amp;CN12&amp;CO12&amp;CP12&amp;CQ12&amp;CR12,LEN(CE12&amp;CF12&amp;CG12&amp;CH12&amp;CI12&amp;CJ12&amp;CK12&amp;CL12&amp;CM12&amp;CN12&amp;CO12&amp;CP12&amp;CQ12&amp;CR12)-2))</f>
        <v>LEONI, ROSSI M, ROSSI L, GALLINA, RUSSO, VERDI, HU, MARINI, CONTI A, CONTI S, FERRARI, GRECO, SANNA, LI</v>
      </c>
      <c r="Z12" s="10" t="str">
        <f>A12</f>
        <v>lunedì</v>
      </c>
      <c r="AA12" s="10">
        <f>B12</f>
        <v>9</v>
      </c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T12" s="7" t="str">
        <f>AJ$3</f>
        <v>CONTI A</v>
      </c>
      <c r="AU12" s="7">
        <f>COUNTIF($C$4:$D$33,$AT12)</f>
        <v>0</v>
      </c>
      <c r="AV12" s="7">
        <f>COUNTIF($E$4:$F$33,$AT12)</f>
        <v>0</v>
      </c>
      <c r="AW12" s="7">
        <f>COUNTIF($G$4:$H$33,$AT12)</f>
        <v>0</v>
      </c>
      <c r="AX12" s="7">
        <f>COUNTIF($I$4:$J$33,$AT12)</f>
        <v>0</v>
      </c>
      <c r="AY12" s="7">
        <f>COUNTIF($K$4:$K$33,$AT12)</f>
        <v>0</v>
      </c>
      <c r="AZ12" s="7">
        <f>COUNTIF($L$4:$L$33,$AT12)</f>
        <v>0</v>
      </c>
      <c r="BA12" s="7">
        <f>COUNTIF($M$4:$M$33,$AT12)</f>
        <v>0</v>
      </c>
      <c r="BB12" s="7">
        <f>COUNTIF($N$4:$Q$33,$AT12)</f>
        <v>0</v>
      </c>
      <c r="BC12" s="7">
        <f>COUNTIF($C$4:$Q$33,$AT12)</f>
        <v>0</v>
      </c>
      <c r="BE12" s="8" t="str">
        <f>AJ$3</f>
        <v>CONTI A</v>
      </c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P12" s="9" t="str">
        <f>IF(0+(AB12="X")&gt;0,"",IF(0+((AB12&lt;&gt;"Xm")*(AB12&lt;&gt;"Xg"))+((AB12&lt;&gt;"Xp")*(AB12&lt;&gt;"Xg"))+((AB12&lt;&gt;"Xn"))=0,"",IF(0+((AB12&lt;&gt;"Xm")*(AB12&lt;&gt;"Xg"))+((AB12&lt;&gt;"Xp")*(AB12&lt;&gt;"Xg"))+((AB12&lt;&gt;"Xn"))=3,AB$3&amp;", ",AB$3&amp;IF((AB12&lt;&gt;"Xm")*(AB12&lt;&gt;"Xg"),"_m","")&amp;IF((AB12&lt;&gt;"Xp")*(AB12&lt;&gt;"Xg"),"_p","")&amp;IF((AB12&lt;&gt;"Xn"),"_n","")&amp;", ")))</f>
        <v xml:space="preserve">LEONI, </v>
      </c>
      <c r="BQ12" s="9" t="str">
        <f>IF(0+(AC12="X")&gt;0,"",IF(0+((AC12&lt;&gt;"Xm")*(AC12&lt;&gt;"Xg"))+((AC12&lt;&gt;"Xp")*(AC12&lt;&gt;"Xg"))+((AC12&lt;&gt;"Xn"))=0,"",IF(0+((AC12&lt;&gt;"Xm")*(AC12&lt;&gt;"Xg"))+((AC12&lt;&gt;"Xp")*(AC12&lt;&gt;"Xg"))+((AC12&lt;&gt;"Xn"))=3,AC$3&amp;", ",AC$3&amp;IF((AC12&lt;&gt;"Xm")*(AC12&lt;&gt;"Xg"),"_m","")&amp;IF((AC12&lt;&gt;"Xp")*(AC12&lt;&gt;"Xg"),"_p","")&amp;IF((AC12&lt;&gt;"Xn"),"_n","")&amp;", ")))</f>
        <v xml:space="preserve">ROSSI M, </v>
      </c>
      <c r="BR12" s="9" t="str">
        <f>IF(0+(AD12="X")&gt;0,"",IF(0+((AD12&lt;&gt;"Xm")*(AD12&lt;&gt;"Xg"))+((AD12&lt;&gt;"Xp")*(AD12&lt;&gt;"Xg"))+((AD12&lt;&gt;"Xn"))=0,"",IF(0+((AD12&lt;&gt;"Xm")*(AD12&lt;&gt;"Xg"))+((AD12&lt;&gt;"Xp")*(AD12&lt;&gt;"Xg"))+((AD12&lt;&gt;"Xn"))=3,AD$3&amp;", ",AD$3&amp;IF((AD12&lt;&gt;"Xm")*(AD12&lt;&gt;"Xg"),"_m","")&amp;IF((AD12&lt;&gt;"Xp")*(AD12&lt;&gt;"Xg"),"_p","")&amp;IF((AD12&lt;&gt;"Xn"),"_n","")&amp;", ")))</f>
        <v xml:space="preserve">ROSSI L, </v>
      </c>
      <c r="BS12" s="9" t="str">
        <f>IF(0+(AE12="X")&gt;0,"",IF(0+((AE12&lt;&gt;"Xm")*(AE12&lt;&gt;"Xg"))+((AE12&lt;&gt;"Xp")*(AE12&lt;&gt;"Xg"))+((AE12&lt;&gt;"Xn"))=0,"",IF(0+((AE12&lt;&gt;"Xm")*(AE12&lt;&gt;"Xg"))+((AE12&lt;&gt;"Xp")*(AE12&lt;&gt;"Xg"))+((AE12&lt;&gt;"Xn"))=3,AE$3&amp;", ",AE$3&amp;IF((AE12&lt;&gt;"Xm")*(AE12&lt;&gt;"Xg"),"_m","")&amp;IF((AE12&lt;&gt;"Xp")*(AE12&lt;&gt;"Xg"),"_p","")&amp;IF((AE12&lt;&gt;"Xn"),"_n","")&amp;", ")))</f>
        <v xml:space="preserve">GALLINA, </v>
      </c>
      <c r="BT12" s="9" t="str">
        <f>IF(0+(AF12="X")&gt;0,"",IF(0+((AF12&lt;&gt;"Xm")*(AF12&lt;&gt;"Xg"))+((AF12&lt;&gt;"Xp")*(AF12&lt;&gt;"Xg"))+((AF12&lt;&gt;"Xn"))=0,"",IF(0+((AF12&lt;&gt;"Xm")*(AF12&lt;&gt;"Xg"))+((AF12&lt;&gt;"Xp")*(AF12&lt;&gt;"Xg"))+((AF12&lt;&gt;"Xn"))=3,AF$3&amp;", ",AF$3&amp;IF((AF12&lt;&gt;"Xm")*(AF12&lt;&gt;"Xg"),"_m","")&amp;IF((AF12&lt;&gt;"Xp")*(AF12&lt;&gt;"Xg"),"_p","")&amp;IF((AF12&lt;&gt;"Xn"),"_n","")&amp;", ")))</f>
        <v xml:space="preserve">RUSSO, </v>
      </c>
      <c r="BU12" s="9" t="str">
        <f>IF(0+(AG12="X")&gt;0,"",IF(0+((AG12&lt;&gt;"Xm")*(AG12&lt;&gt;"Xg"))+((AG12&lt;&gt;"Xp")*(AG12&lt;&gt;"Xg"))+((AG12&lt;&gt;"Xn"))=0,"",IF(0+((AG12&lt;&gt;"Xm")*(AG12&lt;&gt;"Xg"))+((AG12&lt;&gt;"Xp")*(AG12&lt;&gt;"Xg"))+((AG12&lt;&gt;"Xn"))=3,AG$3&amp;", ",AG$3&amp;IF((AG12&lt;&gt;"Xm")*(AG12&lt;&gt;"Xg"),"_m","")&amp;IF((AG12&lt;&gt;"Xp")*(AG12&lt;&gt;"Xg"),"_p","")&amp;IF((AG12&lt;&gt;"Xn"),"_n","")&amp;", ")))</f>
        <v xml:space="preserve">VERDI, </v>
      </c>
      <c r="BV12" s="9" t="str">
        <f>IF(0+(AH12="X")&gt;0,"",IF(0+((AH12&lt;&gt;"Xm")*(AH12&lt;&gt;"Xg"))+((AH12&lt;&gt;"Xp")*(AH12&lt;&gt;"Xg"))+((AH12&lt;&gt;"Xn"))=0,"",IF(0+((AH12&lt;&gt;"Xm")*(AH12&lt;&gt;"Xg"))+((AH12&lt;&gt;"Xp")*(AH12&lt;&gt;"Xg"))+((AH12&lt;&gt;"Xn"))=3,AH$3&amp;", ",AH$3&amp;IF((AH12&lt;&gt;"Xm")*(AH12&lt;&gt;"Xg"),"_m","")&amp;IF((AH12&lt;&gt;"Xp")*(AH12&lt;&gt;"Xg"),"_p","")&amp;IF((AH12&lt;&gt;"Xn"),"_n","")&amp;", ")))</f>
        <v xml:space="preserve">HU, </v>
      </c>
      <c r="BW12" s="9" t="str">
        <f>IF(0+(AI12="X")&gt;0,"",IF(0+((AI12&lt;&gt;"Xm")*(AI12&lt;&gt;"Xg"))+((AI12&lt;&gt;"Xp")*(AI12&lt;&gt;"Xg"))+((AI12&lt;&gt;"Xn"))=0,"",IF(0+((AI12&lt;&gt;"Xm")*(AI12&lt;&gt;"Xg"))+((AI12&lt;&gt;"Xp")*(AI12&lt;&gt;"Xg"))+((AI12&lt;&gt;"Xn"))=3,AI$3&amp;", ",AI$3&amp;IF((AI12&lt;&gt;"Xm")*(AI12&lt;&gt;"Xg"),"_m","")&amp;IF((AI12&lt;&gt;"Xp")*(AI12&lt;&gt;"Xg"),"_p","")&amp;IF((AI12&lt;&gt;"Xn"),"_n","")&amp;", ")))</f>
        <v xml:space="preserve">MARINI, </v>
      </c>
      <c r="BX12" s="9" t="str">
        <f>IF(0+(AJ12="X")&gt;0,"",IF(0+((AJ12&lt;&gt;"Xm")*(AJ12&lt;&gt;"Xg"))+((AJ12&lt;&gt;"Xp")*(AJ12&lt;&gt;"Xg"))+((AJ12&lt;&gt;"Xn"))=0,"",IF(0+((AJ12&lt;&gt;"Xm")*(AJ12&lt;&gt;"Xg"))+((AJ12&lt;&gt;"Xp")*(AJ12&lt;&gt;"Xg"))+((AJ12&lt;&gt;"Xn"))=3,AJ$3&amp;", ",AJ$3&amp;IF((AJ12&lt;&gt;"Xm")*(AJ12&lt;&gt;"Xg"),"_m","")&amp;IF((AJ12&lt;&gt;"Xp")*(AJ12&lt;&gt;"Xg"),"_p","")&amp;IF((AJ12&lt;&gt;"Xn"),"_n","")&amp;", ")))</f>
        <v xml:space="preserve">CONTI A, </v>
      </c>
      <c r="BY12" s="9" t="str">
        <f>IF(0+(AK12="X")&gt;0,"",IF(0+((AK12&lt;&gt;"Xm")*(AK12&lt;&gt;"Xg"))+((AK12&lt;&gt;"Xp")*(AK12&lt;&gt;"Xg"))+((AK12&lt;&gt;"Xn"))=0,"",IF(0+((AK12&lt;&gt;"Xm")*(AK12&lt;&gt;"Xg"))+((AK12&lt;&gt;"Xp")*(AK12&lt;&gt;"Xg"))+((AK12&lt;&gt;"Xn"))=3,AK$3&amp;", ",AK$3&amp;IF((AK12&lt;&gt;"Xm")*(AK12&lt;&gt;"Xg"),"_m","")&amp;IF((AK12&lt;&gt;"Xp")*(AK12&lt;&gt;"Xg"),"_p","")&amp;IF((AK12&lt;&gt;"Xn"),"_n","")&amp;", ")))</f>
        <v xml:space="preserve">CONTI S, </v>
      </c>
      <c r="BZ12" s="9" t="str">
        <f>IF(0+(AL12="X")&gt;0,"",IF(0+((AL12&lt;&gt;"Xm")*(AL12&lt;&gt;"Xg"))+((AL12&lt;&gt;"Xp")*(AL12&lt;&gt;"Xg"))+((AL12&lt;&gt;"Xn"))=0,"",IF(0+((AL12&lt;&gt;"Xm")*(AL12&lt;&gt;"Xg"))+((AL12&lt;&gt;"Xp")*(AL12&lt;&gt;"Xg"))+((AL12&lt;&gt;"Xn"))=3,AL$3&amp;", ",AL$3&amp;IF((AL12&lt;&gt;"Xm")*(AL12&lt;&gt;"Xg"),"_m","")&amp;IF((AL12&lt;&gt;"Xp")*(AL12&lt;&gt;"Xg"),"_p","")&amp;IF((AL12&lt;&gt;"Xn"),"_n","")&amp;", ")))</f>
        <v xml:space="preserve">FERRARI, </v>
      </c>
      <c r="CA12" s="9" t="str">
        <f>IF(0+(AM12="X")&gt;0,"",IF(0+((AM12&lt;&gt;"Xm")*(AM12&lt;&gt;"Xg"))+((AM12&lt;&gt;"Xp")*(AM12&lt;&gt;"Xg"))+((AM12&lt;&gt;"Xn"))=0,"",IF(0+((AM12&lt;&gt;"Xm")*(AM12&lt;&gt;"Xg"))+((AM12&lt;&gt;"Xp")*(AM12&lt;&gt;"Xg"))+((AM12&lt;&gt;"Xn"))=3,AM$3&amp;", ",AM$3&amp;IF((AM12&lt;&gt;"Xm")*(AM12&lt;&gt;"Xg"),"_m","")&amp;IF((AM12&lt;&gt;"Xp")*(AM12&lt;&gt;"Xg"),"_p","")&amp;IF((AM12&lt;&gt;"Xn"),"_n","")&amp;", ")))</f>
        <v xml:space="preserve">GRECO, </v>
      </c>
      <c r="CB12" s="9" t="str">
        <f>IF(0+(AN12="X")&gt;0,"",IF(0+((AN12&lt;&gt;"Xm")*(AN12&lt;&gt;"Xg"))+((AN12&lt;&gt;"Xp")*(AN12&lt;&gt;"Xg"))+((AN12&lt;&gt;"Xn"))=0,"",IF(0+((AN12&lt;&gt;"Xm")*(AN12&lt;&gt;"Xg"))+((AN12&lt;&gt;"Xp")*(AN12&lt;&gt;"Xg"))+((AN12&lt;&gt;"Xn"))=3,AN$3&amp;", ",AN$3&amp;IF((AN12&lt;&gt;"Xm")*(AN12&lt;&gt;"Xg"),"_m","")&amp;IF((AN12&lt;&gt;"Xp")*(AN12&lt;&gt;"Xg"),"_p","")&amp;IF((AN12&lt;&gt;"Xn"),"_n","")&amp;", ")))</f>
        <v xml:space="preserve">SANNA, </v>
      </c>
      <c r="CC12" s="9" t="str">
        <f>IF(0+(AO12="X")&gt;0,"",IF(0+((AO12&lt;&gt;"Xm")*(AO12&lt;&gt;"Xg"))+((AO12&lt;&gt;"Xp")*(AO12&lt;&gt;"Xg"))+((AO12&lt;&gt;"Xn"))=0,"",IF(0+((AO12&lt;&gt;"Xm")*(AO12&lt;&gt;"Xg"))+((AO12&lt;&gt;"Xp")*(AO12&lt;&gt;"Xg"))+((AO12&lt;&gt;"Xn"))=3,AO$3&amp;", ",AO$3&amp;IF((AO12&lt;&gt;"Xm")*(AO12&lt;&gt;"Xg"),"_m","")&amp;IF((AO12&lt;&gt;"Xp")*(AO12&lt;&gt;"Xg"),"_p","")&amp;IF((AO12&lt;&gt;"Xn"),"_n","")&amp;", ")))</f>
        <v xml:space="preserve">LI, </v>
      </c>
      <c r="CD12" s="9" t="n"/>
      <c r="CE12" s="9" t="str">
        <f>IF(0+(AB12="X")&gt;0,"",IF(0+((AB12&lt;&gt;"Xm")*(AB12&lt;&gt;"Xg")*(COUNTIFS($C$3:$Q$3,"MAT",$C12:$Q12,AB$3)=0)*(COUNTIFS($C$3:$Q$3,"NOTTE",$C12:$Q12,AB$3)=0)*(COUNTIFS($C$3:$Q$3,"NOTTE",$C11:$Q11,AB$3)=0))+((AB12&lt;&gt;"Xp")*(AB12&lt;&gt;"Xg")*(COUNTIFS($C$3:$Q$3,"POM",$C12:$Q12,AB$3)=0)*(COUNTIFS($C$3:$Q$3,"NOTTE",$C12:$Q12,AB$3)=0)*(COUNTIFS($C$3:$Q$3,"NOTTE",$C11:$Q11,AB$3)=0))+((AB12&lt;&gt;"Xn")*(COUNTIFS($C$3:$Q$3,"MAT",$C12:$Q12,AB$3)=0)*(COUNTIFS($C$3:$Q$3,"POM",$C12:$Q12,AB$3)=0)*(COUNTIFS($C$3:$Q$3,"NOTTE",$C12:$Q12,AB$3)=0)*(COUNTIFS($C$3:$Q$3,"NOTTE",$C11:$Q11,AB$3)=0))=0,"",IF(0+((AB12&lt;&gt;"Xm")*(AB12&lt;&gt;"Xg")*(COUNTIFS($C$3:$Q$3,"MAT",$C12:$Q12,AB$3)=0)*(COUNTIFS($C$3:$Q$3,"NOTTE",$C12:$Q12,AB$3)=0)*(COUNTIFS($C$3:$Q$3,"NOTTE",$C11:$Q11,AB$3)=0))+((AB12&lt;&gt;"Xp")*(AB12&lt;&gt;"Xg")*(COUNTIFS($C$3:$Q$3,"POM",$C12:$Q12,AB$3)=0)*(COUNTIFS($C$3:$Q$3,"NOTTE",$C12:$Q12,AB$3)=0)*(COUNTIFS($C$3:$Q$3,"NOTTE",$C11:$Q11,AB$3)=0))+((AB12&lt;&gt;"Xn")*(COUNTIFS($C$3:$Q$3,"MAT",$C12:$Q12,AB$3)=0)*(COUNTIFS($C$3:$Q$3,"POM",$C12:$Q12,AB$3)=0)*(COUNTIFS($C$3:$Q$3,"NOTTE",$C12:$Q12,AB$3)=0)*(COUNTIFS($C$3:$Q$3,"NOTTE",$C11:$Q11,AB$3)=0))=3,AB$3&amp;", ",AB$3&amp;IF((AB12&lt;&gt;"Xm")*(AB12&lt;&gt;"Xg")*(COUNTIFS($C$3:$Q$3,"MAT",$C12:$Q12,AB$3)=0)*(COUNTIFS($C$3:$Q$3,"NOTTE",$C12:$Q12,AB$3)=0)*(COUNTIFS($C$3:$Q$3,"NOTTE",$C11:$Q11,AB$3)=0),"_m","")&amp;IF((AB12&lt;&gt;"Xp")*(AB12&lt;&gt;"Xg")*(COUNTIFS($C$3:$Q$3,"POM",$C12:$Q12,AB$3)=0)*(COUNTIFS($C$3:$Q$3,"NOTTE",$C12:$Q12,AB$3)=0)*(COUNTIFS($C$3:$Q$3,"NOTTE",$C11:$Q11,AB$3)=0),"_p","")&amp;IF((AB12&lt;&gt;"Xn")*(COUNTIFS($C$3:$Q$3,"MAT",$C12:$Q12,AB$3)=0)*(COUNTIFS($C$3:$Q$3,"POM",$C12:$Q12,AB$3)=0)*(COUNTIFS($C$3:$Q$3,"NOTTE",$C12:$Q12,AB$3)=0)*(COUNTIFS($C$3:$Q$3,"NOTTE",$C11:$Q11,AB$3)=0),"_n","")&amp;", ")))</f>
        <v xml:space="preserve">LEONI, </v>
      </c>
      <c r="CF12" s="9" t="str">
        <f>IF(0+(AC12="X")&gt;0,"",IF(0+((AC12&lt;&gt;"Xm")*(AC12&lt;&gt;"Xg")*(COUNTIFS($C$3:$Q$3,"MAT",$C12:$Q12,AC$3)=0)*(COUNTIFS($C$3:$Q$3,"NOTTE",$C12:$Q12,AC$3)=0)*(COUNTIFS($C$3:$Q$3,"NOTTE",$C11:$Q11,AC$3)=0))+((AC12&lt;&gt;"Xp")*(AC12&lt;&gt;"Xg")*(COUNTIFS($C$3:$Q$3,"POM",$C12:$Q12,AC$3)=0)*(COUNTIFS($C$3:$Q$3,"NOTTE",$C12:$Q12,AC$3)=0)*(COUNTIFS($C$3:$Q$3,"NOTTE",$C11:$Q11,AC$3)=0))+((AC12&lt;&gt;"Xn")*(COUNTIFS($C$3:$Q$3,"MAT",$C12:$Q12,AC$3)=0)*(COUNTIFS($C$3:$Q$3,"POM",$C12:$Q12,AC$3)=0)*(COUNTIFS($C$3:$Q$3,"NOTTE",$C12:$Q12,AC$3)=0)*(COUNTIFS($C$3:$Q$3,"NOTTE",$C11:$Q11,AC$3)=0))=0,"",IF(0+((AC12&lt;&gt;"Xm")*(AC12&lt;&gt;"Xg")*(COUNTIFS($C$3:$Q$3,"MAT",$C12:$Q12,AC$3)=0)*(COUNTIFS($C$3:$Q$3,"NOTTE",$C12:$Q12,AC$3)=0)*(COUNTIFS($C$3:$Q$3,"NOTTE",$C11:$Q11,AC$3)=0))+((AC12&lt;&gt;"Xp")*(AC12&lt;&gt;"Xg")*(COUNTIFS($C$3:$Q$3,"POM",$C12:$Q12,AC$3)=0)*(COUNTIFS($C$3:$Q$3,"NOTTE",$C12:$Q12,AC$3)=0)*(COUNTIFS($C$3:$Q$3,"NOTTE",$C11:$Q11,AC$3)=0))+((AC12&lt;&gt;"Xn")*(COUNTIFS($C$3:$Q$3,"MAT",$C12:$Q12,AC$3)=0)*(COUNTIFS($C$3:$Q$3,"POM",$C12:$Q12,AC$3)=0)*(COUNTIFS($C$3:$Q$3,"NOTTE",$C12:$Q12,AC$3)=0)*(COUNTIFS($C$3:$Q$3,"NOTTE",$C11:$Q11,AC$3)=0))=3,AC$3&amp;", ",AC$3&amp;IF((AC12&lt;&gt;"Xm")*(AC12&lt;&gt;"Xg")*(COUNTIFS($C$3:$Q$3,"MAT",$C12:$Q12,AC$3)=0)*(COUNTIFS($C$3:$Q$3,"NOTTE",$C12:$Q12,AC$3)=0)*(COUNTIFS($C$3:$Q$3,"NOTTE",$C11:$Q11,AC$3)=0),"_m","")&amp;IF((AC12&lt;&gt;"Xp")*(AC12&lt;&gt;"Xg")*(COUNTIFS($C$3:$Q$3,"POM",$C12:$Q12,AC$3)=0)*(COUNTIFS($C$3:$Q$3,"NOTTE",$C12:$Q12,AC$3)=0)*(COUNTIFS($C$3:$Q$3,"NOTTE",$C11:$Q11,AC$3)=0),"_p","")&amp;IF((AC12&lt;&gt;"Xn")*(COUNTIFS($C$3:$Q$3,"MAT",$C12:$Q12,AC$3)=0)*(COUNTIFS($C$3:$Q$3,"POM",$C12:$Q12,AC$3)=0)*(COUNTIFS($C$3:$Q$3,"NOTTE",$C12:$Q12,AC$3)=0)*(COUNTIFS($C$3:$Q$3,"NOTTE",$C11:$Q11,AC$3)=0),"_n","")&amp;", ")))</f>
        <v xml:space="preserve">ROSSI M, </v>
      </c>
      <c r="CG12" s="9" t="str">
        <f>IF(0+(AD12="X")&gt;0,"",IF(0+((AD12&lt;&gt;"Xm")*(AD12&lt;&gt;"Xg")*(COUNTIFS($C$3:$Q$3,"MAT",$C12:$Q12,AD$3)=0)*(COUNTIFS($C$3:$Q$3,"NOTTE",$C12:$Q12,AD$3)=0)*(COUNTIFS($C$3:$Q$3,"NOTTE",$C11:$Q11,AD$3)=0))+((AD12&lt;&gt;"Xp")*(AD12&lt;&gt;"Xg")*(COUNTIFS($C$3:$Q$3,"POM",$C12:$Q12,AD$3)=0)*(COUNTIFS($C$3:$Q$3,"NOTTE",$C12:$Q12,AD$3)=0)*(COUNTIFS($C$3:$Q$3,"NOTTE",$C11:$Q11,AD$3)=0))+((AD12&lt;&gt;"Xn")*(COUNTIFS($C$3:$Q$3,"MAT",$C12:$Q12,AD$3)=0)*(COUNTIFS($C$3:$Q$3,"POM",$C12:$Q12,AD$3)=0)*(COUNTIFS($C$3:$Q$3,"NOTTE",$C12:$Q12,AD$3)=0)*(COUNTIFS($C$3:$Q$3,"NOTTE",$C11:$Q11,AD$3)=0))=0,"",IF(0+((AD12&lt;&gt;"Xm")*(AD12&lt;&gt;"Xg")*(COUNTIFS($C$3:$Q$3,"MAT",$C12:$Q12,AD$3)=0)*(COUNTIFS($C$3:$Q$3,"NOTTE",$C12:$Q12,AD$3)=0)*(COUNTIFS($C$3:$Q$3,"NOTTE",$C11:$Q11,AD$3)=0))+((AD12&lt;&gt;"Xp")*(AD12&lt;&gt;"Xg")*(COUNTIFS($C$3:$Q$3,"POM",$C12:$Q12,AD$3)=0)*(COUNTIFS($C$3:$Q$3,"NOTTE",$C12:$Q12,AD$3)=0)*(COUNTIFS($C$3:$Q$3,"NOTTE",$C11:$Q11,AD$3)=0))+((AD12&lt;&gt;"Xn")*(COUNTIFS($C$3:$Q$3,"MAT",$C12:$Q12,AD$3)=0)*(COUNTIFS($C$3:$Q$3,"POM",$C12:$Q12,AD$3)=0)*(COUNTIFS($C$3:$Q$3,"NOTTE",$C12:$Q12,AD$3)=0)*(COUNTIFS($C$3:$Q$3,"NOTTE",$C11:$Q11,AD$3)=0))=3,AD$3&amp;", ",AD$3&amp;IF((AD12&lt;&gt;"Xm")*(AD12&lt;&gt;"Xg")*(COUNTIFS($C$3:$Q$3,"MAT",$C12:$Q12,AD$3)=0)*(COUNTIFS($C$3:$Q$3,"NOTTE",$C12:$Q12,AD$3)=0)*(COUNTIFS($C$3:$Q$3,"NOTTE",$C11:$Q11,AD$3)=0),"_m","")&amp;IF((AD12&lt;&gt;"Xp")*(AD12&lt;&gt;"Xg")*(COUNTIFS($C$3:$Q$3,"POM",$C12:$Q12,AD$3)=0)*(COUNTIFS($C$3:$Q$3,"NOTTE",$C12:$Q12,AD$3)=0)*(COUNTIFS($C$3:$Q$3,"NOTTE",$C11:$Q11,AD$3)=0),"_p","")&amp;IF((AD12&lt;&gt;"Xn")*(COUNTIFS($C$3:$Q$3,"MAT",$C12:$Q12,AD$3)=0)*(COUNTIFS($C$3:$Q$3,"POM",$C12:$Q12,AD$3)=0)*(COUNTIFS($C$3:$Q$3,"NOTTE",$C12:$Q12,AD$3)=0)*(COUNTIFS($C$3:$Q$3,"NOTTE",$C11:$Q11,AD$3)=0),"_n","")&amp;", ")))</f>
        <v xml:space="preserve">ROSSI L, </v>
      </c>
      <c r="CH12" s="9" t="str">
        <f>IF(0+(AE12="X")&gt;0,"",IF(0+((AE12&lt;&gt;"Xm")*(AE12&lt;&gt;"Xg")*(COUNTIFS($C$3:$Q$3,"MAT",$C12:$Q12,AE$3)=0)*(COUNTIFS($C$3:$Q$3,"NOTTE",$C12:$Q12,AE$3)=0)*(COUNTIFS($C$3:$Q$3,"NOTTE",$C11:$Q11,AE$3)=0))+((AE12&lt;&gt;"Xp")*(AE12&lt;&gt;"Xg")*(COUNTIFS($C$3:$Q$3,"POM",$C12:$Q12,AE$3)=0)*(COUNTIFS($C$3:$Q$3,"NOTTE",$C12:$Q12,AE$3)=0)*(COUNTIFS($C$3:$Q$3,"NOTTE",$C11:$Q11,AE$3)=0))+((AE12&lt;&gt;"Xn")*(COUNTIFS($C$3:$Q$3,"MAT",$C12:$Q12,AE$3)=0)*(COUNTIFS($C$3:$Q$3,"POM",$C12:$Q12,AE$3)=0)*(COUNTIFS($C$3:$Q$3,"NOTTE",$C12:$Q12,AE$3)=0)*(COUNTIFS($C$3:$Q$3,"NOTTE",$C11:$Q11,AE$3)=0))=0,"",IF(0+((AE12&lt;&gt;"Xm")*(AE12&lt;&gt;"Xg")*(COUNTIFS($C$3:$Q$3,"MAT",$C12:$Q12,AE$3)=0)*(COUNTIFS($C$3:$Q$3,"NOTTE",$C12:$Q12,AE$3)=0)*(COUNTIFS($C$3:$Q$3,"NOTTE",$C11:$Q11,AE$3)=0))+((AE12&lt;&gt;"Xp")*(AE12&lt;&gt;"Xg")*(COUNTIFS($C$3:$Q$3,"POM",$C12:$Q12,AE$3)=0)*(COUNTIFS($C$3:$Q$3,"NOTTE",$C12:$Q12,AE$3)=0)*(COUNTIFS($C$3:$Q$3,"NOTTE",$C11:$Q11,AE$3)=0))+((AE12&lt;&gt;"Xn")*(COUNTIFS($C$3:$Q$3,"MAT",$C12:$Q12,AE$3)=0)*(COUNTIFS($C$3:$Q$3,"POM",$C12:$Q12,AE$3)=0)*(COUNTIFS($C$3:$Q$3,"NOTTE",$C12:$Q12,AE$3)=0)*(COUNTIFS($C$3:$Q$3,"NOTTE",$C11:$Q11,AE$3)=0))=3,AE$3&amp;", ",AE$3&amp;IF((AE12&lt;&gt;"Xm")*(AE12&lt;&gt;"Xg")*(COUNTIFS($C$3:$Q$3,"MAT",$C12:$Q12,AE$3)=0)*(COUNTIFS($C$3:$Q$3,"NOTTE",$C12:$Q12,AE$3)=0)*(COUNTIFS($C$3:$Q$3,"NOTTE",$C11:$Q11,AE$3)=0),"_m","")&amp;IF((AE12&lt;&gt;"Xp")*(AE12&lt;&gt;"Xg")*(COUNTIFS($C$3:$Q$3,"POM",$C12:$Q12,AE$3)=0)*(COUNTIFS($C$3:$Q$3,"NOTTE",$C12:$Q12,AE$3)=0)*(COUNTIFS($C$3:$Q$3,"NOTTE",$C11:$Q11,AE$3)=0),"_p","")&amp;IF((AE12&lt;&gt;"Xn")*(COUNTIFS($C$3:$Q$3,"MAT",$C12:$Q12,AE$3)=0)*(COUNTIFS($C$3:$Q$3,"POM",$C12:$Q12,AE$3)=0)*(COUNTIFS($C$3:$Q$3,"NOTTE",$C12:$Q12,AE$3)=0)*(COUNTIFS($C$3:$Q$3,"NOTTE",$C11:$Q11,AE$3)=0),"_n","")&amp;", ")))</f>
        <v xml:space="preserve">GALLINA, </v>
      </c>
      <c r="CI12" s="9" t="str">
        <f>IF(0+(AF12="X")&gt;0,"",IF(0+((AF12&lt;&gt;"Xm")*(AF12&lt;&gt;"Xg")*(COUNTIFS($C$3:$Q$3,"MAT",$C12:$Q12,AF$3)=0)*(COUNTIFS($C$3:$Q$3,"NOTTE",$C12:$Q12,AF$3)=0)*(COUNTIFS($C$3:$Q$3,"NOTTE",$C11:$Q11,AF$3)=0))+((AF12&lt;&gt;"Xp")*(AF12&lt;&gt;"Xg")*(COUNTIFS($C$3:$Q$3,"POM",$C12:$Q12,AF$3)=0)*(COUNTIFS($C$3:$Q$3,"NOTTE",$C12:$Q12,AF$3)=0)*(COUNTIFS($C$3:$Q$3,"NOTTE",$C11:$Q11,AF$3)=0))+((AF12&lt;&gt;"Xn")*(COUNTIFS($C$3:$Q$3,"MAT",$C12:$Q12,AF$3)=0)*(COUNTIFS($C$3:$Q$3,"POM",$C12:$Q12,AF$3)=0)*(COUNTIFS($C$3:$Q$3,"NOTTE",$C12:$Q12,AF$3)=0)*(COUNTIFS($C$3:$Q$3,"NOTTE",$C11:$Q11,AF$3)=0))=0,"",IF(0+((AF12&lt;&gt;"Xm")*(AF12&lt;&gt;"Xg")*(COUNTIFS($C$3:$Q$3,"MAT",$C12:$Q12,AF$3)=0)*(COUNTIFS($C$3:$Q$3,"NOTTE",$C12:$Q12,AF$3)=0)*(COUNTIFS($C$3:$Q$3,"NOTTE",$C11:$Q11,AF$3)=0))+((AF12&lt;&gt;"Xp")*(AF12&lt;&gt;"Xg")*(COUNTIFS($C$3:$Q$3,"POM",$C12:$Q12,AF$3)=0)*(COUNTIFS($C$3:$Q$3,"NOTTE",$C12:$Q12,AF$3)=0)*(COUNTIFS($C$3:$Q$3,"NOTTE",$C11:$Q11,AF$3)=0))+((AF12&lt;&gt;"Xn")*(COUNTIFS($C$3:$Q$3,"MAT",$C12:$Q12,AF$3)=0)*(COUNTIFS($C$3:$Q$3,"POM",$C12:$Q12,AF$3)=0)*(COUNTIFS($C$3:$Q$3,"NOTTE",$C12:$Q12,AF$3)=0)*(COUNTIFS($C$3:$Q$3,"NOTTE",$C11:$Q11,AF$3)=0))=3,AF$3&amp;", ",AF$3&amp;IF((AF12&lt;&gt;"Xm")*(AF12&lt;&gt;"Xg")*(COUNTIFS($C$3:$Q$3,"MAT",$C12:$Q12,AF$3)=0)*(COUNTIFS($C$3:$Q$3,"NOTTE",$C12:$Q12,AF$3)=0)*(COUNTIFS($C$3:$Q$3,"NOTTE",$C11:$Q11,AF$3)=0),"_m","")&amp;IF((AF12&lt;&gt;"Xp")*(AF12&lt;&gt;"Xg")*(COUNTIFS($C$3:$Q$3,"POM",$C12:$Q12,AF$3)=0)*(COUNTIFS($C$3:$Q$3,"NOTTE",$C12:$Q12,AF$3)=0)*(COUNTIFS($C$3:$Q$3,"NOTTE",$C11:$Q11,AF$3)=0),"_p","")&amp;IF((AF12&lt;&gt;"Xn")*(COUNTIFS($C$3:$Q$3,"MAT",$C12:$Q12,AF$3)=0)*(COUNTIFS($C$3:$Q$3,"POM",$C12:$Q12,AF$3)=0)*(COUNTIFS($C$3:$Q$3,"NOTTE",$C12:$Q12,AF$3)=0)*(COUNTIFS($C$3:$Q$3,"NOTTE",$C11:$Q11,AF$3)=0),"_n","")&amp;", ")))</f>
        <v xml:space="preserve">RUSSO, </v>
      </c>
      <c r="CJ12" s="9" t="str">
        <f>IF(0+(AG12="X")&gt;0,"",IF(0+((AG12&lt;&gt;"Xm")*(AG12&lt;&gt;"Xg")*(COUNTIFS($C$3:$Q$3,"MAT",$C12:$Q12,AG$3)=0)*(COUNTIFS($C$3:$Q$3,"NOTTE",$C12:$Q12,AG$3)=0)*(COUNTIFS($C$3:$Q$3,"NOTTE",$C11:$Q11,AG$3)=0))+((AG12&lt;&gt;"Xp")*(AG12&lt;&gt;"Xg")*(COUNTIFS($C$3:$Q$3,"POM",$C12:$Q12,AG$3)=0)*(COUNTIFS($C$3:$Q$3,"NOTTE",$C12:$Q12,AG$3)=0)*(COUNTIFS($C$3:$Q$3,"NOTTE",$C11:$Q11,AG$3)=0))+((AG12&lt;&gt;"Xn")*(COUNTIFS($C$3:$Q$3,"MAT",$C12:$Q12,AG$3)=0)*(COUNTIFS($C$3:$Q$3,"POM",$C12:$Q12,AG$3)=0)*(COUNTIFS($C$3:$Q$3,"NOTTE",$C12:$Q12,AG$3)=0)*(COUNTIFS($C$3:$Q$3,"NOTTE",$C11:$Q11,AG$3)=0))=0,"",IF(0+((AG12&lt;&gt;"Xm")*(AG12&lt;&gt;"Xg")*(COUNTIFS($C$3:$Q$3,"MAT",$C12:$Q12,AG$3)=0)*(COUNTIFS($C$3:$Q$3,"NOTTE",$C12:$Q12,AG$3)=0)*(COUNTIFS($C$3:$Q$3,"NOTTE",$C11:$Q11,AG$3)=0))+((AG12&lt;&gt;"Xp")*(AG12&lt;&gt;"Xg")*(COUNTIFS($C$3:$Q$3,"POM",$C12:$Q12,AG$3)=0)*(COUNTIFS($C$3:$Q$3,"NOTTE",$C12:$Q12,AG$3)=0)*(COUNTIFS($C$3:$Q$3,"NOTTE",$C11:$Q11,AG$3)=0))+((AG12&lt;&gt;"Xn")*(COUNTIFS($C$3:$Q$3,"MAT",$C12:$Q12,AG$3)=0)*(COUNTIFS($C$3:$Q$3,"POM",$C12:$Q12,AG$3)=0)*(COUNTIFS($C$3:$Q$3,"NOTTE",$C12:$Q12,AG$3)=0)*(COUNTIFS($C$3:$Q$3,"NOTTE",$C11:$Q11,AG$3)=0))=3,AG$3&amp;", ",AG$3&amp;IF((AG12&lt;&gt;"Xm")*(AG12&lt;&gt;"Xg")*(COUNTIFS($C$3:$Q$3,"MAT",$C12:$Q12,AG$3)=0)*(COUNTIFS($C$3:$Q$3,"NOTTE",$C12:$Q12,AG$3)=0)*(COUNTIFS($C$3:$Q$3,"NOTTE",$C11:$Q11,AG$3)=0),"_m","")&amp;IF((AG12&lt;&gt;"Xp")*(AG12&lt;&gt;"Xg")*(COUNTIFS($C$3:$Q$3,"POM",$C12:$Q12,AG$3)=0)*(COUNTIFS($C$3:$Q$3,"NOTTE",$C12:$Q12,AG$3)=0)*(COUNTIFS($C$3:$Q$3,"NOTTE",$C11:$Q11,AG$3)=0),"_p","")&amp;IF((AG12&lt;&gt;"Xn")*(COUNTIFS($C$3:$Q$3,"MAT",$C12:$Q12,AG$3)=0)*(COUNTIFS($C$3:$Q$3,"POM",$C12:$Q12,AG$3)=0)*(COUNTIFS($C$3:$Q$3,"NOTTE",$C12:$Q12,AG$3)=0)*(COUNTIFS($C$3:$Q$3,"NOTTE",$C11:$Q11,AG$3)=0),"_n","")&amp;", ")))</f>
        <v xml:space="preserve">VERDI, </v>
      </c>
      <c r="CK12" s="9" t="str">
        <f>IF(0+(AH12="X")&gt;0,"",IF(0+((AH12&lt;&gt;"Xm")*(AH12&lt;&gt;"Xg")*(COUNTIFS($C$3:$Q$3,"MAT",$C12:$Q12,AH$3)=0)*(COUNTIFS($C$3:$Q$3,"NOTTE",$C12:$Q12,AH$3)=0)*(COUNTIFS($C$3:$Q$3,"NOTTE",$C11:$Q11,AH$3)=0))+((AH12&lt;&gt;"Xp")*(AH12&lt;&gt;"Xg")*(COUNTIFS($C$3:$Q$3,"POM",$C12:$Q12,AH$3)=0)*(COUNTIFS($C$3:$Q$3,"NOTTE",$C12:$Q12,AH$3)=0)*(COUNTIFS($C$3:$Q$3,"NOTTE",$C11:$Q11,AH$3)=0))+((AH12&lt;&gt;"Xn")*(COUNTIFS($C$3:$Q$3,"MAT",$C12:$Q12,AH$3)=0)*(COUNTIFS($C$3:$Q$3,"POM",$C12:$Q12,AH$3)=0)*(COUNTIFS($C$3:$Q$3,"NOTTE",$C12:$Q12,AH$3)=0)*(COUNTIFS($C$3:$Q$3,"NOTTE",$C11:$Q11,AH$3)=0))=0,"",IF(0+((AH12&lt;&gt;"Xm")*(AH12&lt;&gt;"Xg")*(COUNTIFS($C$3:$Q$3,"MAT",$C12:$Q12,AH$3)=0)*(COUNTIFS($C$3:$Q$3,"NOTTE",$C12:$Q12,AH$3)=0)*(COUNTIFS($C$3:$Q$3,"NOTTE",$C11:$Q11,AH$3)=0))+((AH12&lt;&gt;"Xp")*(AH12&lt;&gt;"Xg")*(COUNTIFS($C$3:$Q$3,"POM",$C12:$Q12,AH$3)=0)*(COUNTIFS($C$3:$Q$3,"NOTTE",$C12:$Q12,AH$3)=0)*(COUNTIFS($C$3:$Q$3,"NOTTE",$C11:$Q11,AH$3)=0))+((AH12&lt;&gt;"Xn")*(COUNTIFS($C$3:$Q$3,"MAT",$C12:$Q12,AH$3)=0)*(COUNTIFS($C$3:$Q$3,"POM",$C12:$Q12,AH$3)=0)*(COUNTIFS($C$3:$Q$3,"NOTTE",$C12:$Q12,AH$3)=0)*(COUNTIFS($C$3:$Q$3,"NOTTE",$C11:$Q11,AH$3)=0))=3,AH$3&amp;", ",AH$3&amp;IF((AH12&lt;&gt;"Xm")*(AH12&lt;&gt;"Xg")*(COUNTIFS($C$3:$Q$3,"MAT",$C12:$Q12,AH$3)=0)*(COUNTIFS($C$3:$Q$3,"NOTTE",$C12:$Q12,AH$3)=0)*(COUNTIFS($C$3:$Q$3,"NOTTE",$C11:$Q11,AH$3)=0),"_m","")&amp;IF((AH12&lt;&gt;"Xp")*(AH12&lt;&gt;"Xg")*(COUNTIFS($C$3:$Q$3,"POM",$C12:$Q12,AH$3)=0)*(COUNTIFS($C$3:$Q$3,"NOTTE",$C12:$Q12,AH$3)=0)*(COUNTIFS($C$3:$Q$3,"NOTTE",$C11:$Q11,AH$3)=0),"_p","")&amp;IF((AH12&lt;&gt;"Xn")*(COUNTIFS($C$3:$Q$3,"MAT",$C12:$Q12,AH$3)=0)*(COUNTIFS($C$3:$Q$3,"POM",$C12:$Q12,AH$3)=0)*(COUNTIFS($C$3:$Q$3,"NOTTE",$C12:$Q12,AH$3)=0)*(COUNTIFS($C$3:$Q$3,"NOTTE",$C11:$Q11,AH$3)=0),"_n","")&amp;", ")))</f>
        <v xml:space="preserve">HU, </v>
      </c>
      <c r="CL12" s="9" t="str">
        <f>IF(0+(AI12="X")&gt;0,"",IF(0+((AI12&lt;&gt;"Xm")*(AI12&lt;&gt;"Xg")*(COUNTIFS($C$3:$Q$3,"MAT",$C12:$Q12,AI$3)=0)*(COUNTIFS($C$3:$Q$3,"NOTTE",$C12:$Q12,AI$3)=0)*(COUNTIFS($C$3:$Q$3,"NOTTE",$C11:$Q11,AI$3)=0))+((AI12&lt;&gt;"Xp")*(AI12&lt;&gt;"Xg")*(COUNTIFS($C$3:$Q$3,"POM",$C12:$Q12,AI$3)=0)*(COUNTIFS($C$3:$Q$3,"NOTTE",$C12:$Q12,AI$3)=0)*(COUNTIFS($C$3:$Q$3,"NOTTE",$C11:$Q11,AI$3)=0))+((AI12&lt;&gt;"Xn")*(COUNTIFS($C$3:$Q$3,"MAT",$C12:$Q12,AI$3)=0)*(COUNTIFS($C$3:$Q$3,"POM",$C12:$Q12,AI$3)=0)*(COUNTIFS($C$3:$Q$3,"NOTTE",$C12:$Q12,AI$3)=0)*(COUNTIFS($C$3:$Q$3,"NOTTE",$C11:$Q11,AI$3)=0))=0,"",IF(0+((AI12&lt;&gt;"Xm")*(AI12&lt;&gt;"Xg")*(COUNTIFS($C$3:$Q$3,"MAT",$C12:$Q12,AI$3)=0)*(COUNTIFS($C$3:$Q$3,"NOTTE",$C12:$Q12,AI$3)=0)*(COUNTIFS($C$3:$Q$3,"NOTTE",$C11:$Q11,AI$3)=0))+((AI12&lt;&gt;"Xp")*(AI12&lt;&gt;"Xg")*(COUNTIFS($C$3:$Q$3,"POM",$C12:$Q12,AI$3)=0)*(COUNTIFS($C$3:$Q$3,"NOTTE",$C12:$Q12,AI$3)=0)*(COUNTIFS($C$3:$Q$3,"NOTTE",$C11:$Q11,AI$3)=0))+((AI12&lt;&gt;"Xn")*(COUNTIFS($C$3:$Q$3,"MAT",$C12:$Q12,AI$3)=0)*(COUNTIFS($C$3:$Q$3,"POM",$C12:$Q12,AI$3)=0)*(COUNTIFS($C$3:$Q$3,"NOTTE",$C12:$Q12,AI$3)=0)*(COUNTIFS($C$3:$Q$3,"NOTTE",$C11:$Q11,AI$3)=0))=3,AI$3&amp;", ",AI$3&amp;IF((AI12&lt;&gt;"Xm")*(AI12&lt;&gt;"Xg")*(COUNTIFS($C$3:$Q$3,"MAT",$C12:$Q12,AI$3)=0)*(COUNTIFS($C$3:$Q$3,"NOTTE",$C12:$Q12,AI$3)=0)*(COUNTIFS($C$3:$Q$3,"NOTTE",$C11:$Q11,AI$3)=0),"_m","")&amp;IF((AI12&lt;&gt;"Xp")*(AI12&lt;&gt;"Xg")*(COUNTIFS($C$3:$Q$3,"POM",$C12:$Q12,AI$3)=0)*(COUNTIFS($C$3:$Q$3,"NOTTE",$C12:$Q12,AI$3)=0)*(COUNTIFS($C$3:$Q$3,"NOTTE",$C11:$Q11,AI$3)=0),"_p","")&amp;IF((AI12&lt;&gt;"Xn")*(COUNTIFS($C$3:$Q$3,"MAT",$C12:$Q12,AI$3)=0)*(COUNTIFS($C$3:$Q$3,"POM",$C12:$Q12,AI$3)=0)*(COUNTIFS($C$3:$Q$3,"NOTTE",$C12:$Q12,AI$3)=0)*(COUNTIFS($C$3:$Q$3,"NOTTE",$C11:$Q11,AI$3)=0),"_n","")&amp;", ")))</f>
        <v xml:space="preserve">MARINI, </v>
      </c>
      <c r="CM12" s="9" t="str">
        <f>IF(0+(AJ12="X")&gt;0,"",IF(0+((AJ12&lt;&gt;"Xm")*(AJ12&lt;&gt;"Xg")*(COUNTIFS($C$3:$Q$3,"MAT",$C12:$Q12,AJ$3)=0)*(COUNTIFS($C$3:$Q$3,"NOTTE",$C12:$Q12,AJ$3)=0)*(COUNTIFS($C$3:$Q$3,"NOTTE",$C11:$Q11,AJ$3)=0))+((AJ12&lt;&gt;"Xp")*(AJ12&lt;&gt;"Xg")*(COUNTIFS($C$3:$Q$3,"POM",$C12:$Q12,AJ$3)=0)*(COUNTIFS($C$3:$Q$3,"NOTTE",$C12:$Q12,AJ$3)=0)*(COUNTIFS($C$3:$Q$3,"NOTTE",$C11:$Q11,AJ$3)=0))+((AJ12&lt;&gt;"Xn")*(COUNTIFS($C$3:$Q$3,"MAT",$C12:$Q12,AJ$3)=0)*(COUNTIFS($C$3:$Q$3,"POM",$C12:$Q12,AJ$3)=0)*(COUNTIFS($C$3:$Q$3,"NOTTE",$C12:$Q12,AJ$3)=0)*(COUNTIFS($C$3:$Q$3,"NOTTE",$C11:$Q11,AJ$3)=0))=0,"",IF(0+((AJ12&lt;&gt;"Xm")*(AJ12&lt;&gt;"Xg")*(COUNTIFS($C$3:$Q$3,"MAT",$C12:$Q12,AJ$3)=0)*(COUNTIFS($C$3:$Q$3,"NOTTE",$C12:$Q12,AJ$3)=0)*(COUNTIFS($C$3:$Q$3,"NOTTE",$C11:$Q11,AJ$3)=0))+((AJ12&lt;&gt;"Xp")*(AJ12&lt;&gt;"Xg")*(COUNTIFS($C$3:$Q$3,"POM",$C12:$Q12,AJ$3)=0)*(COUNTIFS($C$3:$Q$3,"NOTTE",$C12:$Q12,AJ$3)=0)*(COUNTIFS($C$3:$Q$3,"NOTTE",$C11:$Q11,AJ$3)=0))+((AJ12&lt;&gt;"Xn")*(COUNTIFS($C$3:$Q$3,"MAT",$C12:$Q12,AJ$3)=0)*(COUNTIFS($C$3:$Q$3,"POM",$C12:$Q12,AJ$3)=0)*(COUNTIFS($C$3:$Q$3,"NOTTE",$C12:$Q12,AJ$3)=0)*(COUNTIFS($C$3:$Q$3,"NOTTE",$C11:$Q11,AJ$3)=0))=3,AJ$3&amp;", ",AJ$3&amp;IF((AJ12&lt;&gt;"Xm")*(AJ12&lt;&gt;"Xg")*(COUNTIFS($C$3:$Q$3,"MAT",$C12:$Q12,AJ$3)=0)*(COUNTIFS($C$3:$Q$3,"NOTTE",$C12:$Q12,AJ$3)=0)*(COUNTIFS($C$3:$Q$3,"NOTTE",$C11:$Q11,AJ$3)=0),"_m","")&amp;IF((AJ12&lt;&gt;"Xp")*(AJ12&lt;&gt;"Xg")*(COUNTIFS($C$3:$Q$3,"POM",$C12:$Q12,AJ$3)=0)*(COUNTIFS($C$3:$Q$3,"NOTTE",$C12:$Q12,AJ$3)=0)*(COUNTIFS($C$3:$Q$3,"NOTTE",$C11:$Q11,AJ$3)=0),"_p","")&amp;IF((AJ12&lt;&gt;"Xn")*(COUNTIFS($C$3:$Q$3,"MAT",$C12:$Q12,AJ$3)=0)*(COUNTIFS($C$3:$Q$3,"POM",$C12:$Q12,AJ$3)=0)*(COUNTIFS($C$3:$Q$3,"NOTTE",$C12:$Q12,AJ$3)=0)*(COUNTIFS($C$3:$Q$3,"NOTTE",$C11:$Q11,AJ$3)=0),"_n","")&amp;", ")))</f>
        <v xml:space="preserve">CONTI A, </v>
      </c>
      <c r="CN12" s="9" t="str">
        <f>IF(0+(AK12="X")&gt;0,"",IF(0+((AK12&lt;&gt;"Xm")*(AK12&lt;&gt;"Xg")*(COUNTIFS($C$3:$Q$3,"MAT",$C12:$Q12,AK$3)=0)*(COUNTIFS($C$3:$Q$3,"NOTTE",$C12:$Q12,AK$3)=0)*(COUNTIFS($C$3:$Q$3,"NOTTE",$C11:$Q11,AK$3)=0))+((AK12&lt;&gt;"Xp")*(AK12&lt;&gt;"Xg")*(COUNTIFS($C$3:$Q$3,"POM",$C12:$Q12,AK$3)=0)*(COUNTIFS($C$3:$Q$3,"NOTTE",$C12:$Q12,AK$3)=0)*(COUNTIFS($C$3:$Q$3,"NOTTE",$C11:$Q11,AK$3)=0))+((AK12&lt;&gt;"Xn")*(COUNTIFS($C$3:$Q$3,"MAT",$C12:$Q12,AK$3)=0)*(COUNTIFS($C$3:$Q$3,"POM",$C12:$Q12,AK$3)=0)*(COUNTIFS($C$3:$Q$3,"NOTTE",$C12:$Q12,AK$3)=0)*(COUNTIFS($C$3:$Q$3,"NOTTE",$C11:$Q11,AK$3)=0))=0,"",IF(0+((AK12&lt;&gt;"Xm")*(AK12&lt;&gt;"Xg")*(COUNTIFS($C$3:$Q$3,"MAT",$C12:$Q12,AK$3)=0)*(COUNTIFS($C$3:$Q$3,"NOTTE",$C12:$Q12,AK$3)=0)*(COUNTIFS($C$3:$Q$3,"NOTTE",$C11:$Q11,AK$3)=0))+((AK12&lt;&gt;"Xp")*(AK12&lt;&gt;"Xg")*(COUNTIFS($C$3:$Q$3,"POM",$C12:$Q12,AK$3)=0)*(COUNTIFS($C$3:$Q$3,"NOTTE",$C12:$Q12,AK$3)=0)*(COUNTIFS($C$3:$Q$3,"NOTTE",$C11:$Q11,AK$3)=0))+((AK12&lt;&gt;"Xn")*(COUNTIFS($C$3:$Q$3,"MAT",$C12:$Q12,AK$3)=0)*(COUNTIFS($C$3:$Q$3,"POM",$C12:$Q12,AK$3)=0)*(COUNTIFS($C$3:$Q$3,"NOTTE",$C12:$Q12,AK$3)=0)*(COUNTIFS($C$3:$Q$3,"NOTTE",$C11:$Q11,AK$3)=0))=3,AK$3&amp;", ",AK$3&amp;IF((AK12&lt;&gt;"Xm")*(AK12&lt;&gt;"Xg")*(COUNTIFS($C$3:$Q$3,"MAT",$C12:$Q12,AK$3)=0)*(COUNTIFS($C$3:$Q$3,"NOTTE",$C12:$Q12,AK$3)=0)*(COUNTIFS($C$3:$Q$3,"NOTTE",$C11:$Q11,AK$3)=0),"_m","")&amp;IF((AK12&lt;&gt;"Xp")*(AK12&lt;&gt;"Xg")*(COUNTIFS($C$3:$Q$3,"POM",$C12:$Q12,AK$3)=0)*(COUNTIFS($C$3:$Q$3,"NOTTE",$C12:$Q12,AK$3)=0)*(COUNTIFS($C$3:$Q$3,"NOTTE",$C11:$Q11,AK$3)=0),"_p","")&amp;IF((AK12&lt;&gt;"Xn")*(COUNTIFS($C$3:$Q$3,"MAT",$C12:$Q12,AK$3)=0)*(COUNTIFS($C$3:$Q$3,"POM",$C12:$Q12,AK$3)=0)*(COUNTIFS($C$3:$Q$3,"NOTTE",$C12:$Q12,AK$3)=0)*(COUNTIFS($C$3:$Q$3,"NOTTE",$C11:$Q11,AK$3)=0),"_n","")&amp;", ")))</f>
        <v xml:space="preserve">CONTI S, </v>
      </c>
      <c r="CO12" s="9" t="str">
        <f>IF(0+(AL12="X")&gt;0,"",IF(0+((AL12&lt;&gt;"Xm")*(AL12&lt;&gt;"Xg")*(COUNTIFS($C$3:$Q$3,"MAT",$C12:$Q12,AL$3)=0)*(COUNTIFS($C$3:$Q$3,"NOTTE",$C12:$Q12,AL$3)=0)*(COUNTIFS($C$3:$Q$3,"NOTTE",$C11:$Q11,AL$3)=0))+((AL12&lt;&gt;"Xp")*(AL12&lt;&gt;"Xg")*(COUNTIFS($C$3:$Q$3,"POM",$C12:$Q12,AL$3)=0)*(COUNTIFS($C$3:$Q$3,"NOTTE",$C12:$Q12,AL$3)=0)*(COUNTIFS($C$3:$Q$3,"NOTTE",$C11:$Q11,AL$3)=0))+((AL12&lt;&gt;"Xn")*(COUNTIFS($C$3:$Q$3,"MAT",$C12:$Q12,AL$3)=0)*(COUNTIFS($C$3:$Q$3,"POM",$C12:$Q12,AL$3)=0)*(COUNTIFS($C$3:$Q$3,"NOTTE",$C12:$Q12,AL$3)=0)*(COUNTIFS($C$3:$Q$3,"NOTTE",$C11:$Q11,AL$3)=0))=0,"",IF(0+((AL12&lt;&gt;"Xm")*(AL12&lt;&gt;"Xg")*(COUNTIFS($C$3:$Q$3,"MAT",$C12:$Q12,AL$3)=0)*(COUNTIFS($C$3:$Q$3,"NOTTE",$C12:$Q12,AL$3)=0)*(COUNTIFS($C$3:$Q$3,"NOTTE",$C11:$Q11,AL$3)=0))+((AL12&lt;&gt;"Xp")*(AL12&lt;&gt;"Xg")*(COUNTIFS($C$3:$Q$3,"POM",$C12:$Q12,AL$3)=0)*(COUNTIFS($C$3:$Q$3,"NOTTE",$C12:$Q12,AL$3)=0)*(COUNTIFS($C$3:$Q$3,"NOTTE",$C11:$Q11,AL$3)=0))+((AL12&lt;&gt;"Xn")*(COUNTIFS($C$3:$Q$3,"MAT",$C12:$Q12,AL$3)=0)*(COUNTIFS($C$3:$Q$3,"POM",$C12:$Q12,AL$3)=0)*(COUNTIFS($C$3:$Q$3,"NOTTE",$C12:$Q12,AL$3)=0)*(COUNTIFS($C$3:$Q$3,"NOTTE",$C11:$Q11,AL$3)=0))=3,AL$3&amp;", ",AL$3&amp;IF((AL12&lt;&gt;"Xm")*(AL12&lt;&gt;"Xg")*(COUNTIFS($C$3:$Q$3,"MAT",$C12:$Q12,AL$3)=0)*(COUNTIFS($C$3:$Q$3,"NOTTE",$C12:$Q12,AL$3)=0)*(COUNTIFS($C$3:$Q$3,"NOTTE",$C11:$Q11,AL$3)=0),"_m","")&amp;IF((AL12&lt;&gt;"Xp")*(AL12&lt;&gt;"Xg")*(COUNTIFS($C$3:$Q$3,"POM",$C12:$Q12,AL$3)=0)*(COUNTIFS($C$3:$Q$3,"NOTTE",$C12:$Q12,AL$3)=0)*(COUNTIFS($C$3:$Q$3,"NOTTE",$C11:$Q11,AL$3)=0),"_p","")&amp;IF((AL12&lt;&gt;"Xn")*(COUNTIFS($C$3:$Q$3,"MAT",$C12:$Q12,AL$3)=0)*(COUNTIFS($C$3:$Q$3,"POM",$C12:$Q12,AL$3)=0)*(COUNTIFS($C$3:$Q$3,"NOTTE",$C12:$Q12,AL$3)=0)*(COUNTIFS($C$3:$Q$3,"NOTTE",$C11:$Q11,AL$3)=0),"_n","")&amp;", ")))</f>
        <v xml:space="preserve">FERRARI, </v>
      </c>
      <c r="CP12" s="9" t="str">
        <f>IF(0+(AM12="X")&gt;0,"",IF(0+((AM12&lt;&gt;"Xm")*(AM12&lt;&gt;"Xg")*(COUNTIFS($C$3:$Q$3,"MAT",$C12:$Q12,AM$3)=0)*(COUNTIFS($C$3:$Q$3,"NOTTE",$C12:$Q12,AM$3)=0)*(COUNTIFS($C$3:$Q$3,"NOTTE",$C11:$Q11,AM$3)=0))+((AM12&lt;&gt;"Xp")*(AM12&lt;&gt;"Xg")*(COUNTIFS($C$3:$Q$3,"POM",$C12:$Q12,AM$3)=0)*(COUNTIFS($C$3:$Q$3,"NOTTE",$C12:$Q12,AM$3)=0)*(COUNTIFS($C$3:$Q$3,"NOTTE",$C11:$Q11,AM$3)=0))+((AM12&lt;&gt;"Xn")*(COUNTIFS($C$3:$Q$3,"MAT",$C12:$Q12,AM$3)=0)*(COUNTIFS($C$3:$Q$3,"POM",$C12:$Q12,AM$3)=0)*(COUNTIFS($C$3:$Q$3,"NOTTE",$C12:$Q12,AM$3)=0)*(COUNTIFS($C$3:$Q$3,"NOTTE",$C11:$Q11,AM$3)=0))=0,"",IF(0+((AM12&lt;&gt;"Xm")*(AM12&lt;&gt;"Xg")*(COUNTIFS($C$3:$Q$3,"MAT",$C12:$Q12,AM$3)=0)*(COUNTIFS($C$3:$Q$3,"NOTTE",$C12:$Q12,AM$3)=0)*(COUNTIFS($C$3:$Q$3,"NOTTE",$C11:$Q11,AM$3)=0))+((AM12&lt;&gt;"Xp")*(AM12&lt;&gt;"Xg")*(COUNTIFS($C$3:$Q$3,"POM",$C12:$Q12,AM$3)=0)*(COUNTIFS($C$3:$Q$3,"NOTTE",$C12:$Q12,AM$3)=0)*(COUNTIFS($C$3:$Q$3,"NOTTE",$C11:$Q11,AM$3)=0))+((AM12&lt;&gt;"Xn")*(COUNTIFS($C$3:$Q$3,"MAT",$C12:$Q12,AM$3)=0)*(COUNTIFS($C$3:$Q$3,"POM",$C12:$Q12,AM$3)=0)*(COUNTIFS($C$3:$Q$3,"NOTTE",$C12:$Q12,AM$3)=0)*(COUNTIFS($C$3:$Q$3,"NOTTE",$C11:$Q11,AM$3)=0))=3,AM$3&amp;", ",AM$3&amp;IF((AM12&lt;&gt;"Xm")*(AM12&lt;&gt;"Xg")*(COUNTIFS($C$3:$Q$3,"MAT",$C12:$Q12,AM$3)=0)*(COUNTIFS($C$3:$Q$3,"NOTTE",$C12:$Q12,AM$3)=0)*(COUNTIFS($C$3:$Q$3,"NOTTE",$C11:$Q11,AM$3)=0),"_m","")&amp;IF((AM12&lt;&gt;"Xp")*(AM12&lt;&gt;"Xg")*(COUNTIFS($C$3:$Q$3,"POM",$C12:$Q12,AM$3)=0)*(COUNTIFS($C$3:$Q$3,"NOTTE",$C12:$Q12,AM$3)=0)*(COUNTIFS($C$3:$Q$3,"NOTTE",$C11:$Q11,AM$3)=0),"_p","")&amp;IF((AM12&lt;&gt;"Xn")*(COUNTIFS($C$3:$Q$3,"MAT",$C12:$Q12,AM$3)=0)*(COUNTIFS($C$3:$Q$3,"POM",$C12:$Q12,AM$3)=0)*(COUNTIFS($C$3:$Q$3,"NOTTE",$C12:$Q12,AM$3)=0)*(COUNTIFS($C$3:$Q$3,"NOTTE",$C11:$Q11,AM$3)=0),"_n","")&amp;", ")))</f>
        <v xml:space="preserve">GRECO, </v>
      </c>
      <c r="CQ12" s="9" t="str">
        <f>IF(0+(AN12="X")&gt;0,"",IF(0+((AN12&lt;&gt;"Xm")*(AN12&lt;&gt;"Xg")*(COUNTIFS($C$3:$Q$3,"MAT",$C12:$Q12,AN$3)=0)*(COUNTIFS($C$3:$Q$3,"NOTTE",$C12:$Q12,AN$3)=0)*(COUNTIFS($C$3:$Q$3,"NOTTE",$C11:$Q11,AN$3)=0))+((AN12&lt;&gt;"Xp")*(AN12&lt;&gt;"Xg")*(COUNTIFS($C$3:$Q$3,"POM",$C12:$Q12,AN$3)=0)*(COUNTIFS($C$3:$Q$3,"NOTTE",$C12:$Q12,AN$3)=0)*(COUNTIFS($C$3:$Q$3,"NOTTE",$C11:$Q11,AN$3)=0))+((AN12&lt;&gt;"Xn")*(COUNTIFS($C$3:$Q$3,"MAT",$C12:$Q12,AN$3)=0)*(COUNTIFS($C$3:$Q$3,"POM",$C12:$Q12,AN$3)=0)*(COUNTIFS($C$3:$Q$3,"NOTTE",$C12:$Q12,AN$3)=0)*(COUNTIFS($C$3:$Q$3,"NOTTE",$C11:$Q11,AN$3)=0))=0,"",IF(0+((AN12&lt;&gt;"Xm")*(AN12&lt;&gt;"Xg")*(COUNTIFS($C$3:$Q$3,"MAT",$C12:$Q12,AN$3)=0)*(COUNTIFS($C$3:$Q$3,"NOTTE",$C12:$Q12,AN$3)=0)*(COUNTIFS($C$3:$Q$3,"NOTTE",$C11:$Q11,AN$3)=0))+((AN12&lt;&gt;"Xp")*(AN12&lt;&gt;"Xg")*(COUNTIFS($C$3:$Q$3,"POM",$C12:$Q12,AN$3)=0)*(COUNTIFS($C$3:$Q$3,"NOTTE",$C12:$Q12,AN$3)=0)*(COUNTIFS($C$3:$Q$3,"NOTTE",$C11:$Q11,AN$3)=0))+((AN12&lt;&gt;"Xn")*(COUNTIFS($C$3:$Q$3,"MAT",$C12:$Q12,AN$3)=0)*(COUNTIFS($C$3:$Q$3,"POM",$C12:$Q12,AN$3)=0)*(COUNTIFS($C$3:$Q$3,"NOTTE",$C12:$Q12,AN$3)=0)*(COUNTIFS($C$3:$Q$3,"NOTTE",$C11:$Q11,AN$3)=0))=3,AN$3&amp;", ",AN$3&amp;IF((AN12&lt;&gt;"Xm")*(AN12&lt;&gt;"Xg")*(COUNTIFS($C$3:$Q$3,"MAT",$C12:$Q12,AN$3)=0)*(COUNTIFS($C$3:$Q$3,"NOTTE",$C12:$Q12,AN$3)=0)*(COUNTIFS($C$3:$Q$3,"NOTTE",$C11:$Q11,AN$3)=0),"_m","")&amp;IF((AN12&lt;&gt;"Xp")*(AN12&lt;&gt;"Xg")*(COUNTIFS($C$3:$Q$3,"POM",$C12:$Q12,AN$3)=0)*(COUNTIFS($C$3:$Q$3,"NOTTE",$C12:$Q12,AN$3)=0)*(COUNTIFS($C$3:$Q$3,"NOTTE",$C11:$Q11,AN$3)=0),"_p","")&amp;IF((AN12&lt;&gt;"Xn")*(COUNTIFS($C$3:$Q$3,"MAT",$C12:$Q12,AN$3)=0)*(COUNTIFS($C$3:$Q$3,"POM",$C12:$Q12,AN$3)=0)*(COUNTIFS($C$3:$Q$3,"NOTTE",$C12:$Q12,AN$3)=0)*(COUNTIFS($C$3:$Q$3,"NOTTE",$C11:$Q11,AN$3)=0),"_n","")&amp;", ")))</f>
        <v xml:space="preserve">SANNA, </v>
      </c>
      <c r="CR12" s="9" t="str">
        <f>IF(0+(AO12="X")&gt;0,"",IF(0+((AO12&lt;&gt;"Xm")*(AO12&lt;&gt;"Xg")*(COUNTIFS($C$3:$Q$3,"MAT",$C12:$Q12,AO$3)=0)*(COUNTIFS($C$3:$Q$3,"NOTTE",$C12:$Q12,AO$3)=0)*(COUNTIFS($C$3:$Q$3,"NOTTE",$C11:$Q11,AO$3)=0))+((AO12&lt;&gt;"Xp")*(AO12&lt;&gt;"Xg")*(COUNTIFS($C$3:$Q$3,"POM",$C12:$Q12,AO$3)=0)*(COUNTIFS($C$3:$Q$3,"NOTTE",$C12:$Q12,AO$3)=0)*(COUNTIFS($C$3:$Q$3,"NOTTE",$C11:$Q11,AO$3)=0))+((AO12&lt;&gt;"Xn")*(COUNTIFS($C$3:$Q$3,"MAT",$C12:$Q12,AO$3)=0)*(COUNTIFS($C$3:$Q$3,"POM",$C12:$Q12,AO$3)=0)*(COUNTIFS($C$3:$Q$3,"NOTTE",$C12:$Q12,AO$3)=0)*(COUNTIFS($C$3:$Q$3,"NOTTE",$C11:$Q11,AO$3)=0))=0,"",IF(0+((AO12&lt;&gt;"Xm")*(AO12&lt;&gt;"Xg")*(COUNTIFS($C$3:$Q$3,"MAT",$C12:$Q12,AO$3)=0)*(COUNTIFS($C$3:$Q$3,"NOTTE",$C12:$Q12,AO$3)=0)*(COUNTIFS($C$3:$Q$3,"NOTTE",$C11:$Q11,AO$3)=0))+((AO12&lt;&gt;"Xp")*(AO12&lt;&gt;"Xg")*(COUNTIFS($C$3:$Q$3,"POM",$C12:$Q12,AO$3)=0)*(COUNTIFS($C$3:$Q$3,"NOTTE",$C12:$Q12,AO$3)=0)*(COUNTIFS($C$3:$Q$3,"NOTTE",$C11:$Q11,AO$3)=0))+((AO12&lt;&gt;"Xn")*(COUNTIFS($C$3:$Q$3,"MAT",$C12:$Q12,AO$3)=0)*(COUNTIFS($C$3:$Q$3,"POM",$C12:$Q12,AO$3)=0)*(COUNTIFS($C$3:$Q$3,"NOTTE",$C12:$Q12,AO$3)=0)*(COUNTIFS($C$3:$Q$3,"NOTTE",$C11:$Q11,AO$3)=0))=3,AO$3&amp;", ",AO$3&amp;IF((AO12&lt;&gt;"Xm")*(AO12&lt;&gt;"Xg")*(COUNTIFS($C$3:$Q$3,"MAT",$C12:$Q12,AO$3)=0)*(COUNTIFS($C$3:$Q$3,"NOTTE",$C12:$Q12,AO$3)=0)*(COUNTIFS($C$3:$Q$3,"NOTTE",$C11:$Q11,AO$3)=0),"_m","")&amp;IF((AO12&lt;&gt;"Xp")*(AO12&lt;&gt;"Xg")*(COUNTIFS($C$3:$Q$3,"POM",$C12:$Q12,AO$3)=0)*(COUNTIFS($C$3:$Q$3,"NOTTE",$C12:$Q12,AO$3)=0)*(COUNTIFS($C$3:$Q$3,"NOTTE",$C11:$Q11,AO$3)=0),"_p","")&amp;IF((AO12&lt;&gt;"Xn")*(COUNTIFS($C$3:$Q$3,"MAT",$C12:$Q12,AO$3)=0)*(COUNTIFS($C$3:$Q$3,"POM",$C12:$Q12,AO$3)=0)*(COUNTIFS($C$3:$Q$3,"NOTTE",$C12:$Q12,AO$3)=0)*(COUNTIFS($C$3:$Q$3,"NOTTE",$C11:$Q11,AO$3)=0),"_n","")&amp;", ")))</f>
        <v xml:space="preserve">LI, </v>
      </c>
    </row>
    <row r="13">
      <c r="A13" s="10" t="str">
        <f>CHOOSE(WEEKDAY(DATE($B$1,$A$2,B13),2),"lunedì","martedì","mercoledì","giovedì","venerdì","sabato","domenica")</f>
        <v>martedì</v>
      </c>
      <c r="B13" s="10" t="n">
        <v>10</v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4" t="n"/>
      <c r="Q13" s="11" t="n"/>
      <c r="R13" s="11" t="n"/>
      <c r="S13" s="11">
        <f>IF(SUMPRODUCT(($C$3:$Q$3&lt;&gt;"")*($C13:$Q13&lt;&gt;"")*(LEFT($C13:$Q13,6)&lt;&gt;"chiuso")*(COUNTIFS($C13:$Q13,$C13:$Q13,$C$3:$Q$3,$C$3:$Q$3)&gt;1))&gt;0,"X","")</f>
      </c>
      <c r="T13" s="11" t="str">
        <f>IF(LEN(BP13&amp;BQ13&amp;BR13&amp;BS13&amp;BT13&amp;BU13&amp;BV13&amp;BW13&amp;BX13&amp;BY13&amp;BZ13&amp;CA13&amp;CB13&amp;CC13)=0,"",LEFT(BP13&amp;BQ13&amp;BR13&amp;BS13&amp;BT13&amp;BU13&amp;BV13&amp;BW13&amp;BX13&amp;BY13&amp;BZ13&amp;CA13&amp;CB13&amp;CC13,LEN(BP13&amp;BQ13&amp;BR13&amp;BS13&amp;BT13&amp;BU13&amp;BV13&amp;BW13&amp;BX13&amp;BY13&amp;BZ13&amp;CA13&amp;CB13&amp;CC13)-2))</f>
        <v>LEONI, ROSSI M, ROSSI L, GALLINA, RUSSO, VERDI, HU, MARINI, CONTI A, CONTI S, FERRARI, GRECO, SANNA, LI</v>
      </c>
      <c r="U13" s="11" t="str">
        <f>IF(LEN(CE13&amp;CF13&amp;CG13&amp;CH13&amp;CI13&amp;CJ13&amp;CK13&amp;CL13&amp;CM13&amp;CN13&amp;CO13&amp;CP13&amp;CQ13&amp;CR13)=0,"",LEFT(CE13&amp;CF13&amp;CG13&amp;CH13&amp;CI13&amp;CJ13&amp;CK13&amp;CL13&amp;CM13&amp;CN13&amp;CO13&amp;CP13&amp;CQ13&amp;CR13,LEN(CE13&amp;CF13&amp;CG13&amp;CH13&amp;CI13&amp;CJ13&amp;CK13&amp;CL13&amp;CM13&amp;CN13&amp;CO13&amp;CP13&amp;CQ13&amp;CR13)-2))</f>
        <v>LEONI, ROSSI M, ROSSI L, GALLINA, RUSSO, VERDI, HU, MARINI, CONTI A, CONTI S, FERRARI, GRECO, SANNA, LI</v>
      </c>
      <c r="Z13" s="10" t="str">
        <f>A13</f>
        <v>martedì</v>
      </c>
      <c r="AA13" s="10">
        <f>B13</f>
        <v>10</v>
      </c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T13" s="7" t="str">
        <f>AK$3</f>
        <v>CONTI S</v>
      </c>
      <c r="AU13" s="7">
        <f>COUNTIF($C$4:$D$33,$AT13)</f>
        <v>0</v>
      </c>
      <c r="AV13" s="7">
        <f>COUNTIF($E$4:$F$33,$AT13)</f>
        <v>0</v>
      </c>
      <c r="AW13" s="7">
        <f>COUNTIF($G$4:$H$33,$AT13)</f>
        <v>0</v>
      </c>
      <c r="AX13" s="7">
        <f>COUNTIF($I$4:$J$33,$AT13)</f>
        <v>0</v>
      </c>
      <c r="AY13" s="7">
        <f>COUNTIF($K$4:$K$33,$AT13)</f>
        <v>0</v>
      </c>
      <c r="AZ13" s="7">
        <f>COUNTIF($L$4:$L$33,$AT13)</f>
        <v>0</v>
      </c>
      <c r="BA13" s="7">
        <f>COUNTIF($M$4:$M$33,$AT13)</f>
        <v>0</v>
      </c>
      <c r="BB13" s="7">
        <f>COUNTIF($N$4:$Q$33,$AT13)</f>
        <v>0</v>
      </c>
      <c r="BC13" s="7">
        <f>COUNTIF($C$4:$Q$33,$AT13)</f>
        <v>0</v>
      </c>
      <c r="BE13" s="8" t="str">
        <f>AK$3</f>
        <v>CONTI S</v>
      </c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P13" s="9" t="str">
        <f>IF(0+(AB13="X")&gt;0,"",IF(0+((AB13&lt;&gt;"Xm")*(AB13&lt;&gt;"Xg"))+((AB13&lt;&gt;"Xp")*(AB13&lt;&gt;"Xg"))+((AB13&lt;&gt;"Xn"))=0,"",IF(0+((AB13&lt;&gt;"Xm")*(AB13&lt;&gt;"Xg"))+((AB13&lt;&gt;"Xp")*(AB13&lt;&gt;"Xg"))+((AB13&lt;&gt;"Xn"))=3,AB$3&amp;", ",AB$3&amp;IF((AB13&lt;&gt;"Xm")*(AB13&lt;&gt;"Xg"),"_m","")&amp;IF((AB13&lt;&gt;"Xp")*(AB13&lt;&gt;"Xg"),"_p","")&amp;IF((AB13&lt;&gt;"Xn"),"_n","")&amp;", ")))</f>
        <v xml:space="preserve">LEONI, </v>
      </c>
      <c r="BQ13" s="9" t="str">
        <f>IF(0+(AC13="X")&gt;0,"",IF(0+((AC13&lt;&gt;"Xm")*(AC13&lt;&gt;"Xg"))+((AC13&lt;&gt;"Xp")*(AC13&lt;&gt;"Xg"))+((AC13&lt;&gt;"Xn"))=0,"",IF(0+((AC13&lt;&gt;"Xm")*(AC13&lt;&gt;"Xg"))+((AC13&lt;&gt;"Xp")*(AC13&lt;&gt;"Xg"))+((AC13&lt;&gt;"Xn"))=3,AC$3&amp;", ",AC$3&amp;IF((AC13&lt;&gt;"Xm")*(AC13&lt;&gt;"Xg"),"_m","")&amp;IF((AC13&lt;&gt;"Xp")*(AC13&lt;&gt;"Xg"),"_p","")&amp;IF((AC13&lt;&gt;"Xn"),"_n","")&amp;", ")))</f>
        <v xml:space="preserve">ROSSI M, </v>
      </c>
      <c r="BR13" s="9" t="str">
        <f>IF(0+(AD13="X")&gt;0,"",IF(0+((AD13&lt;&gt;"Xm")*(AD13&lt;&gt;"Xg"))+((AD13&lt;&gt;"Xp")*(AD13&lt;&gt;"Xg"))+((AD13&lt;&gt;"Xn"))=0,"",IF(0+((AD13&lt;&gt;"Xm")*(AD13&lt;&gt;"Xg"))+((AD13&lt;&gt;"Xp")*(AD13&lt;&gt;"Xg"))+((AD13&lt;&gt;"Xn"))=3,AD$3&amp;", ",AD$3&amp;IF((AD13&lt;&gt;"Xm")*(AD13&lt;&gt;"Xg"),"_m","")&amp;IF((AD13&lt;&gt;"Xp")*(AD13&lt;&gt;"Xg"),"_p","")&amp;IF((AD13&lt;&gt;"Xn"),"_n","")&amp;", ")))</f>
        <v xml:space="preserve">ROSSI L, </v>
      </c>
      <c r="BS13" s="9" t="str">
        <f>IF(0+(AE13="X")&gt;0,"",IF(0+((AE13&lt;&gt;"Xm")*(AE13&lt;&gt;"Xg"))+((AE13&lt;&gt;"Xp")*(AE13&lt;&gt;"Xg"))+((AE13&lt;&gt;"Xn"))=0,"",IF(0+((AE13&lt;&gt;"Xm")*(AE13&lt;&gt;"Xg"))+((AE13&lt;&gt;"Xp")*(AE13&lt;&gt;"Xg"))+((AE13&lt;&gt;"Xn"))=3,AE$3&amp;", ",AE$3&amp;IF((AE13&lt;&gt;"Xm")*(AE13&lt;&gt;"Xg"),"_m","")&amp;IF((AE13&lt;&gt;"Xp")*(AE13&lt;&gt;"Xg"),"_p","")&amp;IF((AE13&lt;&gt;"Xn"),"_n","")&amp;", ")))</f>
        <v xml:space="preserve">GALLINA, </v>
      </c>
      <c r="BT13" s="9" t="str">
        <f>IF(0+(AF13="X")&gt;0,"",IF(0+((AF13&lt;&gt;"Xm")*(AF13&lt;&gt;"Xg"))+((AF13&lt;&gt;"Xp")*(AF13&lt;&gt;"Xg"))+((AF13&lt;&gt;"Xn"))=0,"",IF(0+((AF13&lt;&gt;"Xm")*(AF13&lt;&gt;"Xg"))+((AF13&lt;&gt;"Xp")*(AF13&lt;&gt;"Xg"))+((AF13&lt;&gt;"Xn"))=3,AF$3&amp;", ",AF$3&amp;IF((AF13&lt;&gt;"Xm")*(AF13&lt;&gt;"Xg"),"_m","")&amp;IF((AF13&lt;&gt;"Xp")*(AF13&lt;&gt;"Xg"),"_p","")&amp;IF((AF13&lt;&gt;"Xn"),"_n","")&amp;", ")))</f>
        <v xml:space="preserve">RUSSO, </v>
      </c>
      <c r="BU13" s="9" t="str">
        <f>IF(0+(AG13="X")&gt;0,"",IF(0+((AG13&lt;&gt;"Xm")*(AG13&lt;&gt;"Xg"))+((AG13&lt;&gt;"Xp")*(AG13&lt;&gt;"Xg"))+((AG13&lt;&gt;"Xn"))=0,"",IF(0+((AG13&lt;&gt;"Xm")*(AG13&lt;&gt;"Xg"))+((AG13&lt;&gt;"Xp")*(AG13&lt;&gt;"Xg"))+((AG13&lt;&gt;"Xn"))=3,AG$3&amp;", ",AG$3&amp;IF((AG13&lt;&gt;"Xm")*(AG13&lt;&gt;"Xg"),"_m","")&amp;IF((AG13&lt;&gt;"Xp")*(AG13&lt;&gt;"Xg"),"_p","")&amp;IF((AG13&lt;&gt;"Xn"),"_n","")&amp;", ")))</f>
        <v xml:space="preserve">VERDI, </v>
      </c>
      <c r="BV13" s="9" t="str">
        <f>IF(0+(AH13="X")&gt;0,"",IF(0+((AH13&lt;&gt;"Xm")*(AH13&lt;&gt;"Xg"))+((AH13&lt;&gt;"Xp")*(AH13&lt;&gt;"Xg"))+((AH13&lt;&gt;"Xn"))=0,"",IF(0+((AH13&lt;&gt;"Xm")*(AH13&lt;&gt;"Xg"))+((AH13&lt;&gt;"Xp")*(AH13&lt;&gt;"Xg"))+((AH13&lt;&gt;"Xn"))=3,AH$3&amp;", ",AH$3&amp;IF((AH13&lt;&gt;"Xm")*(AH13&lt;&gt;"Xg"),"_m","")&amp;IF((AH13&lt;&gt;"Xp")*(AH13&lt;&gt;"Xg"),"_p","")&amp;IF((AH13&lt;&gt;"Xn"),"_n","")&amp;", ")))</f>
        <v xml:space="preserve">HU, </v>
      </c>
      <c r="BW13" s="9" t="str">
        <f>IF(0+(AI13="X")&gt;0,"",IF(0+((AI13&lt;&gt;"Xm")*(AI13&lt;&gt;"Xg"))+((AI13&lt;&gt;"Xp")*(AI13&lt;&gt;"Xg"))+((AI13&lt;&gt;"Xn"))=0,"",IF(0+((AI13&lt;&gt;"Xm")*(AI13&lt;&gt;"Xg"))+((AI13&lt;&gt;"Xp")*(AI13&lt;&gt;"Xg"))+((AI13&lt;&gt;"Xn"))=3,AI$3&amp;", ",AI$3&amp;IF((AI13&lt;&gt;"Xm")*(AI13&lt;&gt;"Xg"),"_m","")&amp;IF((AI13&lt;&gt;"Xp")*(AI13&lt;&gt;"Xg"),"_p","")&amp;IF((AI13&lt;&gt;"Xn"),"_n","")&amp;", ")))</f>
        <v xml:space="preserve">MARINI, </v>
      </c>
      <c r="BX13" s="9" t="str">
        <f>IF(0+(AJ13="X")&gt;0,"",IF(0+((AJ13&lt;&gt;"Xm")*(AJ13&lt;&gt;"Xg"))+((AJ13&lt;&gt;"Xp")*(AJ13&lt;&gt;"Xg"))+((AJ13&lt;&gt;"Xn"))=0,"",IF(0+((AJ13&lt;&gt;"Xm")*(AJ13&lt;&gt;"Xg"))+((AJ13&lt;&gt;"Xp")*(AJ13&lt;&gt;"Xg"))+((AJ13&lt;&gt;"Xn"))=3,AJ$3&amp;", ",AJ$3&amp;IF((AJ13&lt;&gt;"Xm")*(AJ13&lt;&gt;"Xg"),"_m","")&amp;IF((AJ13&lt;&gt;"Xp")*(AJ13&lt;&gt;"Xg"),"_p","")&amp;IF((AJ13&lt;&gt;"Xn"),"_n","")&amp;", ")))</f>
        <v xml:space="preserve">CONTI A, </v>
      </c>
      <c r="BY13" s="9" t="str">
        <f>IF(0+(AK13="X")&gt;0,"",IF(0+((AK13&lt;&gt;"Xm")*(AK13&lt;&gt;"Xg"))+((AK13&lt;&gt;"Xp")*(AK13&lt;&gt;"Xg"))+((AK13&lt;&gt;"Xn"))=0,"",IF(0+((AK13&lt;&gt;"Xm")*(AK13&lt;&gt;"Xg"))+((AK13&lt;&gt;"Xp")*(AK13&lt;&gt;"Xg"))+((AK13&lt;&gt;"Xn"))=3,AK$3&amp;", ",AK$3&amp;IF((AK13&lt;&gt;"Xm")*(AK13&lt;&gt;"Xg"),"_m","")&amp;IF((AK13&lt;&gt;"Xp")*(AK13&lt;&gt;"Xg"),"_p","")&amp;IF((AK13&lt;&gt;"Xn"),"_n","")&amp;", ")))</f>
        <v xml:space="preserve">CONTI S, </v>
      </c>
      <c r="BZ13" s="9" t="str">
        <f>IF(0+(AL13="X")&gt;0,"",IF(0+((AL13&lt;&gt;"Xm")*(AL13&lt;&gt;"Xg"))+((AL13&lt;&gt;"Xp")*(AL13&lt;&gt;"Xg"))+((AL13&lt;&gt;"Xn"))=0,"",IF(0+((AL13&lt;&gt;"Xm")*(AL13&lt;&gt;"Xg"))+((AL13&lt;&gt;"Xp")*(AL13&lt;&gt;"Xg"))+((AL13&lt;&gt;"Xn"))=3,AL$3&amp;", ",AL$3&amp;IF((AL13&lt;&gt;"Xm")*(AL13&lt;&gt;"Xg"),"_m","")&amp;IF((AL13&lt;&gt;"Xp")*(AL13&lt;&gt;"Xg"),"_p","")&amp;IF((AL13&lt;&gt;"Xn"),"_n","")&amp;", ")))</f>
        <v xml:space="preserve">FERRARI, </v>
      </c>
      <c r="CA13" s="9" t="str">
        <f>IF(0+(AM13="X")&gt;0,"",IF(0+((AM13&lt;&gt;"Xm")*(AM13&lt;&gt;"Xg"))+((AM13&lt;&gt;"Xp")*(AM13&lt;&gt;"Xg"))+((AM13&lt;&gt;"Xn"))=0,"",IF(0+((AM13&lt;&gt;"Xm")*(AM13&lt;&gt;"Xg"))+((AM13&lt;&gt;"Xp")*(AM13&lt;&gt;"Xg"))+((AM13&lt;&gt;"Xn"))=3,AM$3&amp;", ",AM$3&amp;IF((AM13&lt;&gt;"Xm")*(AM13&lt;&gt;"Xg"),"_m","")&amp;IF((AM13&lt;&gt;"Xp")*(AM13&lt;&gt;"Xg"),"_p","")&amp;IF((AM13&lt;&gt;"Xn"),"_n","")&amp;", ")))</f>
        <v xml:space="preserve">GRECO, </v>
      </c>
      <c r="CB13" s="9" t="str">
        <f>IF(0+(AN13="X")&gt;0,"",IF(0+((AN13&lt;&gt;"Xm")*(AN13&lt;&gt;"Xg"))+((AN13&lt;&gt;"Xp")*(AN13&lt;&gt;"Xg"))+((AN13&lt;&gt;"Xn"))=0,"",IF(0+((AN13&lt;&gt;"Xm")*(AN13&lt;&gt;"Xg"))+((AN13&lt;&gt;"Xp")*(AN13&lt;&gt;"Xg"))+((AN13&lt;&gt;"Xn"))=3,AN$3&amp;", ",AN$3&amp;IF((AN13&lt;&gt;"Xm")*(AN13&lt;&gt;"Xg"),"_m","")&amp;IF((AN13&lt;&gt;"Xp")*(AN13&lt;&gt;"Xg"),"_p","")&amp;IF((AN13&lt;&gt;"Xn"),"_n","")&amp;", ")))</f>
        <v xml:space="preserve">SANNA, </v>
      </c>
      <c r="CC13" s="9" t="str">
        <f>IF(0+(AO13="X")&gt;0,"",IF(0+((AO13&lt;&gt;"Xm")*(AO13&lt;&gt;"Xg"))+((AO13&lt;&gt;"Xp")*(AO13&lt;&gt;"Xg"))+((AO13&lt;&gt;"Xn"))=0,"",IF(0+((AO13&lt;&gt;"Xm")*(AO13&lt;&gt;"Xg"))+((AO13&lt;&gt;"Xp")*(AO13&lt;&gt;"Xg"))+((AO13&lt;&gt;"Xn"))=3,AO$3&amp;", ",AO$3&amp;IF((AO13&lt;&gt;"Xm")*(AO13&lt;&gt;"Xg"),"_m","")&amp;IF((AO13&lt;&gt;"Xp")*(AO13&lt;&gt;"Xg"),"_p","")&amp;IF((AO13&lt;&gt;"Xn"),"_n","")&amp;", ")))</f>
        <v xml:space="preserve">LI, </v>
      </c>
      <c r="CD13" s="9" t="n"/>
      <c r="CE13" s="9" t="str">
        <f>IF(0+(AB13="X")&gt;0,"",IF(0+((AB13&lt;&gt;"Xm")*(AB13&lt;&gt;"Xg")*(COUNTIFS($C$3:$Q$3,"MAT",$C13:$Q13,AB$3)=0)*(COUNTIFS($C$3:$Q$3,"NOTTE",$C13:$Q13,AB$3)=0)*(COUNTIFS($C$3:$Q$3,"NOTTE",$C12:$Q12,AB$3)=0))+((AB13&lt;&gt;"Xp")*(AB13&lt;&gt;"Xg")*(COUNTIFS($C$3:$Q$3,"POM",$C13:$Q13,AB$3)=0)*(COUNTIFS($C$3:$Q$3,"NOTTE",$C13:$Q13,AB$3)=0)*(COUNTIFS($C$3:$Q$3,"NOTTE",$C12:$Q12,AB$3)=0))+((AB13&lt;&gt;"Xn")*(COUNTIFS($C$3:$Q$3,"MAT",$C13:$Q13,AB$3)=0)*(COUNTIFS($C$3:$Q$3,"POM",$C13:$Q13,AB$3)=0)*(COUNTIFS($C$3:$Q$3,"NOTTE",$C13:$Q13,AB$3)=0)*(COUNTIFS($C$3:$Q$3,"NOTTE",$C12:$Q12,AB$3)=0))=0,"",IF(0+((AB13&lt;&gt;"Xm")*(AB13&lt;&gt;"Xg")*(COUNTIFS($C$3:$Q$3,"MAT",$C13:$Q13,AB$3)=0)*(COUNTIFS($C$3:$Q$3,"NOTTE",$C13:$Q13,AB$3)=0)*(COUNTIFS($C$3:$Q$3,"NOTTE",$C12:$Q12,AB$3)=0))+((AB13&lt;&gt;"Xp")*(AB13&lt;&gt;"Xg")*(COUNTIFS($C$3:$Q$3,"POM",$C13:$Q13,AB$3)=0)*(COUNTIFS($C$3:$Q$3,"NOTTE",$C13:$Q13,AB$3)=0)*(COUNTIFS($C$3:$Q$3,"NOTTE",$C12:$Q12,AB$3)=0))+((AB13&lt;&gt;"Xn")*(COUNTIFS($C$3:$Q$3,"MAT",$C13:$Q13,AB$3)=0)*(COUNTIFS($C$3:$Q$3,"POM",$C13:$Q13,AB$3)=0)*(COUNTIFS($C$3:$Q$3,"NOTTE",$C13:$Q13,AB$3)=0)*(COUNTIFS($C$3:$Q$3,"NOTTE",$C12:$Q12,AB$3)=0))=3,AB$3&amp;", ",AB$3&amp;IF((AB13&lt;&gt;"Xm")*(AB13&lt;&gt;"Xg")*(COUNTIFS($C$3:$Q$3,"MAT",$C13:$Q13,AB$3)=0)*(COUNTIFS($C$3:$Q$3,"NOTTE",$C13:$Q13,AB$3)=0)*(COUNTIFS($C$3:$Q$3,"NOTTE",$C12:$Q12,AB$3)=0),"_m","")&amp;IF((AB13&lt;&gt;"Xp")*(AB13&lt;&gt;"Xg")*(COUNTIFS($C$3:$Q$3,"POM",$C13:$Q13,AB$3)=0)*(COUNTIFS($C$3:$Q$3,"NOTTE",$C13:$Q13,AB$3)=0)*(COUNTIFS($C$3:$Q$3,"NOTTE",$C12:$Q12,AB$3)=0),"_p","")&amp;IF((AB13&lt;&gt;"Xn")*(COUNTIFS($C$3:$Q$3,"MAT",$C13:$Q13,AB$3)=0)*(COUNTIFS($C$3:$Q$3,"POM",$C13:$Q13,AB$3)=0)*(COUNTIFS($C$3:$Q$3,"NOTTE",$C13:$Q13,AB$3)=0)*(COUNTIFS($C$3:$Q$3,"NOTTE",$C12:$Q12,AB$3)=0),"_n","")&amp;", ")))</f>
        <v xml:space="preserve">LEONI, </v>
      </c>
      <c r="CF13" s="9" t="str">
        <f>IF(0+(AC13="X")&gt;0,"",IF(0+((AC13&lt;&gt;"Xm")*(AC13&lt;&gt;"Xg")*(COUNTIFS($C$3:$Q$3,"MAT",$C13:$Q13,AC$3)=0)*(COUNTIFS($C$3:$Q$3,"NOTTE",$C13:$Q13,AC$3)=0)*(COUNTIFS($C$3:$Q$3,"NOTTE",$C12:$Q12,AC$3)=0))+((AC13&lt;&gt;"Xp")*(AC13&lt;&gt;"Xg")*(COUNTIFS($C$3:$Q$3,"POM",$C13:$Q13,AC$3)=0)*(COUNTIFS($C$3:$Q$3,"NOTTE",$C13:$Q13,AC$3)=0)*(COUNTIFS($C$3:$Q$3,"NOTTE",$C12:$Q12,AC$3)=0))+((AC13&lt;&gt;"Xn")*(COUNTIFS($C$3:$Q$3,"MAT",$C13:$Q13,AC$3)=0)*(COUNTIFS($C$3:$Q$3,"POM",$C13:$Q13,AC$3)=0)*(COUNTIFS($C$3:$Q$3,"NOTTE",$C13:$Q13,AC$3)=0)*(COUNTIFS($C$3:$Q$3,"NOTTE",$C12:$Q12,AC$3)=0))=0,"",IF(0+((AC13&lt;&gt;"Xm")*(AC13&lt;&gt;"Xg")*(COUNTIFS($C$3:$Q$3,"MAT",$C13:$Q13,AC$3)=0)*(COUNTIFS($C$3:$Q$3,"NOTTE",$C13:$Q13,AC$3)=0)*(COUNTIFS($C$3:$Q$3,"NOTTE",$C12:$Q12,AC$3)=0))+((AC13&lt;&gt;"Xp")*(AC13&lt;&gt;"Xg")*(COUNTIFS($C$3:$Q$3,"POM",$C13:$Q13,AC$3)=0)*(COUNTIFS($C$3:$Q$3,"NOTTE",$C13:$Q13,AC$3)=0)*(COUNTIFS($C$3:$Q$3,"NOTTE",$C12:$Q12,AC$3)=0))+((AC13&lt;&gt;"Xn")*(COUNTIFS($C$3:$Q$3,"MAT",$C13:$Q13,AC$3)=0)*(COUNTIFS($C$3:$Q$3,"POM",$C13:$Q13,AC$3)=0)*(COUNTIFS($C$3:$Q$3,"NOTTE",$C13:$Q13,AC$3)=0)*(COUNTIFS($C$3:$Q$3,"NOTTE",$C12:$Q12,AC$3)=0))=3,AC$3&amp;", ",AC$3&amp;IF((AC13&lt;&gt;"Xm")*(AC13&lt;&gt;"Xg")*(COUNTIFS($C$3:$Q$3,"MAT",$C13:$Q13,AC$3)=0)*(COUNTIFS($C$3:$Q$3,"NOTTE",$C13:$Q13,AC$3)=0)*(COUNTIFS($C$3:$Q$3,"NOTTE",$C12:$Q12,AC$3)=0),"_m","")&amp;IF((AC13&lt;&gt;"Xp")*(AC13&lt;&gt;"Xg")*(COUNTIFS($C$3:$Q$3,"POM",$C13:$Q13,AC$3)=0)*(COUNTIFS($C$3:$Q$3,"NOTTE",$C13:$Q13,AC$3)=0)*(COUNTIFS($C$3:$Q$3,"NOTTE",$C12:$Q12,AC$3)=0),"_p","")&amp;IF((AC13&lt;&gt;"Xn")*(COUNTIFS($C$3:$Q$3,"MAT",$C13:$Q13,AC$3)=0)*(COUNTIFS($C$3:$Q$3,"POM",$C13:$Q13,AC$3)=0)*(COUNTIFS($C$3:$Q$3,"NOTTE",$C13:$Q13,AC$3)=0)*(COUNTIFS($C$3:$Q$3,"NOTTE",$C12:$Q12,AC$3)=0),"_n","")&amp;", ")))</f>
        <v xml:space="preserve">ROSSI M, </v>
      </c>
      <c r="CG13" s="9" t="str">
        <f>IF(0+(AD13="X")&gt;0,"",IF(0+((AD13&lt;&gt;"Xm")*(AD13&lt;&gt;"Xg")*(COUNTIFS($C$3:$Q$3,"MAT",$C13:$Q13,AD$3)=0)*(COUNTIFS($C$3:$Q$3,"NOTTE",$C13:$Q13,AD$3)=0)*(COUNTIFS($C$3:$Q$3,"NOTTE",$C12:$Q12,AD$3)=0))+((AD13&lt;&gt;"Xp")*(AD13&lt;&gt;"Xg")*(COUNTIFS($C$3:$Q$3,"POM",$C13:$Q13,AD$3)=0)*(COUNTIFS($C$3:$Q$3,"NOTTE",$C13:$Q13,AD$3)=0)*(COUNTIFS($C$3:$Q$3,"NOTTE",$C12:$Q12,AD$3)=0))+((AD13&lt;&gt;"Xn")*(COUNTIFS($C$3:$Q$3,"MAT",$C13:$Q13,AD$3)=0)*(COUNTIFS($C$3:$Q$3,"POM",$C13:$Q13,AD$3)=0)*(COUNTIFS($C$3:$Q$3,"NOTTE",$C13:$Q13,AD$3)=0)*(COUNTIFS($C$3:$Q$3,"NOTTE",$C12:$Q12,AD$3)=0))=0,"",IF(0+((AD13&lt;&gt;"Xm")*(AD13&lt;&gt;"Xg")*(COUNTIFS($C$3:$Q$3,"MAT",$C13:$Q13,AD$3)=0)*(COUNTIFS($C$3:$Q$3,"NOTTE",$C13:$Q13,AD$3)=0)*(COUNTIFS($C$3:$Q$3,"NOTTE",$C12:$Q12,AD$3)=0))+((AD13&lt;&gt;"Xp")*(AD13&lt;&gt;"Xg")*(COUNTIFS($C$3:$Q$3,"POM",$C13:$Q13,AD$3)=0)*(COUNTIFS($C$3:$Q$3,"NOTTE",$C13:$Q13,AD$3)=0)*(COUNTIFS($C$3:$Q$3,"NOTTE",$C12:$Q12,AD$3)=0))+((AD13&lt;&gt;"Xn")*(COUNTIFS($C$3:$Q$3,"MAT",$C13:$Q13,AD$3)=0)*(COUNTIFS($C$3:$Q$3,"POM",$C13:$Q13,AD$3)=0)*(COUNTIFS($C$3:$Q$3,"NOTTE",$C13:$Q13,AD$3)=0)*(COUNTIFS($C$3:$Q$3,"NOTTE",$C12:$Q12,AD$3)=0))=3,AD$3&amp;", ",AD$3&amp;IF((AD13&lt;&gt;"Xm")*(AD13&lt;&gt;"Xg")*(COUNTIFS($C$3:$Q$3,"MAT",$C13:$Q13,AD$3)=0)*(COUNTIFS($C$3:$Q$3,"NOTTE",$C13:$Q13,AD$3)=0)*(COUNTIFS($C$3:$Q$3,"NOTTE",$C12:$Q12,AD$3)=0),"_m","")&amp;IF((AD13&lt;&gt;"Xp")*(AD13&lt;&gt;"Xg")*(COUNTIFS($C$3:$Q$3,"POM",$C13:$Q13,AD$3)=0)*(COUNTIFS($C$3:$Q$3,"NOTTE",$C13:$Q13,AD$3)=0)*(COUNTIFS($C$3:$Q$3,"NOTTE",$C12:$Q12,AD$3)=0),"_p","")&amp;IF((AD13&lt;&gt;"Xn")*(COUNTIFS($C$3:$Q$3,"MAT",$C13:$Q13,AD$3)=0)*(COUNTIFS($C$3:$Q$3,"POM",$C13:$Q13,AD$3)=0)*(COUNTIFS($C$3:$Q$3,"NOTTE",$C13:$Q13,AD$3)=0)*(COUNTIFS($C$3:$Q$3,"NOTTE",$C12:$Q12,AD$3)=0),"_n","")&amp;", ")))</f>
        <v xml:space="preserve">ROSSI L, </v>
      </c>
      <c r="CH13" s="9" t="str">
        <f>IF(0+(AE13="X")&gt;0,"",IF(0+((AE13&lt;&gt;"Xm")*(AE13&lt;&gt;"Xg")*(COUNTIFS($C$3:$Q$3,"MAT",$C13:$Q13,AE$3)=0)*(COUNTIFS($C$3:$Q$3,"NOTTE",$C13:$Q13,AE$3)=0)*(COUNTIFS($C$3:$Q$3,"NOTTE",$C12:$Q12,AE$3)=0))+((AE13&lt;&gt;"Xp")*(AE13&lt;&gt;"Xg")*(COUNTIFS($C$3:$Q$3,"POM",$C13:$Q13,AE$3)=0)*(COUNTIFS($C$3:$Q$3,"NOTTE",$C13:$Q13,AE$3)=0)*(COUNTIFS($C$3:$Q$3,"NOTTE",$C12:$Q12,AE$3)=0))+((AE13&lt;&gt;"Xn")*(COUNTIFS($C$3:$Q$3,"MAT",$C13:$Q13,AE$3)=0)*(COUNTIFS($C$3:$Q$3,"POM",$C13:$Q13,AE$3)=0)*(COUNTIFS($C$3:$Q$3,"NOTTE",$C13:$Q13,AE$3)=0)*(COUNTIFS($C$3:$Q$3,"NOTTE",$C12:$Q12,AE$3)=0))=0,"",IF(0+((AE13&lt;&gt;"Xm")*(AE13&lt;&gt;"Xg")*(COUNTIFS($C$3:$Q$3,"MAT",$C13:$Q13,AE$3)=0)*(COUNTIFS($C$3:$Q$3,"NOTTE",$C13:$Q13,AE$3)=0)*(COUNTIFS($C$3:$Q$3,"NOTTE",$C12:$Q12,AE$3)=0))+((AE13&lt;&gt;"Xp")*(AE13&lt;&gt;"Xg")*(COUNTIFS($C$3:$Q$3,"POM",$C13:$Q13,AE$3)=0)*(COUNTIFS($C$3:$Q$3,"NOTTE",$C13:$Q13,AE$3)=0)*(COUNTIFS($C$3:$Q$3,"NOTTE",$C12:$Q12,AE$3)=0))+((AE13&lt;&gt;"Xn")*(COUNTIFS($C$3:$Q$3,"MAT",$C13:$Q13,AE$3)=0)*(COUNTIFS($C$3:$Q$3,"POM",$C13:$Q13,AE$3)=0)*(COUNTIFS($C$3:$Q$3,"NOTTE",$C13:$Q13,AE$3)=0)*(COUNTIFS($C$3:$Q$3,"NOTTE",$C12:$Q12,AE$3)=0))=3,AE$3&amp;", ",AE$3&amp;IF((AE13&lt;&gt;"Xm")*(AE13&lt;&gt;"Xg")*(COUNTIFS($C$3:$Q$3,"MAT",$C13:$Q13,AE$3)=0)*(COUNTIFS($C$3:$Q$3,"NOTTE",$C13:$Q13,AE$3)=0)*(COUNTIFS($C$3:$Q$3,"NOTTE",$C12:$Q12,AE$3)=0),"_m","")&amp;IF((AE13&lt;&gt;"Xp")*(AE13&lt;&gt;"Xg")*(COUNTIFS($C$3:$Q$3,"POM",$C13:$Q13,AE$3)=0)*(COUNTIFS($C$3:$Q$3,"NOTTE",$C13:$Q13,AE$3)=0)*(COUNTIFS($C$3:$Q$3,"NOTTE",$C12:$Q12,AE$3)=0),"_p","")&amp;IF((AE13&lt;&gt;"Xn")*(COUNTIFS($C$3:$Q$3,"MAT",$C13:$Q13,AE$3)=0)*(COUNTIFS($C$3:$Q$3,"POM",$C13:$Q13,AE$3)=0)*(COUNTIFS($C$3:$Q$3,"NOTTE",$C13:$Q13,AE$3)=0)*(COUNTIFS($C$3:$Q$3,"NOTTE",$C12:$Q12,AE$3)=0),"_n","")&amp;", ")))</f>
        <v xml:space="preserve">GALLINA, </v>
      </c>
      <c r="CI13" s="9" t="str">
        <f>IF(0+(AF13="X")&gt;0,"",IF(0+((AF13&lt;&gt;"Xm")*(AF13&lt;&gt;"Xg")*(COUNTIFS($C$3:$Q$3,"MAT",$C13:$Q13,AF$3)=0)*(COUNTIFS($C$3:$Q$3,"NOTTE",$C13:$Q13,AF$3)=0)*(COUNTIFS($C$3:$Q$3,"NOTTE",$C12:$Q12,AF$3)=0))+((AF13&lt;&gt;"Xp")*(AF13&lt;&gt;"Xg")*(COUNTIFS($C$3:$Q$3,"POM",$C13:$Q13,AF$3)=0)*(COUNTIFS($C$3:$Q$3,"NOTTE",$C13:$Q13,AF$3)=0)*(COUNTIFS($C$3:$Q$3,"NOTTE",$C12:$Q12,AF$3)=0))+((AF13&lt;&gt;"Xn")*(COUNTIFS($C$3:$Q$3,"MAT",$C13:$Q13,AF$3)=0)*(COUNTIFS($C$3:$Q$3,"POM",$C13:$Q13,AF$3)=0)*(COUNTIFS($C$3:$Q$3,"NOTTE",$C13:$Q13,AF$3)=0)*(COUNTIFS($C$3:$Q$3,"NOTTE",$C12:$Q12,AF$3)=0))=0,"",IF(0+((AF13&lt;&gt;"Xm")*(AF13&lt;&gt;"Xg")*(COUNTIFS($C$3:$Q$3,"MAT",$C13:$Q13,AF$3)=0)*(COUNTIFS($C$3:$Q$3,"NOTTE",$C13:$Q13,AF$3)=0)*(COUNTIFS($C$3:$Q$3,"NOTTE",$C12:$Q12,AF$3)=0))+((AF13&lt;&gt;"Xp")*(AF13&lt;&gt;"Xg")*(COUNTIFS($C$3:$Q$3,"POM",$C13:$Q13,AF$3)=0)*(COUNTIFS($C$3:$Q$3,"NOTTE",$C13:$Q13,AF$3)=0)*(COUNTIFS($C$3:$Q$3,"NOTTE",$C12:$Q12,AF$3)=0))+((AF13&lt;&gt;"Xn")*(COUNTIFS($C$3:$Q$3,"MAT",$C13:$Q13,AF$3)=0)*(COUNTIFS($C$3:$Q$3,"POM",$C13:$Q13,AF$3)=0)*(COUNTIFS($C$3:$Q$3,"NOTTE",$C13:$Q13,AF$3)=0)*(COUNTIFS($C$3:$Q$3,"NOTTE",$C12:$Q12,AF$3)=0))=3,AF$3&amp;", ",AF$3&amp;IF((AF13&lt;&gt;"Xm")*(AF13&lt;&gt;"Xg")*(COUNTIFS($C$3:$Q$3,"MAT",$C13:$Q13,AF$3)=0)*(COUNTIFS($C$3:$Q$3,"NOTTE",$C13:$Q13,AF$3)=0)*(COUNTIFS($C$3:$Q$3,"NOTTE",$C12:$Q12,AF$3)=0),"_m","")&amp;IF((AF13&lt;&gt;"Xp")*(AF13&lt;&gt;"Xg")*(COUNTIFS($C$3:$Q$3,"POM",$C13:$Q13,AF$3)=0)*(COUNTIFS($C$3:$Q$3,"NOTTE",$C13:$Q13,AF$3)=0)*(COUNTIFS($C$3:$Q$3,"NOTTE",$C12:$Q12,AF$3)=0),"_p","")&amp;IF((AF13&lt;&gt;"Xn")*(COUNTIFS($C$3:$Q$3,"MAT",$C13:$Q13,AF$3)=0)*(COUNTIFS($C$3:$Q$3,"POM",$C13:$Q13,AF$3)=0)*(COUNTIFS($C$3:$Q$3,"NOTTE",$C13:$Q13,AF$3)=0)*(COUNTIFS($C$3:$Q$3,"NOTTE",$C12:$Q12,AF$3)=0),"_n","")&amp;", ")))</f>
        <v xml:space="preserve">RUSSO, </v>
      </c>
      <c r="CJ13" s="9" t="str">
        <f>IF(0+(AG13="X")&gt;0,"",IF(0+((AG13&lt;&gt;"Xm")*(AG13&lt;&gt;"Xg")*(COUNTIFS($C$3:$Q$3,"MAT",$C13:$Q13,AG$3)=0)*(COUNTIFS($C$3:$Q$3,"NOTTE",$C13:$Q13,AG$3)=0)*(COUNTIFS($C$3:$Q$3,"NOTTE",$C12:$Q12,AG$3)=0))+((AG13&lt;&gt;"Xp")*(AG13&lt;&gt;"Xg")*(COUNTIFS($C$3:$Q$3,"POM",$C13:$Q13,AG$3)=0)*(COUNTIFS($C$3:$Q$3,"NOTTE",$C13:$Q13,AG$3)=0)*(COUNTIFS($C$3:$Q$3,"NOTTE",$C12:$Q12,AG$3)=0))+((AG13&lt;&gt;"Xn")*(COUNTIFS($C$3:$Q$3,"MAT",$C13:$Q13,AG$3)=0)*(COUNTIFS($C$3:$Q$3,"POM",$C13:$Q13,AG$3)=0)*(COUNTIFS($C$3:$Q$3,"NOTTE",$C13:$Q13,AG$3)=0)*(COUNTIFS($C$3:$Q$3,"NOTTE",$C12:$Q12,AG$3)=0))=0,"",IF(0+((AG13&lt;&gt;"Xm")*(AG13&lt;&gt;"Xg")*(COUNTIFS($C$3:$Q$3,"MAT",$C13:$Q13,AG$3)=0)*(COUNTIFS($C$3:$Q$3,"NOTTE",$C13:$Q13,AG$3)=0)*(COUNTIFS($C$3:$Q$3,"NOTTE",$C12:$Q12,AG$3)=0))+((AG13&lt;&gt;"Xp")*(AG13&lt;&gt;"Xg")*(COUNTIFS($C$3:$Q$3,"POM",$C13:$Q13,AG$3)=0)*(COUNTIFS($C$3:$Q$3,"NOTTE",$C13:$Q13,AG$3)=0)*(COUNTIFS($C$3:$Q$3,"NOTTE",$C12:$Q12,AG$3)=0))+((AG13&lt;&gt;"Xn")*(COUNTIFS($C$3:$Q$3,"MAT",$C13:$Q13,AG$3)=0)*(COUNTIFS($C$3:$Q$3,"POM",$C13:$Q13,AG$3)=0)*(COUNTIFS($C$3:$Q$3,"NOTTE",$C13:$Q13,AG$3)=0)*(COUNTIFS($C$3:$Q$3,"NOTTE",$C12:$Q12,AG$3)=0))=3,AG$3&amp;", ",AG$3&amp;IF((AG13&lt;&gt;"Xm")*(AG13&lt;&gt;"Xg")*(COUNTIFS($C$3:$Q$3,"MAT",$C13:$Q13,AG$3)=0)*(COUNTIFS($C$3:$Q$3,"NOTTE",$C13:$Q13,AG$3)=0)*(COUNTIFS($C$3:$Q$3,"NOTTE",$C12:$Q12,AG$3)=0),"_m","")&amp;IF((AG13&lt;&gt;"Xp")*(AG13&lt;&gt;"Xg")*(COUNTIFS($C$3:$Q$3,"POM",$C13:$Q13,AG$3)=0)*(COUNTIFS($C$3:$Q$3,"NOTTE",$C13:$Q13,AG$3)=0)*(COUNTIFS($C$3:$Q$3,"NOTTE",$C12:$Q12,AG$3)=0),"_p","")&amp;IF((AG13&lt;&gt;"Xn")*(COUNTIFS($C$3:$Q$3,"MAT",$C13:$Q13,AG$3)=0)*(COUNTIFS($C$3:$Q$3,"POM",$C13:$Q13,AG$3)=0)*(COUNTIFS($C$3:$Q$3,"NOTTE",$C13:$Q13,AG$3)=0)*(COUNTIFS($C$3:$Q$3,"NOTTE",$C12:$Q12,AG$3)=0),"_n","")&amp;", ")))</f>
        <v xml:space="preserve">VERDI, </v>
      </c>
      <c r="CK13" s="9" t="str">
        <f>IF(0+(AH13="X")&gt;0,"",IF(0+((AH13&lt;&gt;"Xm")*(AH13&lt;&gt;"Xg")*(COUNTIFS($C$3:$Q$3,"MAT",$C13:$Q13,AH$3)=0)*(COUNTIFS($C$3:$Q$3,"NOTTE",$C13:$Q13,AH$3)=0)*(COUNTIFS($C$3:$Q$3,"NOTTE",$C12:$Q12,AH$3)=0))+((AH13&lt;&gt;"Xp")*(AH13&lt;&gt;"Xg")*(COUNTIFS($C$3:$Q$3,"POM",$C13:$Q13,AH$3)=0)*(COUNTIFS($C$3:$Q$3,"NOTTE",$C13:$Q13,AH$3)=0)*(COUNTIFS($C$3:$Q$3,"NOTTE",$C12:$Q12,AH$3)=0))+((AH13&lt;&gt;"Xn")*(COUNTIFS($C$3:$Q$3,"MAT",$C13:$Q13,AH$3)=0)*(COUNTIFS($C$3:$Q$3,"POM",$C13:$Q13,AH$3)=0)*(COUNTIFS($C$3:$Q$3,"NOTTE",$C13:$Q13,AH$3)=0)*(COUNTIFS($C$3:$Q$3,"NOTTE",$C12:$Q12,AH$3)=0))=0,"",IF(0+((AH13&lt;&gt;"Xm")*(AH13&lt;&gt;"Xg")*(COUNTIFS($C$3:$Q$3,"MAT",$C13:$Q13,AH$3)=0)*(COUNTIFS($C$3:$Q$3,"NOTTE",$C13:$Q13,AH$3)=0)*(COUNTIFS($C$3:$Q$3,"NOTTE",$C12:$Q12,AH$3)=0))+((AH13&lt;&gt;"Xp")*(AH13&lt;&gt;"Xg")*(COUNTIFS($C$3:$Q$3,"POM",$C13:$Q13,AH$3)=0)*(COUNTIFS($C$3:$Q$3,"NOTTE",$C13:$Q13,AH$3)=0)*(COUNTIFS($C$3:$Q$3,"NOTTE",$C12:$Q12,AH$3)=0))+((AH13&lt;&gt;"Xn")*(COUNTIFS($C$3:$Q$3,"MAT",$C13:$Q13,AH$3)=0)*(COUNTIFS($C$3:$Q$3,"POM",$C13:$Q13,AH$3)=0)*(COUNTIFS($C$3:$Q$3,"NOTTE",$C13:$Q13,AH$3)=0)*(COUNTIFS($C$3:$Q$3,"NOTTE",$C12:$Q12,AH$3)=0))=3,AH$3&amp;", ",AH$3&amp;IF((AH13&lt;&gt;"Xm")*(AH13&lt;&gt;"Xg")*(COUNTIFS($C$3:$Q$3,"MAT",$C13:$Q13,AH$3)=0)*(COUNTIFS($C$3:$Q$3,"NOTTE",$C13:$Q13,AH$3)=0)*(COUNTIFS($C$3:$Q$3,"NOTTE",$C12:$Q12,AH$3)=0),"_m","")&amp;IF((AH13&lt;&gt;"Xp")*(AH13&lt;&gt;"Xg")*(COUNTIFS($C$3:$Q$3,"POM",$C13:$Q13,AH$3)=0)*(COUNTIFS($C$3:$Q$3,"NOTTE",$C13:$Q13,AH$3)=0)*(COUNTIFS($C$3:$Q$3,"NOTTE",$C12:$Q12,AH$3)=0),"_p","")&amp;IF((AH13&lt;&gt;"Xn")*(COUNTIFS($C$3:$Q$3,"MAT",$C13:$Q13,AH$3)=0)*(COUNTIFS($C$3:$Q$3,"POM",$C13:$Q13,AH$3)=0)*(COUNTIFS($C$3:$Q$3,"NOTTE",$C13:$Q13,AH$3)=0)*(COUNTIFS($C$3:$Q$3,"NOTTE",$C12:$Q12,AH$3)=0),"_n","")&amp;", ")))</f>
        <v xml:space="preserve">HU, </v>
      </c>
      <c r="CL13" s="9" t="str">
        <f>IF(0+(AI13="X")&gt;0,"",IF(0+((AI13&lt;&gt;"Xm")*(AI13&lt;&gt;"Xg")*(COUNTIFS($C$3:$Q$3,"MAT",$C13:$Q13,AI$3)=0)*(COUNTIFS($C$3:$Q$3,"NOTTE",$C13:$Q13,AI$3)=0)*(COUNTIFS($C$3:$Q$3,"NOTTE",$C12:$Q12,AI$3)=0))+((AI13&lt;&gt;"Xp")*(AI13&lt;&gt;"Xg")*(COUNTIFS($C$3:$Q$3,"POM",$C13:$Q13,AI$3)=0)*(COUNTIFS($C$3:$Q$3,"NOTTE",$C13:$Q13,AI$3)=0)*(COUNTIFS($C$3:$Q$3,"NOTTE",$C12:$Q12,AI$3)=0))+((AI13&lt;&gt;"Xn")*(COUNTIFS($C$3:$Q$3,"MAT",$C13:$Q13,AI$3)=0)*(COUNTIFS($C$3:$Q$3,"POM",$C13:$Q13,AI$3)=0)*(COUNTIFS($C$3:$Q$3,"NOTTE",$C13:$Q13,AI$3)=0)*(COUNTIFS($C$3:$Q$3,"NOTTE",$C12:$Q12,AI$3)=0))=0,"",IF(0+((AI13&lt;&gt;"Xm")*(AI13&lt;&gt;"Xg")*(COUNTIFS($C$3:$Q$3,"MAT",$C13:$Q13,AI$3)=0)*(COUNTIFS($C$3:$Q$3,"NOTTE",$C13:$Q13,AI$3)=0)*(COUNTIFS($C$3:$Q$3,"NOTTE",$C12:$Q12,AI$3)=0))+((AI13&lt;&gt;"Xp")*(AI13&lt;&gt;"Xg")*(COUNTIFS($C$3:$Q$3,"POM",$C13:$Q13,AI$3)=0)*(COUNTIFS($C$3:$Q$3,"NOTTE",$C13:$Q13,AI$3)=0)*(COUNTIFS($C$3:$Q$3,"NOTTE",$C12:$Q12,AI$3)=0))+((AI13&lt;&gt;"Xn")*(COUNTIFS($C$3:$Q$3,"MAT",$C13:$Q13,AI$3)=0)*(COUNTIFS($C$3:$Q$3,"POM",$C13:$Q13,AI$3)=0)*(COUNTIFS($C$3:$Q$3,"NOTTE",$C13:$Q13,AI$3)=0)*(COUNTIFS($C$3:$Q$3,"NOTTE",$C12:$Q12,AI$3)=0))=3,AI$3&amp;", ",AI$3&amp;IF((AI13&lt;&gt;"Xm")*(AI13&lt;&gt;"Xg")*(COUNTIFS($C$3:$Q$3,"MAT",$C13:$Q13,AI$3)=0)*(COUNTIFS($C$3:$Q$3,"NOTTE",$C13:$Q13,AI$3)=0)*(COUNTIFS($C$3:$Q$3,"NOTTE",$C12:$Q12,AI$3)=0),"_m","")&amp;IF((AI13&lt;&gt;"Xp")*(AI13&lt;&gt;"Xg")*(COUNTIFS($C$3:$Q$3,"POM",$C13:$Q13,AI$3)=0)*(COUNTIFS($C$3:$Q$3,"NOTTE",$C13:$Q13,AI$3)=0)*(COUNTIFS($C$3:$Q$3,"NOTTE",$C12:$Q12,AI$3)=0),"_p","")&amp;IF((AI13&lt;&gt;"Xn")*(COUNTIFS($C$3:$Q$3,"MAT",$C13:$Q13,AI$3)=0)*(COUNTIFS($C$3:$Q$3,"POM",$C13:$Q13,AI$3)=0)*(COUNTIFS($C$3:$Q$3,"NOTTE",$C13:$Q13,AI$3)=0)*(COUNTIFS($C$3:$Q$3,"NOTTE",$C12:$Q12,AI$3)=0),"_n","")&amp;", ")))</f>
        <v xml:space="preserve">MARINI, </v>
      </c>
      <c r="CM13" s="9" t="str">
        <f>IF(0+(AJ13="X")&gt;0,"",IF(0+((AJ13&lt;&gt;"Xm")*(AJ13&lt;&gt;"Xg")*(COUNTIFS($C$3:$Q$3,"MAT",$C13:$Q13,AJ$3)=0)*(COUNTIFS($C$3:$Q$3,"NOTTE",$C13:$Q13,AJ$3)=0)*(COUNTIFS($C$3:$Q$3,"NOTTE",$C12:$Q12,AJ$3)=0))+((AJ13&lt;&gt;"Xp")*(AJ13&lt;&gt;"Xg")*(COUNTIFS($C$3:$Q$3,"POM",$C13:$Q13,AJ$3)=0)*(COUNTIFS($C$3:$Q$3,"NOTTE",$C13:$Q13,AJ$3)=0)*(COUNTIFS($C$3:$Q$3,"NOTTE",$C12:$Q12,AJ$3)=0))+((AJ13&lt;&gt;"Xn")*(COUNTIFS($C$3:$Q$3,"MAT",$C13:$Q13,AJ$3)=0)*(COUNTIFS($C$3:$Q$3,"POM",$C13:$Q13,AJ$3)=0)*(COUNTIFS($C$3:$Q$3,"NOTTE",$C13:$Q13,AJ$3)=0)*(COUNTIFS($C$3:$Q$3,"NOTTE",$C12:$Q12,AJ$3)=0))=0,"",IF(0+((AJ13&lt;&gt;"Xm")*(AJ13&lt;&gt;"Xg")*(COUNTIFS($C$3:$Q$3,"MAT",$C13:$Q13,AJ$3)=0)*(COUNTIFS($C$3:$Q$3,"NOTTE",$C13:$Q13,AJ$3)=0)*(COUNTIFS($C$3:$Q$3,"NOTTE",$C12:$Q12,AJ$3)=0))+((AJ13&lt;&gt;"Xp")*(AJ13&lt;&gt;"Xg")*(COUNTIFS($C$3:$Q$3,"POM",$C13:$Q13,AJ$3)=0)*(COUNTIFS($C$3:$Q$3,"NOTTE",$C13:$Q13,AJ$3)=0)*(COUNTIFS($C$3:$Q$3,"NOTTE",$C12:$Q12,AJ$3)=0))+((AJ13&lt;&gt;"Xn")*(COUNTIFS($C$3:$Q$3,"MAT",$C13:$Q13,AJ$3)=0)*(COUNTIFS($C$3:$Q$3,"POM",$C13:$Q13,AJ$3)=0)*(COUNTIFS($C$3:$Q$3,"NOTTE",$C13:$Q13,AJ$3)=0)*(COUNTIFS($C$3:$Q$3,"NOTTE",$C12:$Q12,AJ$3)=0))=3,AJ$3&amp;", ",AJ$3&amp;IF((AJ13&lt;&gt;"Xm")*(AJ13&lt;&gt;"Xg")*(COUNTIFS($C$3:$Q$3,"MAT",$C13:$Q13,AJ$3)=0)*(COUNTIFS($C$3:$Q$3,"NOTTE",$C13:$Q13,AJ$3)=0)*(COUNTIFS($C$3:$Q$3,"NOTTE",$C12:$Q12,AJ$3)=0),"_m","")&amp;IF((AJ13&lt;&gt;"Xp")*(AJ13&lt;&gt;"Xg")*(COUNTIFS($C$3:$Q$3,"POM",$C13:$Q13,AJ$3)=0)*(COUNTIFS($C$3:$Q$3,"NOTTE",$C13:$Q13,AJ$3)=0)*(COUNTIFS($C$3:$Q$3,"NOTTE",$C12:$Q12,AJ$3)=0),"_p","")&amp;IF((AJ13&lt;&gt;"Xn")*(COUNTIFS($C$3:$Q$3,"MAT",$C13:$Q13,AJ$3)=0)*(COUNTIFS($C$3:$Q$3,"POM",$C13:$Q13,AJ$3)=0)*(COUNTIFS($C$3:$Q$3,"NOTTE",$C13:$Q13,AJ$3)=0)*(COUNTIFS($C$3:$Q$3,"NOTTE",$C12:$Q12,AJ$3)=0),"_n","")&amp;", ")))</f>
        <v xml:space="preserve">CONTI A, </v>
      </c>
      <c r="CN13" s="9" t="str">
        <f>IF(0+(AK13="X")&gt;0,"",IF(0+((AK13&lt;&gt;"Xm")*(AK13&lt;&gt;"Xg")*(COUNTIFS($C$3:$Q$3,"MAT",$C13:$Q13,AK$3)=0)*(COUNTIFS($C$3:$Q$3,"NOTTE",$C13:$Q13,AK$3)=0)*(COUNTIFS($C$3:$Q$3,"NOTTE",$C12:$Q12,AK$3)=0))+((AK13&lt;&gt;"Xp")*(AK13&lt;&gt;"Xg")*(COUNTIFS($C$3:$Q$3,"POM",$C13:$Q13,AK$3)=0)*(COUNTIFS($C$3:$Q$3,"NOTTE",$C13:$Q13,AK$3)=0)*(COUNTIFS($C$3:$Q$3,"NOTTE",$C12:$Q12,AK$3)=0))+((AK13&lt;&gt;"Xn")*(COUNTIFS($C$3:$Q$3,"MAT",$C13:$Q13,AK$3)=0)*(COUNTIFS($C$3:$Q$3,"POM",$C13:$Q13,AK$3)=0)*(COUNTIFS($C$3:$Q$3,"NOTTE",$C13:$Q13,AK$3)=0)*(COUNTIFS($C$3:$Q$3,"NOTTE",$C12:$Q12,AK$3)=0))=0,"",IF(0+((AK13&lt;&gt;"Xm")*(AK13&lt;&gt;"Xg")*(COUNTIFS($C$3:$Q$3,"MAT",$C13:$Q13,AK$3)=0)*(COUNTIFS($C$3:$Q$3,"NOTTE",$C13:$Q13,AK$3)=0)*(COUNTIFS($C$3:$Q$3,"NOTTE",$C12:$Q12,AK$3)=0))+((AK13&lt;&gt;"Xp")*(AK13&lt;&gt;"Xg")*(COUNTIFS($C$3:$Q$3,"POM",$C13:$Q13,AK$3)=0)*(COUNTIFS($C$3:$Q$3,"NOTTE",$C13:$Q13,AK$3)=0)*(COUNTIFS($C$3:$Q$3,"NOTTE",$C12:$Q12,AK$3)=0))+((AK13&lt;&gt;"Xn")*(COUNTIFS($C$3:$Q$3,"MAT",$C13:$Q13,AK$3)=0)*(COUNTIFS($C$3:$Q$3,"POM",$C13:$Q13,AK$3)=0)*(COUNTIFS($C$3:$Q$3,"NOTTE",$C13:$Q13,AK$3)=0)*(COUNTIFS($C$3:$Q$3,"NOTTE",$C12:$Q12,AK$3)=0))=3,AK$3&amp;", ",AK$3&amp;IF((AK13&lt;&gt;"Xm")*(AK13&lt;&gt;"Xg")*(COUNTIFS($C$3:$Q$3,"MAT",$C13:$Q13,AK$3)=0)*(COUNTIFS($C$3:$Q$3,"NOTTE",$C13:$Q13,AK$3)=0)*(COUNTIFS($C$3:$Q$3,"NOTTE",$C12:$Q12,AK$3)=0),"_m","")&amp;IF((AK13&lt;&gt;"Xp")*(AK13&lt;&gt;"Xg")*(COUNTIFS($C$3:$Q$3,"POM",$C13:$Q13,AK$3)=0)*(COUNTIFS($C$3:$Q$3,"NOTTE",$C13:$Q13,AK$3)=0)*(COUNTIFS($C$3:$Q$3,"NOTTE",$C12:$Q12,AK$3)=0),"_p","")&amp;IF((AK13&lt;&gt;"Xn")*(COUNTIFS($C$3:$Q$3,"MAT",$C13:$Q13,AK$3)=0)*(COUNTIFS($C$3:$Q$3,"POM",$C13:$Q13,AK$3)=0)*(COUNTIFS($C$3:$Q$3,"NOTTE",$C13:$Q13,AK$3)=0)*(COUNTIFS($C$3:$Q$3,"NOTTE",$C12:$Q12,AK$3)=0),"_n","")&amp;", ")))</f>
        <v xml:space="preserve">CONTI S, </v>
      </c>
      <c r="CO13" s="9" t="str">
        <f>IF(0+(AL13="X")&gt;0,"",IF(0+((AL13&lt;&gt;"Xm")*(AL13&lt;&gt;"Xg")*(COUNTIFS($C$3:$Q$3,"MAT",$C13:$Q13,AL$3)=0)*(COUNTIFS($C$3:$Q$3,"NOTTE",$C13:$Q13,AL$3)=0)*(COUNTIFS($C$3:$Q$3,"NOTTE",$C12:$Q12,AL$3)=0))+((AL13&lt;&gt;"Xp")*(AL13&lt;&gt;"Xg")*(COUNTIFS($C$3:$Q$3,"POM",$C13:$Q13,AL$3)=0)*(COUNTIFS($C$3:$Q$3,"NOTTE",$C13:$Q13,AL$3)=0)*(COUNTIFS($C$3:$Q$3,"NOTTE",$C12:$Q12,AL$3)=0))+((AL13&lt;&gt;"Xn")*(COUNTIFS($C$3:$Q$3,"MAT",$C13:$Q13,AL$3)=0)*(COUNTIFS($C$3:$Q$3,"POM",$C13:$Q13,AL$3)=0)*(COUNTIFS($C$3:$Q$3,"NOTTE",$C13:$Q13,AL$3)=0)*(COUNTIFS($C$3:$Q$3,"NOTTE",$C12:$Q12,AL$3)=0))=0,"",IF(0+((AL13&lt;&gt;"Xm")*(AL13&lt;&gt;"Xg")*(COUNTIFS($C$3:$Q$3,"MAT",$C13:$Q13,AL$3)=0)*(COUNTIFS($C$3:$Q$3,"NOTTE",$C13:$Q13,AL$3)=0)*(COUNTIFS($C$3:$Q$3,"NOTTE",$C12:$Q12,AL$3)=0))+((AL13&lt;&gt;"Xp")*(AL13&lt;&gt;"Xg")*(COUNTIFS($C$3:$Q$3,"POM",$C13:$Q13,AL$3)=0)*(COUNTIFS($C$3:$Q$3,"NOTTE",$C13:$Q13,AL$3)=0)*(COUNTIFS($C$3:$Q$3,"NOTTE",$C12:$Q12,AL$3)=0))+((AL13&lt;&gt;"Xn")*(COUNTIFS($C$3:$Q$3,"MAT",$C13:$Q13,AL$3)=0)*(COUNTIFS($C$3:$Q$3,"POM",$C13:$Q13,AL$3)=0)*(COUNTIFS($C$3:$Q$3,"NOTTE",$C13:$Q13,AL$3)=0)*(COUNTIFS($C$3:$Q$3,"NOTTE",$C12:$Q12,AL$3)=0))=3,AL$3&amp;", ",AL$3&amp;IF((AL13&lt;&gt;"Xm")*(AL13&lt;&gt;"Xg")*(COUNTIFS($C$3:$Q$3,"MAT",$C13:$Q13,AL$3)=0)*(COUNTIFS($C$3:$Q$3,"NOTTE",$C13:$Q13,AL$3)=0)*(COUNTIFS($C$3:$Q$3,"NOTTE",$C12:$Q12,AL$3)=0),"_m","")&amp;IF((AL13&lt;&gt;"Xp")*(AL13&lt;&gt;"Xg")*(COUNTIFS($C$3:$Q$3,"POM",$C13:$Q13,AL$3)=0)*(COUNTIFS($C$3:$Q$3,"NOTTE",$C13:$Q13,AL$3)=0)*(COUNTIFS($C$3:$Q$3,"NOTTE",$C12:$Q12,AL$3)=0),"_p","")&amp;IF((AL13&lt;&gt;"Xn")*(COUNTIFS($C$3:$Q$3,"MAT",$C13:$Q13,AL$3)=0)*(COUNTIFS($C$3:$Q$3,"POM",$C13:$Q13,AL$3)=0)*(COUNTIFS($C$3:$Q$3,"NOTTE",$C13:$Q13,AL$3)=0)*(COUNTIFS($C$3:$Q$3,"NOTTE",$C12:$Q12,AL$3)=0),"_n","")&amp;", ")))</f>
        <v xml:space="preserve">FERRARI, </v>
      </c>
      <c r="CP13" s="9" t="str">
        <f>IF(0+(AM13="X")&gt;0,"",IF(0+((AM13&lt;&gt;"Xm")*(AM13&lt;&gt;"Xg")*(COUNTIFS($C$3:$Q$3,"MAT",$C13:$Q13,AM$3)=0)*(COUNTIFS($C$3:$Q$3,"NOTTE",$C13:$Q13,AM$3)=0)*(COUNTIFS($C$3:$Q$3,"NOTTE",$C12:$Q12,AM$3)=0))+((AM13&lt;&gt;"Xp")*(AM13&lt;&gt;"Xg")*(COUNTIFS($C$3:$Q$3,"POM",$C13:$Q13,AM$3)=0)*(COUNTIFS($C$3:$Q$3,"NOTTE",$C13:$Q13,AM$3)=0)*(COUNTIFS($C$3:$Q$3,"NOTTE",$C12:$Q12,AM$3)=0))+((AM13&lt;&gt;"Xn")*(COUNTIFS($C$3:$Q$3,"MAT",$C13:$Q13,AM$3)=0)*(COUNTIFS($C$3:$Q$3,"POM",$C13:$Q13,AM$3)=0)*(COUNTIFS($C$3:$Q$3,"NOTTE",$C13:$Q13,AM$3)=0)*(COUNTIFS($C$3:$Q$3,"NOTTE",$C12:$Q12,AM$3)=0))=0,"",IF(0+((AM13&lt;&gt;"Xm")*(AM13&lt;&gt;"Xg")*(COUNTIFS($C$3:$Q$3,"MAT",$C13:$Q13,AM$3)=0)*(COUNTIFS($C$3:$Q$3,"NOTTE",$C13:$Q13,AM$3)=0)*(COUNTIFS($C$3:$Q$3,"NOTTE",$C12:$Q12,AM$3)=0))+((AM13&lt;&gt;"Xp")*(AM13&lt;&gt;"Xg")*(COUNTIFS($C$3:$Q$3,"POM",$C13:$Q13,AM$3)=0)*(COUNTIFS($C$3:$Q$3,"NOTTE",$C13:$Q13,AM$3)=0)*(COUNTIFS($C$3:$Q$3,"NOTTE",$C12:$Q12,AM$3)=0))+((AM13&lt;&gt;"Xn")*(COUNTIFS($C$3:$Q$3,"MAT",$C13:$Q13,AM$3)=0)*(COUNTIFS($C$3:$Q$3,"POM",$C13:$Q13,AM$3)=0)*(COUNTIFS($C$3:$Q$3,"NOTTE",$C13:$Q13,AM$3)=0)*(COUNTIFS($C$3:$Q$3,"NOTTE",$C12:$Q12,AM$3)=0))=3,AM$3&amp;", ",AM$3&amp;IF((AM13&lt;&gt;"Xm")*(AM13&lt;&gt;"Xg")*(COUNTIFS($C$3:$Q$3,"MAT",$C13:$Q13,AM$3)=0)*(COUNTIFS($C$3:$Q$3,"NOTTE",$C13:$Q13,AM$3)=0)*(COUNTIFS($C$3:$Q$3,"NOTTE",$C12:$Q12,AM$3)=0),"_m","")&amp;IF((AM13&lt;&gt;"Xp")*(AM13&lt;&gt;"Xg")*(COUNTIFS($C$3:$Q$3,"POM",$C13:$Q13,AM$3)=0)*(COUNTIFS($C$3:$Q$3,"NOTTE",$C13:$Q13,AM$3)=0)*(COUNTIFS($C$3:$Q$3,"NOTTE",$C12:$Q12,AM$3)=0),"_p","")&amp;IF((AM13&lt;&gt;"Xn")*(COUNTIFS($C$3:$Q$3,"MAT",$C13:$Q13,AM$3)=0)*(COUNTIFS($C$3:$Q$3,"POM",$C13:$Q13,AM$3)=0)*(COUNTIFS($C$3:$Q$3,"NOTTE",$C13:$Q13,AM$3)=0)*(COUNTIFS($C$3:$Q$3,"NOTTE",$C12:$Q12,AM$3)=0),"_n","")&amp;", ")))</f>
        <v xml:space="preserve">GRECO, </v>
      </c>
      <c r="CQ13" s="9" t="str">
        <f>IF(0+(AN13="X")&gt;0,"",IF(0+((AN13&lt;&gt;"Xm")*(AN13&lt;&gt;"Xg")*(COUNTIFS($C$3:$Q$3,"MAT",$C13:$Q13,AN$3)=0)*(COUNTIFS($C$3:$Q$3,"NOTTE",$C13:$Q13,AN$3)=0)*(COUNTIFS($C$3:$Q$3,"NOTTE",$C12:$Q12,AN$3)=0))+((AN13&lt;&gt;"Xp")*(AN13&lt;&gt;"Xg")*(COUNTIFS($C$3:$Q$3,"POM",$C13:$Q13,AN$3)=0)*(COUNTIFS($C$3:$Q$3,"NOTTE",$C13:$Q13,AN$3)=0)*(COUNTIFS($C$3:$Q$3,"NOTTE",$C12:$Q12,AN$3)=0))+((AN13&lt;&gt;"Xn")*(COUNTIFS($C$3:$Q$3,"MAT",$C13:$Q13,AN$3)=0)*(COUNTIFS($C$3:$Q$3,"POM",$C13:$Q13,AN$3)=0)*(COUNTIFS($C$3:$Q$3,"NOTTE",$C13:$Q13,AN$3)=0)*(COUNTIFS($C$3:$Q$3,"NOTTE",$C12:$Q12,AN$3)=0))=0,"",IF(0+((AN13&lt;&gt;"Xm")*(AN13&lt;&gt;"Xg")*(COUNTIFS($C$3:$Q$3,"MAT",$C13:$Q13,AN$3)=0)*(COUNTIFS($C$3:$Q$3,"NOTTE",$C13:$Q13,AN$3)=0)*(COUNTIFS($C$3:$Q$3,"NOTTE",$C12:$Q12,AN$3)=0))+((AN13&lt;&gt;"Xp")*(AN13&lt;&gt;"Xg")*(COUNTIFS($C$3:$Q$3,"POM",$C13:$Q13,AN$3)=0)*(COUNTIFS($C$3:$Q$3,"NOTTE",$C13:$Q13,AN$3)=0)*(COUNTIFS($C$3:$Q$3,"NOTTE",$C12:$Q12,AN$3)=0))+((AN13&lt;&gt;"Xn")*(COUNTIFS($C$3:$Q$3,"MAT",$C13:$Q13,AN$3)=0)*(COUNTIFS($C$3:$Q$3,"POM",$C13:$Q13,AN$3)=0)*(COUNTIFS($C$3:$Q$3,"NOTTE",$C13:$Q13,AN$3)=0)*(COUNTIFS($C$3:$Q$3,"NOTTE",$C12:$Q12,AN$3)=0))=3,AN$3&amp;", ",AN$3&amp;IF((AN13&lt;&gt;"Xm")*(AN13&lt;&gt;"Xg")*(COUNTIFS($C$3:$Q$3,"MAT",$C13:$Q13,AN$3)=0)*(COUNTIFS($C$3:$Q$3,"NOTTE",$C13:$Q13,AN$3)=0)*(COUNTIFS($C$3:$Q$3,"NOTTE",$C12:$Q12,AN$3)=0),"_m","")&amp;IF((AN13&lt;&gt;"Xp")*(AN13&lt;&gt;"Xg")*(COUNTIFS($C$3:$Q$3,"POM",$C13:$Q13,AN$3)=0)*(COUNTIFS($C$3:$Q$3,"NOTTE",$C13:$Q13,AN$3)=0)*(COUNTIFS($C$3:$Q$3,"NOTTE",$C12:$Q12,AN$3)=0),"_p","")&amp;IF((AN13&lt;&gt;"Xn")*(COUNTIFS($C$3:$Q$3,"MAT",$C13:$Q13,AN$3)=0)*(COUNTIFS($C$3:$Q$3,"POM",$C13:$Q13,AN$3)=0)*(COUNTIFS($C$3:$Q$3,"NOTTE",$C13:$Q13,AN$3)=0)*(COUNTIFS($C$3:$Q$3,"NOTTE",$C12:$Q12,AN$3)=0),"_n","")&amp;", ")))</f>
        <v xml:space="preserve">SANNA, </v>
      </c>
      <c r="CR13" s="9" t="str">
        <f>IF(0+(AO13="X")&gt;0,"",IF(0+((AO13&lt;&gt;"Xm")*(AO13&lt;&gt;"Xg")*(COUNTIFS($C$3:$Q$3,"MAT",$C13:$Q13,AO$3)=0)*(COUNTIFS($C$3:$Q$3,"NOTTE",$C13:$Q13,AO$3)=0)*(COUNTIFS($C$3:$Q$3,"NOTTE",$C12:$Q12,AO$3)=0))+((AO13&lt;&gt;"Xp")*(AO13&lt;&gt;"Xg")*(COUNTIFS($C$3:$Q$3,"POM",$C13:$Q13,AO$3)=0)*(COUNTIFS($C$3:$Q$3,"NOTTE",$C13:$Q13,AO$3)=0)*(COUNTIFS($C$3:$Q$3,"NOTTE",$C12:$Q12,AO$3)=0))+((AO13&lt;&gt;"Xn")*(COUNTIFS($C$3:$Q$3,"MAT",$C13:$Q13,AO$3)=0)*(COUNTIFS($C$3:$Q$3,"POM",$C13:$Q13,AO$3)=0)*(COUNTIFS($C$3:$Q$3,"NOTTE",$C13:$Q13,AO$3)=0)*(COUNTIFS($C$3:$Q$3,"NOTTE",$C12:$Q12,AO$3)=0))=0,"",IF(0+((AO13&lt;&gt;"Xm")*(AO13&lt;&gt;"Xg")*(COUNTIFS($C$3:$Q$3,"MAT",$C13:$Q13,AO$3)=0)*(COUNTIFS($C$3:$Q$3,"NOTTE",$C13:$Q13,AO$3)=0)*(COUNTIFS($C$3:$Q$3,"NOTTE",$C12:$Q12,AO$3)=0))+((AO13&lt;&gt;"Xp")*(AO13&lt;&gt;"Xg")*(COUNTIFS($C$3:$Q$3,"POM",$C13:$Q13,AO$3)=0)*(COUNTIFS($C$3:$Q$3,"NOTTE",$C13:$Q13,AO$3)=0)*(COUNTIFS($C$3:$Q$3,"NOTTE",$C12:$Q12,AO$3)=0))+((AO13&lt;&gt;"Xn")*(COUNTIFS($C$3:$Q$3,"MAT",$C13:$Q13,AO$3)=0)*(COUNTIFS($C$3:$Q$3,"POM",$C13:$Q13,AO$3)=0)*(COUNTIFS($C$3:$Q$3,"NOTTE",$C13:$Q13,AO$3)=0)*(COUNTIFS($C$3:$Q$3,"NOTTE",$C12:$Q12,AO$3)=0))=3,AO$3&amp;", ",AO$3&amp;IF((AO13&lt;&gt;"Xm")*(AO13&lt;&gt;"Xg")*(COUNTIFS($C$3:$Q$3,"MAT",$C13:$Q13,AO$3)=0)*(COUNTIFS($C$3:$Q$3,"NOTTE",$C13:$Q13,AO$3)=0)*(COUNTIFS($C$3:$Q$3,"NOTTE",$C12:$Q12,AO$3)=0),"_m","")&amp;IF((AO13&lt;&gt;"Xp")*(AO13&lt;&gt;"Xg")*(COUNTIFS($C$3:$Q$3,"POM",$C13:$Q13,AO$3)=0)*(COUNTIFS($C$3:$Q$3,"NOTTE",$C13:$Q13,AO$3)=0)*(COUNTIFS($C$3:$Q$3,"NOTTE",$C12:$Q12,AO$3)=0),"_p","")&amp;IF((AO13&lt;&gt;"Xn")*(COUNTIFS($C$3:$Q$3,"MAT",$C13:$Q13,AO$3)=0)*(COUNTIFS($C$3:$Q$3,"POM",$C13:$Q13,AO$3)=0)*(COUNTIFS($C$3:$Q$3,"NOTTE",$C13:$Q13,AO$3)=0)*(COUNTIFS($C$3:$Q$3,"NOTTE",$C12:$Q12,AO$3)=0),"_n","")&amp;", ")))</f>
        <v xml:space="preserve">LI, </v>
      </c>
    </row>
    <row r="14">
      <c r="A14" s="10" t="str">
        <f>CHOOSE(WEEKDAY(DATE($B$1,$A$2,B14),2),"lunedì","martedì","mercoledì","giovedì","venerdì","sabato","domenica")</f>
        <v>mercoledì</v>
      </c>
      <c r="B14" s="10" t="n">
        <v>11</v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4" t="n"/>
      <c r="Q14" s="11" t="n"/>
      <c r="R14" s="11" t="n"/>
      <c r="S14" s="11">
        <f>IF(SUMPRODUCT(($C$3:$Q$3&lt;&gt;"")*($C14:$Q14&lt;&gt;"")*(LEFT($C14:$Q14,6)&lt;&gt;"chiuso")*(COUNTIFS($C14:$Q14,$C14:$Q14,$C$3:$Q$3,$C$3:$Q$3)&gt;1))&gt;0,"X","")</f>
      </c>
      <c r="T14" s="11" t="str">
        <f>IF(LEN(BP14&amp;BQ14&amp;BR14&amp;BS14&amp;BT14&amp;BU14&amp;BV14&amp;BW14&amp;BX14&amp;BY14&amp;BZ14&amp;CA14&amp;CB14&amp;CC14)=0,"",LEFT(BP14&amp;BQ14&amp;BR14&amp;BS14&amp;BT14&amp;BU14&amp;BV14&amp;BW14&amp;BX14&amp;BY14&amp;BZ14&amp;CA14&amp;CB14&amp;CC14,LEN(BP14&amp;BQ14&amp;BR14&amp;BS14&amp;BT14&amp;BU14&amp;BV14&amp;BW14&amp;BX14&amp;BY14&amp;BZ14&amp;CA14&amp;CB14&amp;CC14)-2))</f>
        <v>LEONI, ROSSI M, ROSSI L, GALLINA, RUSSO, VERDI, HU, MARINI, CONTI A, CONTI S, FERRARI, GRECO, SANNA, LI</v>
      </c>
      <c r="U14" s="11" t="str">
        <f>IF(LEN(CE14&amp;CF14&amp;CG14&amp;CH14&amp;CI14&amp;CJ14&amp;CK14&amp;CL14&amp;CM14&amp;CN14&amp;CO14&amp;CP14&amp;CQ14&amp;CR14)=0,"",LEFT(CE14&amp;CF14&amp;CG14&amp;CH14&amp;CI14&amp;CJ14&amp;CK14&amp;CL14&amp;CM14&amp;CN14&amp;CO14&amp;CP14&amp;CQ14&amp;CR14,LEN(CE14&amp;CF14&amp;CG14&amp;CH14&amp;CI14&amp;CJ14&amp;CK14&amp;CL14&amp;CM14&amp;CN14&amp;CO14&amp;CP14&amp;CQ14&amp;CR14)-2))</f>
        <v>LEONI, ROSSI M, ROSSI L, GALLINA, RUSSO, VERDI, HU, MARINI, CONTI A, CONTI S, FERRARI, GRECO, SANNA, LI</v>
      </c>
      <c r="Z14" s="10" t="str">
        <f>A14</f>
        <v>mercoledì</v>
      </c>
      <c r="AA14" s="10">
        <f>B14</f>
        <v>11</v>
      </c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T14" s="7" t="str">
        <f>AL$3</f>
        <v>FERRARI</v>
      </c>
      <c r="AU14" s="7">
        <f>COUNTIF($C$4:$D$33,$AT14)</f>
        <v>0</v>
      </c>
      <c r="AV14" s="7">
        <f>COUNTIF($E$4:$F$33,$AT14)</f>
        <v>0</v>
      </c>
      <c r="AW14" s="7">
        <f>COUNTIF($G$4:$H$33,$AT14)</f>
        <v>0</v>
      </c>
      <c r="AX14" s="7">
        <f>COUNTIF($I$4:$J$33,$AT14)</f>
        <v>0</v>
      </c>
      <c r="AY14" s="7">
        <f>COUNTIF($K$4:$K$33,$AT14)</f>
        <v>0</v>
      </c>
      <c r="AZ14" s="7">
        <f>COUNTIF($L$4:$L$33,$AT14)</f>
        <v>0</v>
      </c>
      <c r="BA14" s="7">
        <f>COUNTIF($M$4:$M$33,$AT14)</f>
        <v>0</v>
      </c>
      <c r="BB14" s="7">
        <f>COUNTIF($N$4:$Q$33,$AT14)</f>
        <v>0</v>
      </c>
      <c r="BC14" s="7">
        <f>COUNTIF($C$4:$Q$33,$AT14)</f>
        <v>0</v>
      </c>
      <c r="BE14" s="8" t="str">
        <f>AL$3</f>
        <v>FERRARI</v>
      </c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P14" s="9" t="str">
        <f>IF(0+(AB14="X")&gt;0,"",IF(0+((AB14&lt;&gt;"Xm")*(AB14&lt;&gt;"Xg"))+((AB14&lt;&gt;"Xp")*(AB14&lt;&gt;"Xg"))+((AB14&lt;&gt;"Xn"))=0,"",IF(0+((AB14&lt;&gt;"Xm")*(AB14&lt;&gt;"Xg"))+((AB14&lt;&gt;"Xp")*(AB14&lt;&gt;"Xg"))+((AB14&lt;&gt;"Xn"))=3,AB$3&amp;", ",AB$3&amp;IF((AB14&lt;&gt;"Xm")*(AB14&lt;&gt;"Xg"),"_m","")&amp;IF((AB14&lt;&gt;"Xp")*(AB14&lt;&gt;"Xg"),"_p","")&amp;IF((AB14&lt;&gt;"Xn"),"_n","")&amp;", ")))</f>
        <v xml:space="preserve">LEONI, </v>
      </c>
      <c r="BQ14" s="9" t="str">
        <f>IF(0+(AC14="X")&gt;0,"",IF(0+((AC14&lt;&gt;"Xm")*(AC14&lt;&gt;"Xg"))+((AC14&lt;&gt;"Xp")*(AC14&lt;&gt;"Xg"))+((AC14&lt;&gt;"Xn"))=0,"",IF(0+((AC14&lt;&gt;"Xm")*(AC14&lt;&gt;"Xg"))+((AC14&lt;&gt;"Xp")*(AC14&lt;&gt;"Xg"))+((AC14&lt;&gt;"Xn"))=3,AC$3&amp;", ",AC$3&amp;IF((AC14&lt;&gt;"Xm")*(AC14&lt;&gt;"Xg"),"_m","")&amp;IF((AC14&lt;&gt;"Xp")*(AC14&lt;&gt;"Xg"),"_p","")&amp;IF((AC14&lt;&gt;"Xn"),"_n","")&amp;", ")))</f>
        <v xml:space="preserve">ROSSI M, </v>
      </c>
      <c r="BR14" s="9" t="str">
        <f>IF(0+(AD14="X")&gt;0,"",IF(0+((AD14&lt;&gt;"Xm")*(AD14&lt;&gt;"Xg"))+((AD14&lt;&gt;"Xp")*(AD14&lt;&gt;"Xg"))+((AD14&lt;&gt;"Xn"))=0,"",IF(0+((AD14&lt;&gt;"Xm")*(AD14&lt;&gt;"Xg"))+((AD14&lt;&gt;"Xp")*(AD14&lt;&gt;"Xg"))+((AD14&lt;&gt;"Xn"))=3,AD$3&amp;", ",AD$3&amp;IF((AD14&lt;&gt;"Xm")*(AD14&lt;&gt;"Xg"),"_m","")&amp;IF((AD14&lt;&gt;"Xp")*(AD14&lt;&gt;"Xg"),"_p","")&amp;IF((AD14&lt;&gt;"Xn"),"_n","")&amp;", ")))</f>
        <v xml:space="preserve">ROSSI L, </v>
      </c>
      <c r="BS14" s="9" t="str">
        <f>IF(0+(AE14="X")&gt;0,"",IF(0+((AE14&lt;&gt;"Xm")*(AE14&lt;&gt;"Xg"))+((AE14&lt;&gt;"Xp")*(AE14&lt;&gt;"Xg"))+((AE14&lt;&gt;"Xn"))=0,"",IF(0+((AE14&lt;&gt;"Xm")*(AE14&lt;&gt;"Xg"))+((AE14&lt;&gt;"Xp")*(AE14&lt;&gt;"Xg"))+((AE14&lt;&gt;"Xn"))=3,AE$3&amp;", ",AE$3&amp;IF((AE14&lt;&gt;"Xm")*(AE14&lt;&gt;"Xg"),"_m","")&amp;IF((AE14&lt;&gt;"Xp")*(AE14&lt;&gt;"Xg"),"_p","")&amp;IF((AE14&lt;&gt;"Xn"),"_n","")&amp;", ")))</f>
        <v xml:space="preserve">GALLINA, </v>
      </c>
      <c r="BT14" s="9" t="str">
        <f>IF(0+(AF14="X")&gt;0,"",IF(0+((AF14&lt;&gt;"Xm")*(AF14&lt;&gt;"Xg"))+((AF14&lt;&gt;"Xp")*(AF14&lt;&gt;"Xg"))+((AF14&lt;&gt;"Xn"))=0,"",IF(0+((AF14&lt;&gt;"Xm")*(AF14&lt;&gt;"Xg"))+((AF14&lt;&gt;"Xp")*(AF14&lt;&gt;"Xg"))+((AF14&lt;&gt;"Xn"))=3,AF$3&amp;", ",AF$3&amp;IF((AF14&lt;&gt;"Xm")*(AF14&lt;&gt;"Xg"),"_m","")&amp;IF((AF14&lt;&gt;"Xp")*(AF14&lt;&gt;"Xg"),"_p","")&amp;IF((AF14&lt;&gt;"Xn"),"_n","")&amp;", ")))</f>
        <v xml:space="preserve">RUSSO, </v>
      </c>
      <c r="BU14" s="9" t="str">
        <f>IF(0+(AG14="X")&gt;0,"",IF(0+((AG14&lt;&gt;"Xm")*(AG14&lt;&gt;"Xg"))+((AG14&lt;&gt;"Xp")*(AG14&lt;&gt;"Xg"))+((AG14&lt;&gt;"Xn"))=0,"",IF(0+((AG14&lt;&gt;"Xm")*(AG14&lt;&gt;"Xg"))+((AG14&lt;&gt;"Xp")*(AG14&lt;&gt;"Xg"))+((AG14&lt;&gt;"Xn"))=3,AG$3&amp;", ",AG$3&amp;IF((AG14&lt;&gt;"Xm")*(AG14&lt;&gt;"Xg"),"_m","")&amp;IF((AG14&lt;&gt;"Xp")*(AG14&lt;&gt;"Xg"),"_p","")&amp;IF((AG14&lt;&gt;"Xn"),"_n","")&amp;", ")))</f>
        <v xml:space="preserve">VERDI, </v>
      </c>
      <c r="BV14" s="9" t="str">
        <f>IF(0+(AH14="X")&gt;0,"",IF(0+((AH14&lt;&gt;"Xm")*(AH14&lt;&gt;"Xg"))+((AH14&lt;&gt;"Xp")*(AH14&lt;&gt;"Xg"))+((AH14&lt;&gt;"Xn"))=0,"",IF(0+((AH14&lt;&gt;"Xm")*(AH14&lt;&gt;"Xg"))+((AH14&lt;&gt;"Xp")*(AH14&lt;&gt;"Xg"))+((AH14&lt;&gt;"Xn"))=3,AH$3&amp;", ",AH$3&amp;IF((AH14&lt;&gt;"Xm")*(AH14&lt;&gt;"Xg"),"_m","")&amp;IF((AH14&lt;&gt;"Xp")*(AH14&lt;&gt;"Xg"),"_p","")&amp;IF((AH14&lt;&gt;"Xn"),"_n","")&amp;", ")))</f>
        <v xml:space="preserve">HU, </v>
      </c>
      <c r="BW14" s="9" t="str">
        <f>IF(0+(AI14="X")&gt;0,"",IF(0+((AI14&lt;&gt;"Xm")*(AI14&lt;&gt;"Xg"))+((AI14&lt;&gt;"Xp")*(AI14&lt;&gt;"Xg"))+((AI14&lt;&gt;"Xn"))=0,"",IF(0+((AI14&lt;&gt;"Xm")*(AI14&lt;&gt;"Xg"))+((AI14&lt;&gt;"Xp")*(AI14&lt;&gt;"Xg"))+((AI14&lt;&gt;"Xn"))=3,AI$3&amp;", ",AI$3&amp;IF((AI14&lt;&gt;"Xm")*(AI14&lt;&gt;"Xg"),"_m","")&amp;IF((AI14&lt;&gt;"Xp")*(AI14&lt;&gt;"Xg"),"_p","")&amp;IF((AI14&lt;&gt;"Xn"),"_n","")&amp;", ")))</f>
        <v xml:space="preserve">MARINI, </v>
      </c>
      <c r="BX14" s="9" t="str">
        <f>IF(0+(AJ14="X")&gt;0,"",IF(0+((AJ14&lt;&gt;"Xm")*(AJ14&lt;&gt;"Xg"))+((AJ14&lt;&gt;"Xp")*(AJ14&lt;&gt;"Xg"))+((AJ14&lt;&gt;"Xn"))=0,"",IF(0+((AJ14&lt;&gt;"Xm")*(AJ14&lt;&gt;"Xg"))+((AJ14&lt;&gt;"Xp")*(AJ14&lt;&gt;"Xg"))+((AJ14&lt;&gt;"Xn"))=3,AJ$3&amp;", ",AJ$3&amp;IF((AJ14&lt;&gt;"Xm")*(AJ14&lt;&gt;"Xg"),"_m","")&amp;IF((AJ14&lt;&gt;"Xp")*(AJ14&lt;&gt;"Xg"),"_p","")&amp;IF((AJ14&lt;&gt;"Xn"),"_n","")&amp;", ")))</f>
        <v xml:space="preserve">CONTI A, </v>
      </c>
      <c r="BY14" s="9" t="str">
        <f>IF(0+(AK14="X")&gt;0,"",IF(0+((AK14&lt;&gt;"Xm")*(AK14&lt;&gt;"Xg"))+((AK14&lt;&gt;"Xp")*(AK14&lt;&gt;"Xg"))+((AK14&lt;&gt;"Xn"))=0,"",IF(0+((AK14&lt;&gt;"Xm")*(AK14&lt;&gt;"Xg"))+((AK14&lt;&gt;"Xp")*(AK14&lt;&gt;"Xg"))+((AK14&lt;&gt;"Xn"))=3,AK$3&amp;", ",AK$3&amp;IF((AK14&lt;&gt;"Xm")*(AK14&lt;&gt;"Xg"),"_m","")&amp;IF((AK14&lt;&gt;"Xp")*(AK14&lt;&gt;"Xg"),"_p","")&amp;IF((AK14&lt;&gt;"Xn"),"_n","")&amp;", ")))</f>
        <v xml:space="preserve">CONTI S, </v>
      </c>
      <c r="BZ14" s="9" t="str">
        <f>IF(0+(AL14="X")&gt;0,"",IF(0+((AL14&lt;&gt;"Xm")*(AL14&lt;&gt;"Xg"))+((AL14&lt;&gt;"Xp")*(AL14&lt;&gt;"Xg"))+((AL14&lt;&gt;"Xn"))=0,"",IF(0+((AL14&lt;&gt;"Xm")*(AL14&lt;&gt;"Xg"))+((AL14&lt;&gt;"Xp")*(AL14&lt;&gt;"Xg"))+((AL14&lt;&gt;"Xn"))=3,AL$3&amp;", ",AL$3&amp;IF((AL14&lt;&gt;"Xm")*(AL14&lt;&gt;"Xg"),"_m","")&amp;IF((AL14&lt;&gt;"Xp")*(AL14&lt;&gt;"Xg"),"_p","")&amp;IF((AL14&lt;&gt;"Xn"),"_n","")&amp;", ")))</f>
        <v xml:space="preserve">FERRARI, </v>
      </c>
      <c r="CA14" s="9" t="str">
        <f>IF(0+(AM14="X")&gt;0,"",IF(0+((AM14&lt;&gt;"Xm")*(AM14&lt;&gt;"Xg"))+((AM14&lt;&gt;"Xp")*(AM14&lt;&gt;"Xg"))+((AM14&lt;&gt;"Xn"))=0,"",IF(0+((AM14&lt;&gt;"Xm")*(AM14&lt;&gt;"Xg"))+((AM14&lt;&gt;"Xp")*(AM14&lt;&gt;"Xg"))+((AM14&lt;&gt;"Xn"))=3,AM$3&amp;", ",AM$3&amp;IF((AM14&lt;&gt;"Xm")*(AM14&lt;&gt;"Xg"),"_m","")&amp;IF((AM14&lt;&gt;"Xp")*(AM14&lt;&gt;"Xg"),"_p","")&amp;IF((AM14&lt;&gt;"Xn"),"_n","")&amp;", ")))</f>
        <v xml:space="preserve">GRECO, </v>
      </c>
      <c r="CB14" s="9" t="str">
        <f>IF(0+(AN14="X")&gt;0,"",IF(0+((AN14&lt;&gt;"Xm")*(AN14&lt;&gt;"Xg"))+((AN14&lt;&gt;"Xp")*(AN14&lt;&gt;"Xg"))+((AN14&lt;&gt;"Xn"))=0,"",IF(0+((AN14&lt;&gt;"Xm")*(AN14&lt;&gt;"Xg"))+((AN14&lt;&gt;"Xp")*(AN14&lt;&gt;"Xg"))+((AN14&lt;&gt;"Xn"))=3,AN$3&amp;", ",AN$3&amp;IF((AN14&lt;&gt;"Xm")*(AN14&lt;&gt;"Xg"),"_m","")&amp;IF((AN14&lt;&gt;"Xp")*(AN14&lt;&gt;"Xg"),"_p","")&amp;IF((AN14&lt;&gt;"Xn"),"_n","")&amp;", ")))</f>
        <v xml:space="preserve">SANNA, </v>
      </c>
      <c r="CC14" s="9" t="str">
        <f>IF(0+(AO14="X")&gt;0,"",IF(0+((AO14&lt;&gt;"Xm")*(AO14&lt;&gt;"Xg"))+((AO14&lt;&gt;"Xp")*(AO14&lt;&gt;"Xg"))+((AO14&lt;&gt;"Xn"))=0,"",IF(0+((AO14&lt;&gt;"Xm")*(AO14&lt;&gt;"Xg"))+((AO14&lt;&gt;"Xp")*(AO14&lt;&gt;"Xg"))+((AO14&lt;&gt;"Xn"))=3,AO$3&amp;", ",AO$3&amp;IF((AO14&lt;&gt;"Xm")*(AO14&lt;&gt;"Xg"),"_m","")&amp;IF((AO14&lt;&gt;"Xp")*(AO14&lt;&gt;"Xg"),"_p","")&amp;IF((AO14&lt;&gt;"Xn"),"_n","")&amp;", ")))</f>
        <v xml:space="preserve">LI, </v>
      </c>
      <c r="CD14" s="9" t="n"/>
      <c r="CE14" s="9" t="str">
        <f>IF(0+(AB14="X")&gt;0,"",IF(0+((AB14&lt;&gt;"Xm")*(AB14&lt;&gt;"Xg")*(COUNTIFS($C$3:$Q$3,"MAT",$C14:$Q14,AB$3)=0)*(COUNTIFS($C$3:$Q$3,"NOTTE",$C14:$Q14,AB$3)=0)*(COUNTIFS($C$3:$Q$3,"NOTTE",$C13:$Q13,AB$3)=0))+((AB14&lt;&gt;"Xp")*(AB14&lt;&gt;"Xg")*(COUNTIFS($C$3:$Q$3,"POM",$C14:$Q14,AB$3)=0)*(COUNTIFS($C$3:$Q$3,"NOTTE",$C14:$Q14,AB$3)=0)*(COUNTIFS($C$3:$Q$3,"NOTTE",$C13:$Q13,AB$3)=0))+((AB14&lt;&gt;"Xn")*(COUNTIFS($C$3:$Q$3,"MAT",$C14:$Q14,AB$3)=0)*(COUNTIFS($C$3:$Q$3,"POM",$C14:$Q14,AB$3)=0)*(COUNTIFS($C$3:$Q$3,"NOTTE",$C14:$Q14,AB$3)=0)*(COUNTIFS($C$3:$Q$3,"NOTTE",$C13:$Q13,AB$3)=0))=0,"",IF(0+((AB14&lt;&gt;"Xm")*(AB14&lt;&gt;"Xg")*(COUNTIFS($C$3:$Q$3,"MAT",$C14:$Q14,AB$3)=0)*(COUNTIFS($C$3:$Q$3,"NOTTE",$C14:$Q14,AB$3)=0)*(COUNTIFS($C$3:$Q$3,"NOTTE",$C13:$Q13,AB$3)=0))+((AB14&lt;&gt;"Xp")*(AB14&lt;&gt;"Xg")*(COUNTIFS($C$3:$Q$3,"POM",$C14:$Q14,AB$3)=0)*(COUNTIFS($C$3:$Q$3,"NOTTE",$C14:$Q14,AB$3)=0)*(COUNTIFS($C$3:$Q$3,"NOTTE",$C13:$Q13,AB$3)=0))+((AB14&lt;&gt;"Xn")*(COUNTIFS($C$3:$Q$3,"MAT",$C14:$Q14,AB$3)=0)*(COUNTIFS($C$3:$Q$3,"POM",$C14:$Q14,AB$3)=0)*(COUNTIFS($C$3:$Q$3,"NOTTE",$C14:$Q14,AB$3)=0)*(COUNTIFS($C$3:$Q$3,"NOTTE",$C13:$Q13,AB$3)=0))=3,AB$3&amp;", ",AB$3&amp;IF((AB14&lt;&gt;"Xm")*(AB14&lt;&gt;"Xg")*(COUNTIFS($C$3:$Q$3,"MAT",$C14:$Q14,AB$3)=0)*(COUNTIFS($C$3:$Q$3,"NOTTE",$C14:$Q14,AB$3)=0)*(COUNTIFS($C$3:$Q$3,"NOTTE",$C13:$Q13,AB$3)=0),"_m","")&amp;IF((AB14&lt;&gt;"Xp")*(AB14&lt;&gt;"Xg")*(COUNTIFS($C$3:$Q$3,"POM",$C14:$Q14,AB$3)=0)*(COUNTIFS($C$3:$Q$3,"NOTTE",$C14:$Q14,AB$3)=0)*(COUNTIFS($C$3:$Q$3,"NOTTE",$C13:$Q13,AB$3)=0),"_p","")&amp;IF((AB14&lt;&gt;"Xn")*(COUNTIFS($C$3:$Q$3,"MAT",$C14:$Q14,AB$3)=0)*(COUNTIFS($C$3:$Q$3,"POM",$C14:$Q14,AB$3)=0)*(COUNTIFS($C$3:$Q$3,"NOTTE",$C14:$Q14,AB$3)=0)*(COUNTIFS($C$3:$Q$3,"NOTTE",$C13:$Q13,AB$3)=0),"_n","")&amp;", ")))</f>
        <v xml:space="preserve">LEONI, </v>
      </c>
      <c r="CF14" s="9" t="str">
        <f>IF(0+(AC14="X")&gt;0,"",IF(0+((AC14&lt;&gt;"Xm")*(AC14&lt;&gt;"Xg")*(COUNTIFS($C$3:$Q$3,"MAT",$C14:$Q14,AC$3)=0)*(COUNTIFS($C$3:$Q$3,"NOTTE",$C14:$Q14,AC$3)=0)*(COUNTIFS($C$3:$Q$3,"NOTTE",$C13:$Q13,AC$3)=0))+((AC14&lt;&gt;"Xp")*(AC14&lt;&gt;"Xg")*(COUNTIFS($C$3:$Q$3,"POM",$C14:$Q14,AC$3)=0)*(COUNTIFS($C$3:$Q$3,"NOTTE",$C14:$Q14,AC$3)=0)*(COUNTIFS($C$3:$Q$3,"NOTTE",$C13:$Q13,AC$3)=0))+((AC14&lt;&gt;"Xn")*(COUNTIFS($C$3:$Q$3,"MAT",$C14:$Q14,AC$3)=0)*(COUNTIFS($C$3:$Q$3,"POM",$C14:$Q14,AC$3)=0)*(COUNTIFS($C$3:$Q$3,"NOTTE",$C14:$Q14,AC$3)=0)*(COUNTIFS($C$3:$Q$3,"NOTTE",$C13:$Q13,AC$3)=0))=0,"",IF(0+((AC14&lt;&gt;"Xm")*(AC14&lt;&gt;"Xg")*(COUNTIFS($C$3:$Q$3,"MAT",$C14:$Q14,AC$3)=0)*(COUNTIFS($C$3:$Q$3,"NOTTE",$C14:$Q14,AC$3)=0)*(COUNTIFS($C$3:$Q$3,"NOTTE",$C13:$Q13,AC$3)=0))+((AC14&lt;&gt;"Xp")*(AC14&lt;&gt;"Xg")*(COUNTIFS($C$3:$Q$3,"POM",$C14:$Q14,AC$3)=0)*(COUNTIFS($C$3:$Q$3,"NOTTE",$C14:$Q14,AC$3)=0)*(COUNTIFS($C$3:$Q$3,"NOTTE",$C13:$Q13,AC$3)=0))+((AC14&lt;&gt;"Xn")*(COUNTIFS($C$3:$Q$3,"MAT",$C14:$Q14,AC$3)=0)*(COUNTIFS($C$3:$Q$3,"POM",$C14:$Q14,AC$3)=0)*(COUNTIFS($C$3:$Q$3,"NOTTE",$C14:$Q14,AC$3)=0)*(COUNTIFS($C$3:$Q$3,"NOTTE",$C13:$Q13,AC$3)=0))=3,AC$3&amp;", ",AC$3&amp;IF((AC14&lt;&gt;"Xm")*(AC14&lt;&gt;"Xg")*(COUNTIFS($C$3:$Q$3,"MAT",$C14:$Q14,AC$3)=0)*(COUNTIFS($C$3:$Q$3,"NOTTE",$C14:$Q14,AC$3)=0)*(COUNTIFS($C$3:$Q$3,"NOTTE",$C13:$Q13,AC$3)=0),"_m","")&amp;IF((AC14&lt;&gt;"Xp")*(AC14&lt;&gt;"Xg")*(COUNTIFS($C$3:$Q$3,"POM",$C14:$Q14,AC$3)=0)*(COUNTIFS($C$3:$Q$3,"NOTTE",$C14:$Q14,AC$3)=0)*(COUNTIFS($C$3:$Q$3,"NOTTE",$C13:$Q13,AC$3)=0),"_p","")&amp;IF((AC14&lt;&gt;"Xn")*(COUNTIFS($C$3:$Q$3,"MAT",$C14:$Q14,AC$3)=0)*(COUNTIFS($C$3:$Q$3,"POM",$C14:$Q14,AC$3)=0)*(COUNTIFS($C$3:$Q$3,"NOTTE",$C14:$Q14,AC$3)=0)*(COUNTIFS($C$3:$Q$3,"NOTTE",$C13:$Q13,AC$3)=0),"_n","")&amp;", ")))</f>
        <v xml:space="preserve">ROSSI M, </v>
      </c>
      <c r="CG14" s="9" t="str">
        <f>IF(0+(AD14="X")&gt;0,"",IF(0+((AD14&lt;&gt;"Xm")*(AD14&lt;&gt;"Xg")*(COUNTIFS($C$3:$Q$3,"MAT",$C14:$Q14,AD$3)=0)*(COUNTIFS($C$3:$Q$3,"NOTTE",$C14:$Q14,AD$3)=0)*(COUNTIFS($C$3:$Q$3,"NOTTE",$C13:$Q13,AD$3)=0))+((AD14&lt;&gt;"Xp")*(AD14&lt;&gt;"Xg")*(COUNTIFS($C$3:$Q$3,"POM",$C14:$Q14,AD$3)=0)*(COUNTIFS($C$3:$Q$3,"NOTTE",$C14:$Q14,AD$3)=0)*(COUNTIFS($C$3:$Q$3,"NOTTE",$C13:$Q13,AD$3)=0))+((AD14&lt;&gt;"Xn")*(COUNTIFS($C$3:$Q$3,"MAT",$C14:$Q14,AD$3)=0)*(COUNTIFS($C$3:$Q$3,"POM",$C14:$Q14,AD$3)=0)*(COUNTIFS($C$3:$Q$3,"NOTTE",$C14:$Q14,AD$3)=0)*(COUNTIFS($C$3:$Q$3,"NOTTE",$C13:$Q13,AD$3)=0))=0,"",IF(0+((AD14&lt;&gt;"Xm")*(AD14&lt;&gt;"Xg")*(COUNTIFS($C$3:$Q$3,"MAT",$C14:$Q14,AD$3)=0)*(COUNTIFS($C$3:$Q$3,"NOTTE",$C14:$Q14,AD$3)=0)*(COUNTIFS($C$3:$Q$3,"NOTTE",$C13:$Q13,AD$3)=0))+((AD14&lt;&gt;"Xp")*(AD14&lt;&gt;"Xg")*(COUNTIFS($C$3:$Q$3,"POM",$C14:$Q14,AD$3)=0)*(COUNTIFS($C$3:$Q$3,"NOTTE",$C14:$Q14,AD$3)=0)*(COUNTIFS($C$3:$Q$3,"NOTTE",$C13:$Q13,AD$3)=0))+((AD14&lt;&gt;"Xn")*(COUNTIFS($C$3:$Q$3,"MAT",$C14:$Q14,AD$3)=0)*(COUNTIFS($C$3:$Q$3,"POM",$C14:$Q14,AD$3)=0)*(COUNTIFS($C$3:$Q$3,"NOTTE",$C14:$Q14,AD$3)=0)*(COUNTIFS($C$3:$Q$3,"NOTTE",$C13:$Q13,AD$3)=0))=3,AD$3&amp;", ",AD$3&amp;IF((AD14&lt;&gt;"Xm")*(AD14&lt;&gt;"Xg")*(COUNTIFS($C$3:$Q$3,"MAT",$C14:$Q14,AD$3)=0)*(COUNTIFS($C$3:$Q$3,"NOTTE",$C14:$Q14,AD$3)=0)*(COUNTIFS($C$3:$Q$3,"NOTTE",$C13:$Q13,AD$3)=0),"_m","")&amp;IF((AD14&lt;&gt;"Xp")*(AD14&lt;&gt;"Xg")*(COUNTIFS($C$3:$Q$3,"POM",$C14:$Q14,AD$3)=0)*(COUNTIFS($C$3:$Q$3,"NOTTE",$C14:$Q14,AD$3)=0)*(COUNTIFS($C$3:$Q$3,"NOTTE",$C13:$Q13,AD$3)=0),"_p","")&amp;IF((AD14&lt;&gt;"Xn")*(COUNTIFS($C$3:$Q$3,"MAT",$C14:$Q14,AD$3)=0)*(COUNTIFS($C$3:$Q$3,"POM",$C14:$Q14,AD$3)=0)*(COUNTIFS($C$3:$Q$3,"NOTTE",$C14:$Q14,AD$3)=0)*(COUNTIFS($C$3:$Q$3,"NOTTE",$C13:$Q13,AD$3)=0),"_n","")&amp;", ")))</f>
        <v xml:space="preserve">ROSSI L, </v>
      </c>
      <c r="CH14" s="9" t="str">
        <f>IF(0+(AE14="X")&gt;0,"",IF(0+((AE14&lt;&gt;"Xm")*(AE14&lt;&gt;"Xg")*(COUNTIFS($C$3:$Q$3,"MAT",$C14:$Q14,AE$3)=0)*(COUNTIFS($C$3:$Q$3,"NOTTE",$C14:$Q14,AE$3)=0)*(COUNTIFS($C$3:$Q$3,"NOTTE",$C13:$Q13,AE$3)=0))+((AE14&lt;&gt;"Xp")*(AE14&lt;&gt;"Xg")*(COUNTIFS($C$3:$Q$3,"POM",$C14:$Q14,AE$3)=0)*(COUNTIFS($C$3:$Q$3,"NOTTE",$C14:$Q14,AE$3)=0)*(COUNTIFS($C$3:$Q$3,"NOTTE",$C13:$Q13,AE$3)=0))+((AE14&lt;&gt;"Xn")*(COUNTIFS($C$3:$Q$3,"MAT",$C14:$Q14,AE$3)=0)*(COUNTIFS($C$3:$Q$3,"POM",$C14:$Q14,AE$3)=0)*(COUNTIFS($C$3:$Q$3,"NOTTE",$C14:$Q14,AE$3)=0)*(COUNTIFS($C$3:$Q$3,"NOTTE",$C13:$Q13,AE$3)=0))=0,"",IF(0+((AE14&lt;&gt;"Xm")*(AE14&lt;&gt;"Xg")*(COUNTIFS($C$3:$Q$3,"MAT",$C14:$Q14,AE$3)=0)*(COUNTIFS($C$3:$Q$3,"NOTTE",$C14:$Q14,AE$3)=0)*(COUNTIFS($C$3:$Q$3,"NOTTE",$C13:$Q13,AE$3)=0))+((AE14&lt;&gt;"Xp")*(AE14&lt;&gt;"Xg")*(COUNTIFS($C$3:$Q$3,"POM",$C14:$Q14,AE$3)=0)*(COUNTIFS($C$3:$Q$3,"NOTTE",$C14:$Q14,AE$3)=0)*(COUNTIFS($C$3:$Q$3,"NOTTE",$C13:$Q13,AE$3)=0))+((AE14&lt;&gt;"Xn")*(COUNTIFS($C$3:$Q$3,"MAT",$C14:$Q14,AE$3)=0)*(COUNTIFS($C$3:$Q$3,"POM",$C14:$Q14,AE$3)=0)*(COUNTIFS($C$3:$Q$3,"NOTTE",$C14:$Q14,AE$3)=0)*(COUNTIFS($C$3:$Q$3,"NOTTE",$C13:$Q13,AE$3)=0))=3,AE$3&amp;", ",AE$3&amp;IF((AE14&lt;&gt;"Xm")*(AE14&lt;&gt;"Xg")*(COUNTIFS($C$3:$Q$3,"MAT",$C14:$Q14,AE$3)=0)*(COUNTIFS($C$3:$Q$3,"NOTTE",$C14:$Q14,AE$3)=0)*(COUNTIFS($C$3:$Q$3,"NOTTE",$C13:$Q13,AE$3)=0),"_m","")&amp;IF((AE14&lt;&gt;"Xp")*(AE14&lt;&gt;"Xg")*(COUNTIFS($C$3:$Q$3,"POM",$C14:$Q14,AE$3)=0)*(COUNTIFS($C$3:$Q$3,"NOTTE",$C14:$Q14,AE$3)=0)*(COUNTIFS($C$3:$Q$3,"NOTTE",$C13:$Q13,AE$3)=0),"_p","")&amp;IF((AE14&lt;&gt;"Xn")*(COUNTIFS($C$3:$Q$3,"MAT",$C14:$Q14,AE$3)=0)*(COUNTIFS($C$3:$Q$3,"POM",$C14:$Q14,AE$3)=0)*(COUNTIFS($C$3:$Q$3,"NOTTE",$C14:$Q14,AE$3)=0)*(COUNTIFS($C$3:$Q$3,"NOTTE",$C13:$Q13,AE$3)=0),"_n","")&amp;", ")))</f>
        <v xml:space="preserve">GALLINA, </v>
      </c>
      <c r="CI14" s="9" t="str">
        <f>IF(0+(AF14="X")&gt;0,"",IF(0+((AF14&lt;&gt;"Xm")*(AF14&lt;&gt;"Xg")*(COUNTIFS($C$3:$Q$3,"MAT",$C14:$Q14,AF$3)=0)*(COUNTIFS($C$3:$Q$3,"NOTTE",$C14:$Q14,AF$3)=0)*(COUNTIFS($C$3:$Q$3,"NOTTE",$C13:$Q13,AF$3)=0))+((AF14&lt;&gt;"Xp")*(AF14&lt;&gt;"Xg")*(COUNTIFS($C$3:$Q$3,"POM",$C14:$Q14,AF$3)=0)*(COUNTIFS($C$3:$Q$3,"NOTTE",$C14:$Q14,AF$3)=0)*(COUNTIFS($C$3:$Q$3,"NOTTE",$C13:$Q13,AF$3)=0))+((AF14&lt;&gt;"Xn")*(COUNTIFS($C$3:$Q$3,"MAT",$C14:$Q14,AF$3)=0)*(COUNTIFS($C$3:$Q$3,"POM",$C14:$Q14,AF$3)=0)*(COUNTIFS($C$3:$Q$3,"NOTTE",$C14:$Q14,AF$3)=0)*(COUNTIFS($C$3:$Q$3,"NOTTE",$C13:$Q13,AF$3)=0))=0,"",IF(0+((AF14&lt;&gt;"Xm")*(AF14&lt;&gt;"Xg")*(COUNTIFS($C$3:$Q$3,"MAT",$C14:$Q14,AF$3)=0)*(COUNTIFS($C$3:$Q$3,"NOTTE",$C14:$Q14,AF$3)=0)*(COUNTIFS($C$3:$Q$3,"NOTTE",$C13:$Q13,AF$3)=0))+((AF14&lt;&gt;"Xp")*(AF14&lt;&gt;"Xg")*(COUNTIFS($C$3:$Q$3,"POM",$C14:$Q14,AF$3)=0)*(COUNTIFS($C$3:$Q$3,"NOTTE",$C14:$Q14,AF$3)=0)*(COUNTIFS($C$3:$Q$3,"NOTTE",$C13:$Q13,AF$3)=0))+((AF14&lt;&gt;"Xn")*(COUNTIFS($C$3:$Q$3,"MAT",$C14:$Q14,AF$3)=0)*(COUNTIFS($C$3:$Q$3,"POM",$C14:$Q14,AF$3)=0)*(COUNTIFS($C$3:$Q$3,"NOTTE",$C14:$Q14,AF$3)=0)*(COUNTIFS($C$3:$Q$3,"NOTTE",$C13:$Q13,AF$3)=0))=3,AF$3&amp;", ",AF$3&amp;IF((AF14&lt;&gt;"Xm")*(AF14&lt;&gt;"Xg")*(COUNTIFS($C$3:$Q$3,"MAT",$C14:$Q14,AF$3)=0)*(COUNTIFS($C$3:$Q$3,"NOTTE",$C14:$Q14,AF$3)=0)*(COUNTIFS($C$3:$Q$3,"NOTTE",$C13:$Q13,AF$3)=0),"_m","")&amp;IF((AF14&lt;&gt;"Xp")*(AF14&lt;&gt;"Xg")*(COUNTIFS($C$3:$Q$3,"POM",$C14:$Q14,AF$3)=0)*(COUNTIFS($C$3:$Q$3,"NOTTE",$C14:$Q14,AF$3)=0)*(COUNTIFS($C$3:$Q$3,"NOTTE",$C13:$Q13,AF$3)=0),"_p","")&amp;IF((AF14&lt;&gt;"Xn")*(COUNTIFS($C$3:$Q$3,"MAT",$C14:$Q14,AF$3)=0)*(COUNTIFS($C$3:$Q$3,"POM",$C14:$Q14,AF$3)=0)*(COUNTIFS($C$3:$Q$3,"NOTTE",$C14:$Q14,AF$3)=0)*(COUNTIFS($C$3:$Q$3,"NOTTE",$C13:$Q13,AF$3)=0),"_n","")&amp;", ")))</f>
        <v xml:space="preserve">RUSSO, </v>
      </c>
      <c r="CJ14" s="9" t="str">
        <f>IF(0+(AG14="X")&gt;0,"",IF(0+((AG14&lt;&gt;"Xm")*(AG14&lt;&gt;"Xg")*(COUNTIFS($C$3:$Q$3,"MAT",$C14:$Q14,AG$3)=0)*(COUNTIFS($C$3:$Q$3,"NOTTE",$C14:$Q14,AG$3)=0)*(COUNTIFS($C$3:$Q$3,"NOTTE",$C13:$Q13,AG$3)=0))+((AG14&lt;&gt;"Xp")*(AG14&lt;&gt;"Xg")*(COUNTIFS($C$3:$Q$3,"POM",$C14:$Q14,AG$3)=0)*(COUNTIFS($C$3:$Q$3,"NOTTE",$C14:$Q14,AG$3)=0)*(COUNTIFS($C$3:$Q$3,"NOTTE",$C13:$Q13,AG$3)=0))+((AG14&lt;&gt;"Xn")*(COUNTIFS($C$3:$Q$3,"MAT",$C14:$Q14,AG$3)=0)*(COUNTIFS($C$3:$Q$3,"POM",$C14:$Q14,AG$3)=0)*(COUNTIFS($C$3:$Q$3,"NOTTE",$C14:$Q14,AG$3)=0)*(COUNTIFS($C$3:$Q$3,"NOTTE",$C13:$Q13,AG$3)=0))=0,"",IF(0+((AG14&lt;&gt;"Xm")*(AG14&lt;&gt;"Xg")*(COUNTIFS($C$3:$Q$3,"MAT",$C14:$Q14,AG$3)=0)*(COUNTIFS($C$3:$Q$3,"NOTTE",$C14:$Q14,AG$3)=0)*(COUNTIFS($C$3:$Q$3,"NOTTE",$C13:$Q13,AG$3)=0))+((AG14&lt;&gt;"Xp")*(AG14&lt;&gt;"Xg")*(COUNTIFS($C$3:$Q$3,"POM",$C14:$Q14,AG$3)=0)*(COUNTIFS($C$3:$Q$3,"NOTTE",$C14:$Q14,AG$3)=0)*(COUNTIFS($C$3:$Q$3,"NOTTE",$C13:$Q13,AG$3)=0))+((AG14&lt;&gt;"Xn")*(COUNTIFS($C$3:$Q$3,"MAT",$C14:$Q14,AG$3)=0)*(COUNTIFS($C$3:$Q$3,"POM",$C14:$Q14,AG$3)=0)*(COUNTIFS($C$3:$Q$3,"NOTTE",$C14:$Q14,AG$3)=0)*(COUNTIFS($C$3:$Q$3,"NOTTE",$C13:$Q13,AG$3)=0))=3,AG$3&amp;", ",AG$3&amp;IF((AG14&lt;&gt;"Xm")*(AG14&lt;&gt;"Xg")*(COUNTIFS($C$3:$Q$3,"MAT",$C14:$Q14,AG$3)=0)*(COUNTIFS($C$3:$Q$3,"NOTTE",$C14:$Q14,AG$3)=0)*(COUNTIFS($C$3:$Q$3,"NOTTE",$C13:$Q13,AG$3)=0),"_m","")&amp;IF((AG14&lt;&gt;"Xp")*(AG14&lt;&gt;"Xg")*(COUNTIFS($C$3:$Q$3,"POM",$C14:$Q14,AG$3)=0)*(COUNTIFS($C$3:$Q$3,"NOTTE",$C14:$Q14,AG$3)=0)*(COUNTIFS($C$3:$Q$3,"NOTTE",$C13:$Q13,AG$3)=0),"_p","")&amp;IF((AG14&lt;&gt;"Xn")*(COUNTIFS($C$3:$Q$3,"MAT",$C14:$Q14,AG$3)=0)*(COUNTIFS($C$3:$Q$3,"POM",$C14:$Q14,AG$3)=0)*(COUNTIFS($C$3:$Q$3,"NOTTE",$C14:$Q14,AG$3)=0)*(COUNTIFS($C$3:$Q$3,"NOTTE",$C13:$Q13,AG$3)=0),"_n","")&amp;", ")))</f>
        <v xml:space="preserve">VERDI, </v>
      </c>
      <c r="CK14" s="9" t="str">
        <f>IF(0+(AH14="X")&gt;0,"",IF(0+((AH14&lt;&gt;"Xm")*(AH14&lt;&gt;"Xg")*(COUNTIFS($C$3:$Q$3,"MAT",$C14:$Q14,AH$3)=0)*(COUNTIFS($C$3:$Q$3,"NOTTE",$C14:$Q14,AH$3)=0)*(COUNTIFS($C$3:$Q$3,"NOTTE",$C13:$Q13,AH$3)=0))+((AH14&lt;&gt;"Xp")*(AH14&lt;&gt;"Xg")*(COUNTIFS($C$3:$Q$3,"POM",$C14:$Q14,AH$3)=0)*(COUNTIFS($C$3:$Q$3,"NOTTE",$C14:$Q14,AH$3)=0)*(COUNTIFS($C$3:$Q$3,"NOTTE",$C13:$Q13,AH$3)=0))+((AH14&lt;&gt;"Xn")*(COUNTIFS($C$3:$Q$3,"MAT",$C14:$Q14,AH$3)=0)*(COUNTIFS($C$3:$Q$3,"POM",$C14:$Q14,AH$3)=0)*(COUNTIFS($C$3:$Q$3,"NOTTE",$C14:$Q14,AH$3)=0)*(COUNTIFS($C$3:$Q$3,"NOTTE",$C13:$Q13,AH$3)=0))=0,"",IF(0+((AH14&lt;&gt;"Xm")*(AH14&lt;&gt;"Xg")*(COUNTIFS($C$3:$Q$3,"MAT",$C14:$Q14,AH$3)=0)*(COUNTIFS($C$3:$Q$3,"NOTTE",$C14:$Q14,AH$3)=0)*(COUNTIFS($C$3:$Q$3,"NOTTE",$C13:$Q13,AH$3)=0))+((AH14&lt;&gt;"Xp")*(AH14&lt;&gt;"Xg")*(COUNTIFS($C$3:$Q$3,"POM",$C14:$Q14,AH$3)=0)*(COUNTIFS($C$3:$Q$3,"NOTTE",$C14:$Q14,AH$3)=0)*(COUNTIFS($C$3:$Q$3,"NOTTE",$C13:$Q13,AH$3)=0))+((AH14&lt;&gt;"Xn")*(COUNTIFS($C$3:$Q$3,"MAT",$C14:$Q14,AH$3)=0)*(COUNTIFS($C$3:$Q$3,"POM",$C14:$Q14,AH$3)=0)*(COUNTIFS($C$3:$Q$3,"NOTTE",$C14:$Q14,AH$3)=0)*(COUNTIFS($C$3:$Q$3,"NOTTE",$C13:$Q13,AH$3)=0))=3,AH$3&amp;", ",AH$3&amp;IF((AH14&lt;&gt;"Xm")*(AH14&lt;&gt;"Xg")*(COUNTIFS($C$3:$Q$3,"MAT",$C14:$Q14,AH$3)=0)*(COUNTIFS($C$3:$Q$3,"NOTTE",$C14:$Q14,AH$3)=0)*(COUNTIFS($C$3:$Q$3,"NOTTE",$C13:$Q13,AH$3)=0),"_m","")&amp;IF((AH14&lt;&gt;"Xp")*(AH14&lt;&gt;"Xg")*(COUNTIFS($C$3:$Q$3,"POM",$C14:$Q14,AH$3)=0)*(COUNTIFS($C$3:$Q$3,"NOTTE",$C14:$Q14,AH$3)=0)*(COUNTIFS($C$3:$Q$3,"NOTTE",$C13:$Q13,AH$3)=0),"_p","")&amp;IF((AH14&lt;&gt;"Xn")*(COUNTIFS($C$3:$Q$3,"MAT",$C14:$Q14,AH$3)=0)*(COUNTIFS($C$3:$Q$3,"POM",$C14:$Q14,AH$3)=0)*(COUNTIFS($C$3:$Q$3,"NOTTE",$C14:$Q14,AH$3)=0)*(COUNTIFS($C$3:$Q$3,"NOTTE",$C13:$Q13,AH$3)=0),"_n","")&amp;", ")))</f>
        <v xml:space="preserve">HU, </v>
      </c>
      <c r="CL14" s="9" t="str">
        <f>IF(0+(AI14="X")&gt;0,"",IF(0+((AI14&lt;&gt;"Xm")*(AI14&lt;&gt;"Xg")*(COUNTIFS($C$3:$Q$3,"MAT",$C14:$Q14,AI$3)=0)*(COUNTIFS($C$3:$Q$3,"NOTTE",$C14:$Q14,AI$3)=0)*(COUNTIFS($C$3:$Q$3,"NOTTE",$C13:$Q13,AI$3)=0))+((AI14&lt;&gt;"Xp")*(AI14&lt;&gt;"Xg")*(COUNTIFS($C$3:$Q$3,"POM",$C14:$Q14,AI$3)=0)*(COUNTIFS($C$3:$Q$3,"NOTTE",$C14:$Q14,AI$3)=0)*(COUNTIFS($C$3:$Q$3,"NOTTE",$C13:$Q13,AI$3)=0))+((AI14&lt;&gt;"Xn")*(COUNTIFS($C$3:$Q$3,"MAT",$C14:$Q14,AI$3)=0)*(COUNTIFS($C$3:$Q$3,"POM",$C14:$Q14,AI$3)=0)*(COUNTIFS($C$3:$Q$3,"NOTTE",$C14:$Q14,AI$3)=0)*(COUNTIFS($C$3:$Q$3,"NOTTE",$C13:$Q13,AI$3)=0))=0,"",IF(0+((AI14&lt;&gt;"Xm")*(AI14&lt;&gt;"Xg")*(COUNTIFS($C$3:$Q$3,"MAT",$C14:$Q14,AI$3)=0)*(COUNTIFS($C$3:$Q$3,"NOTTE",$C14:$Q14,AI$3)=0)*(COUNTIFS($C$3:$Q$3,"NOTTE",$C13:$Q13,AI$3)=0))+((AI14&lt;&gt;"Xp")*(AI14&lt;&gt;"Xg")*(COUNTIFS($C$3:$Q$3,"POM",$C14:$Q14,AI$3)=0)*(COUNTIFS($C$3:$Q$3,"NOTTE",$C14:$Q14,AI$3)=0)*(COUNTIFS($C$3:$Q$3,"NOTTE",$C13:$Q13,AI$3)=0))+((AI14&lt;&gt;"Xn")*(COUNTIFS($C$3:$Q$3,"MAT",$C14:$Q14,AI$3)=0)*(COUNTIFS($C$3:$Q$3,"POM",$C14:$Q14,AI$3)=0)*(COUNTIFS($C$3:$Q$3,"NOTTE",$C14:$Q14,AI$3)=0)*(COUNTIFS($C$3:$Q$3,"NOTTE",$C13:$Q13,AI$3)=0))=3,AI$3&amp;", ",AI$3&amp;IF((AI14&lt;&gt;"Xm")*(AI14&lt;&gt;"Xg")*(COUNTIFS($C$3:$Q$3,"MAT",$C14:$Q14,AI$3)=0)*(COUNTIFS($C$3:$Q$3,"NOTTE",$C14:$Q14,AI$3)=0)*(COUNTIFS($C$3:$Q$3,"NOTTE",$C13:$Q13,AI$3)=0),"_m","")&amp;IF((AI14&lt;&gt;"Xp")*(AI14&lt;&gt;"Xg")*(COUNTIFS($C$3:$Q$3,"POM",$C14:$Q14,AI$3)=0)*(COUNTIFS($C$3:$Q$3,"NOTTE",$C14:$Q14,AI$3)=0)*(COUNTIFS($C$3:$Q$3,"NOTTE",$C13:$Q13,AI$3)=0),"_p","")&amp;IF((AI14&lt;&gt;"Xn")*(COUNTIFS($C$3:$Q$3,"MAT",$C14:$Q14,AI$3)=0)*(COUNTIFS($C$3:$Q$3,"POM",$C14:$Q14,AI$3)=0)*(COUNTIFS($C$3:$Q$3,"NOTTE",$C14:$Q14,AI$3)=0)*(COUNTIFS($C$3:$Q$3,"NOTTE",$C13:$Q13,AI$3)=0),"_n","")&amp;", ")))</f>
        <v xml:space="preserve">MARINI, </v>
      </c>
      <c r="CM14" s="9" t="str">
        <f>IF(0+(AJ14="X")&gt;0,"",IF(0+((AJ14&lt;&gt;"Xm")*(AJ14&lt;&gt;"Xg")*(COUNTIFS($C$3:$Q$3,"MAT",$C14:$Q14,AJ$3)=0)*(COUNTIFS($C$3:$Q$3,"NOTTE",$C14:$Q14,AJ$3)=0)*(COUNTIFS($C$3:$Q$3,"NOTTE",$C13:$Q13,AJ$3)=0))+((AJ14&lt;&gt;"Xp")*(AJ14&lt;&gt;"Xg")*(COUNTIFS($C$3:$Q$3,"POM",$C14:$Q14,AJ$3)=0)*(COUNTIFS($C$3:$Q$3,"NOTTE",$C14:$Q14,AJ$3)=0)*(COUNTIFS($C$3:$Q$3,"NOTTE",$C13:$Q13,AJ$3)=0))+((AJ14&lt;&gt;"Xn")*(COUNTIFS($C$3:$Q$3,"MAT",$C14:$Q14,AJ$3)=0)*(COUNTIFS($C$3:$Q$3,"POM",$C14:$Q14,AJ$3)=0)*(COUNTIFS($C$3:$Q$3,"NOTTE",$C14:$Q14,AJ$3)=0)*(COUNTIFS($C$3:$Q$3,"NOTTE",$C13:$Q13,AJ$3)=0))=0,"",IF(0+((AJ14&lt;&gt;"Xm")*(AJ14&lt;&gt;"Xg")*(COUNTIFS($C$3:$Q$3,"MAT",$C14:$Q14,AJ$3)=0)*(COUNTIFS($C$3:$Q$3,"NOTTE",$C14:$Q14,AJ$3)=0)*(COUNTIFS($C$3:$Q$3,"NOTTE",$C13:$Q13,AJ$3)=0))+((AJ14&lt;&gt;"Xp")*(AJ14&lt;&gt;"Xg")*(COUNTIFS($C$3:$Q$3,"POM",$C14:$Q14,AJ$3)=0)*(COUNTIFS($C$3:$Q$3,"NOTTE",$C14:$Q14,AJ$3)=0)*(COUNTIFS($C$3:$Q$3,"NOTTE",$C13:$Q13,AJ$3)=0))+((AJ14&lt;&gt;"Xn")*(COUNTIFS($C$3:$Q$3,"MAT",$C14:$Q14,AJ$3)=0)*(COUNTIFS($C$3:$Q$3,"POM",$C14:$Q14,AJ$3)=0)*(COUNTIFS($C$3:$Q$3,"NOTTE",$C14:$Q14,AJ$3)=0)*(COUNTIFS($C$3:$Q$3,"NOTTE",$C13:$Q13,AJ$3)=0))=3,AJ$3&amp;", ",AJ$3&amp;IF((AJ14&lt;&gt;"Xm")*(AJ14&lt;&gt;"Xg")*(COUNTIFS($C$3:$Q$3,"MAT",$C14:$Q14,AJ$3)=0)*(COUNTIFS($C$3:$Q$3,"NOTTE",$C14:$Q14,AJ$3)=0)*(COUNTIFS($C$3:$Q$3,"NOTTE",$C13:$Q13,AJ$3)=0),"_m","")&amp;IF((AJ14&lt;&gt;"Xp")*(AJ14&lt;&gt;"Xg")*(COUNTIFS($C$3:$Q$3,"POM",$C14:$Q14,AJ$3)=0)*(COUNTIFS($C$3:$Q$3,"NOTTE",$C14:$Q14,AJ$3)=0)*(COUNTIFS($C$3:$Q$3,"NOTTE",$C13:$Q13,AJ$3)=0),"_p","")&amp;IF((AJ14&lt;&gt;"Xn")*(COUNTIFS($C$3:$Q$3,"MAT",$C14:$Q14,AJ$3)=0)*(COUNTIFS($C$3:$Q$3,"POM",$C14:$Q14,AJ$3)=0)*(COUNTIFS($C$3:$Q$3,"NOTTE",$C14:$Q14,AJ$3)=0)*(COUNTIFS($C$3:$Q$3,"NOTTE",$C13:$Q13,AJ$3)=0),"_n","")&amp;", ")))</f>
        <v xml:space="preserve">CONTI A, </v>
      </c>
      <c r="CN14" s="9" t="str">
        <f>IF(0+(AK14="X")&gt;0,"",IF(0+((AK14&lt;&gt;"Xm")*(AK14&lt;&gt;"Xg")*(COUNTIFS($C$3:$Q$3,"MAT",$C14:$Q14,AK$3)=0)*(COUNTIFS($C$3:$Q$3,"NOTTE",$C14:$Q14,AK$3)=0)*(COUNTIFS($C$3:$Q$3,"NOTTE",$C13:$Q13,AK$3)=0))+((AK14&lt;&gt;"Xp")*(AK14&lt;&gt;"Xg")*(COUNTIFS($C$3:$Q$3,"POM",$C14:$Q14,AK$3)=0)*(COUNTIFS($C$3:$Q$3,"NOTTE",$C14:$Q14,AK$3)=0)*(COUNTIFS($C$3:$Q$3,"NOTTE",$C13:$Q13,AK$3)=0))+((AK14&lt;&gt;"Xn")*(COUNTIFS($C$3:$Q$3,"MAT",$C14:$Q14,AK$3)=0)*(COUNTIFS($C$3:$Q$3,"POM",$C14:$Q14,AK$3)=0)*(COUNTIFS($C$3:$Q$3,"NOTTE",$C14:$Q14,AK$3)=0)*(COUNTIFS($C$3:$Q$3,"NOTTE",$C13:$Q13,AK$3)=0))=0,"",IF(0+((AK14&lt;&gt;"Xm")*(AK14&lt;&gt;"Xg")*(COUNTIFS($C$3:$Q$3,"MAT",$C14:$Q14,AK$3)=0)*(COUNTIFS($C$3:$Q$3,"NOTTE",$C14:$Q14,AK$3)=0)*(COUNTIFS($C$3:$Q$3,"NOTTE",$C13:$Q13,AK$3)=0))+((AK14&lt;&gt;"Xp")*(AK14&lt;&gt;"Xg")*(COUNTIFS($C$3:$Q$3,"POM",$C14:$Q14,AK$3)=0)*(COUNTIFS($C$3:$Q$3,"NOTTE",$C14:$Q14,AK$3)=0)*(COUNTIFS($C$3:$Q$3,"NOTTE",$C13:$Q13,AK$3)=0))+((AK14&lt;&gt;"Xn")*(COUNTIFS($C$3:$Q$3,"MAT",$C14:$Q14,AK$3)=0)*(COUNTIFS($C$3:$Q$3,"POM",$C14:$Q14,AK$3)=0)*(COUNTIFS($C$3:$Q$3,"NOTTE",$C14:$Q14,AK$3)=0)*(COUNTIFS($C$3:$Q$3,"NOTTE",$C13:$Q13,AK$3)=0))=3,AK$3&amp;", ",AK$3&amp;IF((AK14&lt;&gt;"Xm")*(AK14&lt;&gt;"Xg")*(COUNTIFS($C$3:$Q$3,"MAT",$C14:$Q14,AK$3)=0)*(COUNTIFS($C$3:$Q$3,"NOTTE",$C14:$Q14,AK$3)=0)*(COUNTIFS($C$3:$Q$3,"NOTTE",$C13:$Q13,AK$3)=0),"_m","")&amp;IF((AK14&lt;&gt;"Xp")*(AK14&lt;&gt;"Xg")*(COUNTIFS($C$3:$Q$3,"POM",$C14:$Q14,AK$3)=0)*(COUNTIFS($C$3:$Q$3,"NOTTE",$C14:$Q14,AK$3)=0)*(COUNTIFS($C$3:$Q$3,"NOTTE",$C13:$Q13,AK$3)=0),"_p","")&amp;IF((AK14&lt;&gt;"Xn")*(COUNTIFS($C$3:$Q$3,"MAT",$C14:$Q14,AK$3)=0)*(COUNTIFS($C$3:$Q$3,"POM",$C14:$Q14,AK$3)=0)*(COUNTIFS($C$3:$Q$3,"NOTTE",$C14:$Q14,AK$3)=0)*(COUNTIFS($C$3:$Q$3,"NOTTE",$C13:$Q13,AK$3)=0),"_n","")&amp;", ")))</f>
        <v xml:space="preserve">CONTI S, </v>
      </c>
      <c r="CO14" s="9" t="str">
        <f>IF(0+(AL14="X")&gt;0,"",IF(0+((AL14&lt;&gt;"Xm")*(AL14&lt;&gt;"Xg")*(COUNTIFS($C$3:$Q$3,"MAT",$C14:$Q14,AL$3)=0)*(COUNTIFS($C$3:$Q$3,"NOTTE",$C14:$Q14,AL$3)=0)*(COUNTIFS($C$3:$Q$3,"NOTTE",$C13:$Q13,AL$3)=0))+((AL14&lt;&gt;"Xp")*(AL14&lt;&gt;"Xg")*(COUNTIFS($C$3:$Q$3,"POM",$C14:$Q14,AL$3)=0)*(COUNTIFS($C$3:$Q$3,"NOTTE",$C14:$Q14,AL$3)=0)*(COUNTIFS($C$3:$Q$3,"NOTTE",$C13:$Q13,AL$3)=0))+((AL14&lt;&gt;"Xn")*(COUNTIFS($C$3:$Q$3,"MAT",$C14:$Q14,AL$3)=0)*(COUNTIFS($C$3:$Q$3,"POM",$C14:$Q14,AL$3)=0)*(COUNTIFS($C$3:$Q$3,"NOTTE",$C14:$Q14,AL$3)=0)*(COUNTIFS($C$3:$Q$3,"NOTTE",$C13:$Q13,AL$3)=0))=0,"",IF(0+((AL14&lt;&gt;"Xm")*(AL14&lt;&gt;"Xg")*(COUNTIFS($C$3:$Q$3,"MAT",$C14:$Q14,AL$3)=0)*(COUNTIFS($C$3:$Q$3,"NOTTE",$C14:$Q14,AL$3)=0)*(COUNTIFS($C$3:$Q$3,"NOTTE",$C13:$Q13,AL$3)=0))+((AL14&lt;&gt;"Xp")*(AL14&lt;&gt;"Xg")*(COUNTIFS($C$3:$Q$3,"POM",$C14:$Q14,AL$3)=0)*(COUNTIFS($C$3:$Q$3,"NOTTE",$C14:$Q14,AL$3)=0)*(COUNTIFS($C$3:$Q$3,"NOTTE",$C13:$Q13,AL$3)=0))+((AL14&lt;&gt;"Xn")*(COUNTIFS($C$3:$Q$3,"MAT",$C14:$Q14,AL$3)=0)*(COUNTIFS($C$3:$Q$3,"POM",$C14:$Q14,AL$3)=0)*(COUNTIFS($C$3:$Q$3,"NOTTE",$C14:$Q14,AL$3)=0)*(COUNTIFS($C$3:$Q$3,"NOTTE",$C13:$Q13,AL$3)=0))=3,AL$3&amp;", ",AL$3&amp;IF((AL14&lt;&gt;"Xm")*(AL14&lt;&gt;"Xg")*(COUNTIFS($C$3:$Q$3,"MAT",$C14:$Q14,AL$3)=0)*(COUNTIFS($C$3:$Q$3,"NOTTE",$C14:$Q14,AL$3)=0)*(COUNTIFS($C$3:$Q$3,"NOTTE",$C13:$Q13,AL$3)=0),"_m","")&amp;IF((AL14&lt;&gt;"Xp")*(AL14&lt;&gt;"Xg")*(COUNTIFS($C$3:$Q$3,"POM",$C14:$Q14,AL$3)=0)*(COUNTIFS($C$3:$Q$3,"NOTTE",$C14:$Q14,AL$3)=0)*(COUNTIFS($C$3:$Q$3,"NOTTE",$C13:$Q13,AL$3)=0),"_p","")&amp;IF((AL14&lt;&gt;"Xn")*(COUNTIFS($C$3:$Q$3,"MAT",$C14:$Q14,AL$3)=0)*(COUNTIFS($C$3:$Q$3,"POM",$C14:$Q14,AL$3)=0)*(COUNTIFS($C$3:$Q$3,"NOTTE",$C14:$Q14,AL$3)=0)*(COUNTIFS($C$3:$Q$3,"NOTTE",$C13:$Q13,AL$3)=0),"_n","")&amp;", ")))</f>
        <v xml:space="preserve">FERRARI, </v>
      </c>
      <c r="CP14" s="9" t="str">
        <f>IF(0+(AM14="X")&gt;0,"",IF(0+((AM14&lt;&gt;"Xm")*(AM14&lt;&gt;"Xg")*(COUNTIFS($C$3:$Q$3,"MAT",$C14:$Q14,AM$3)=0)*(COUNTIFS($C$3:$Q$3,"NOTTE",$C14:$Q14,AM$3)=0)*(COUNTIFS($C$3:$Q$3,"NOTTE",$C13:$Q13,AM$3)=0))+((AM14&lt;&gt;"Xp")*(AM14&lt;&gt;"Xg")*(COUNTIFS($C$3:$Q$3,"POM",$C14:$Q14,AM$3)=0)*(COUNTIFS($C$3:$Q$3,"NOTTE",$C14:$Q14,AM$3)=0)*(COUNTIFS($C$3:$Q$3,"NOTTE",$C13:$Q13,AM$3)=0))+((AM14&lt;&gt;"Xn")*(COUNTIFS($C$3:$Q$3,"MAT",$C14:$Q14,AM$3)=0)*(COUNTIFS($C$3:$Q$3,"POM",$C14:$Q14,AM$3)=0)*(COUNTIFS($C$3:$Q$3,"NOTTE",$C14:$Q14,AM$3)=0)*(COUNTIFS($C$3:$Q$3,"NOTTE",$C13:$Q13,AM$3)=0))=0,"",IF(0+((AM14&lt;&gt;"Xm")*(AM14&lt;&gt;"Xg")*(COUNTIFS($C$3:$Q$3,"MAT",$C14:$Q14,AM$3)=0)*(COUNTIFS($C$3:$Q$3,"NOTTE",$C14:$Q14,AM$3)=0)*(COUNTIFS($C$3:$Q$3,"NOTTE",$C13:$Q13,AM$3)=0))+((AM14&lt;&gt;"Xp")*(AM14&lt;&gt;"Xg")*(COUNTIFS($C$3:$Q$3,"POM",$C14:$Q14,AM$3)=0)*(COUNTIFS($C$3:$Q$3,"NOTTE",$C14:$Q14,AM$3)=0)*(COUNTIFS($C$3:$Q$3,"NOTTE",$C13:$Q13,AM$3)=0))+((AM14&lt;&gt;"Xn")*(COUNTIFS($C$3:$Q$3,"MAT",$C14:$Q14,AM$3)=0)*(COUNTIFS($C$3:$Q$3,"POM",$C14:$Q14,AM$3)=0)*(COUNTIFS($C$3:$Q$3,"NOTTE",$C14:$Q14,AM$3)=0)*(COUNTIFS($C$3:$Q$3,"NOTTE",$C13:$Q13,AM$3)=0))=3,AM$3&amp;", ",AM$3&amp;IF((AM14&lt;&gt;"Xm")*(AM14&lt;&gt;"Xg")*(COUNTIFS($C$3:$Q$3,"MAT",$C14:$Q14,AM$3)=0)*(COUNTIFS($C$3:$Q$3,"NOTTE",$C14:$Q14,AM$3)=0)*(COUNTIFS($C$3:$Q$3,"NOTTE",$C13:$Q13,AM$3)=0),"_m","")&amp;IF((AM14&lt;&gt;"Xp")*(AM14&lt;&gt;"Xg")*(COUNTIFS($C$3:$Q$3,"POM",$C14:$Q14,AM$3)=0)*(COUNTIFS($C$3:$Q$3,"NOTTE",$C14:$Q14,AM$3)=0)*(COUNTIFS($C$3:$Q$3,"NOTTE",$C13:$Q13,AM$3)=0),"_p","")&amp;IF((AM14&lt;&gt;"Xn")*(COUNTIFS($C$3:$Q$3,"MAT",$C14:$Q14,AM$3)=0)*(COUNTIFS($C$3:$Q$3,"POM",$C14:$Q14,AM$3)=0)*(COUNTIFS($C$3:$Q$3,"NOTTE",$C14:$Q14,AM$3)=0)*(COUNTIFS($C$3:$Q$3,"NOTTE",$C13:$Q13,AM$3)=0),"_n","")&amp;", ")))</f>
        <v xml:space="preserve">GRECO, </v>
      </c>
      <c r="CQ14" s="9" t="str">
        <f>IF(0+(AN14="X")&gt;0,"",IF(0+((AN14&lt;&gt;"Xm")*(AN14&lt;&gt;"Xg")*(COUNTIFS($C$3:$Q$3,"MAT",$C14:$Q14,AN$3)=0)*(COUNTIFS($C$3:$Q$3,"NOTTE",$C14:$Q14,AN$3)=0)*(COUNTIFS($C$3:$Q$3,"NOTTE",$C13:$Q13,AN$3)=0))+((AN14&lt;&gt;"Xp")*(AN14&lt;&gt;"Xg")*(COUNTIFS($C$3:$Q$3,"POM",$C14:$Q14,AN$3)=0)*(COUNTIFS($C$3:$Q$3,"NOTTE",$C14:$Q14,AN$3)=0)*(COUNTIFS($C$3:$Q$3,"NOTTE",$C13:$Q13,AN$3)=0))+((AN14&lt;&gt;"Xn")*(COUNTIFS($C$3:$Q$3,"MAT",$C14:$Q14,AN$3)=0)*(COUNTIFS($C$3:$Q$3,"POM",$C14:$Q14,AN$3)=0)*(COUNTIFS($C$3:$Q$3,"NOTTE",$C14:$Q14,AN$3)=0)*(COUNTIFS($C$3:$Q$3,"NOTTE",$C13:$Q13,AN$3)=0))=0,"",IF(0+((AN14&lt;&gt;"Xm")*(AN14&lt;&gt;"Xg")*(COUNTIFS($C$3:$Q$3,"MAT",$C14:$Q14,AN$3)=0)*(COUNTIFS($C$3:$Q$3,"NOTTE",$C14:$Q14,AN$3)=0)*(COUNTIFS($C$3:$Q$3,"NOTTE",$C13:$Q13,AN$3)=0))+((AN14&lt;&gt;"Xp")*(AN14&lt;&gt;"Xg")*(COUNTIFS($C$3:$Q$3,"POM",$C14:$Q14,AN$3)=0)*(COUNTIFS($C$3:$Q$3,"NOTTE",$C14:$Q14,AN$3)=0)*(COUNTIFS($C$3:$Q$3,"NOTTE",$C13:$Q13,AN$3)=0))+((AN14&lt;&gt;"Xn")*(COUNTIFS($C$3:$Q$3,"MAT",$C14:$Q14,AN$3)=0)*(COUNTIFS($C$3:$Q$3,"POM",$C14:$Q14,AN$3)=0)*(COUNTIFS($C$3:$Q$3,"NOTTE",$C14:$Q14,AN$3)=0)*(COUNTIFS($C$3:$Q$3,"NOTTE",$C13:$Q13,AN$3)=0))=3,AN$3&amp;", ",AN$3&amp;IF((AN14&lt;&gt;"Xm")*(AN14&lt;&gt;"Xg")*(COUNTIFS($C$3:$Q$3,"MAT",$C14:$Q14,AN$3)=0)*(COUNTIFS($C$3:$Q$3,"NOTTE",$C14:$Q14,AN$3)=0)*(COUNTIFS($C$3:$Q$3,"NOTTE",$C13:$Q13,AN$3)=0),"_m","")&amp;IF((AN14&lt;&gt;"Xp")*(AN14&lt;&gt;"Xg")*(COUNTIFS($C$3:$Q$3,"POM",$C14:$Q14,AN$3)=0)*(COUNTIFS($C$3:$Q$3,"NOTTE",$C14:$Q14,AN$3)=0)*(COUNTIFS($C$3:$Q$3,"NOTTE",$C13:$Q13,AN$3)=0),"_p","")&amp;IF((AN14&lt;&gt;"Xn")*(COUNTIFS($C$3:$Q$3,"MAT",$C14:$Q14,AN$3)=0)*(COUNTIFS($C$3:$Q$3,"POM",$C14:$Q14,AN$3)=0)*(COUNTIFS($C$3:$Q$3,"NOTTE",$C14:$Q14,AN$3)=0)*(COUNTIFS($C$3:$Q$3,"NOTTE",$C13:$Q13,AN$3)=0),"_n","")&amp;", ")))</f>
        <v xml:space="preserve">SANNA, </v>
      </c>
      <c r="CR14" s="9" t="str">
        <f>IF(0+(AO14="X")&gt;0,"",IF(0+((AO14&lt;&gt;"Xm")*(AO14&lt;&gt;"Xg")*(COUNTIFS($C$3:$Q$3,"MAT",$C14:$Q14,AO$3)=0)*(COUNTIFS($C$3:$Q$3,"NOTTE",$C14:$Q14,AO$3)=0)*(COUNTIFS($C$3:$Q$3,"NOTTE",$C13:$Q13,AO$3)=0))+((AO14&lt;&gt;"Xp")*(AO14&lt;&gt;"Xg")*(COUNTIFS($C$3:$Q$3,"POM",$C14:$Q14,AO$3)=0)*(COUNTIFS($C$3:$Q$3,"NOTTE",$C14:$Q14,AO$3)=0)*(COUNTIFS($C$3:$Q$3,"NOTTE",$C13:$Q13,AO$3)=0))+((AO14&lt;&gt;"Xn")*(COUNTIFS($C$3:$Q$3,"MAT",$C14:$Q14,AO$3)=0)*(COUNTIFS($C$3:$Q$3,"POM",$C14:$Q14,AO$3)=0)*(COUNTIFS($C$3:$Q$3,"NOTTE",$C14:$Q14,AO$3)=0)*(COUNTIFS($C$3:$Q$3,"NOTTE",$C13:$Q13,AO$3)=0))=0,"",IF(0+((AO14&lt;&gt;"Xm")*(AO14&lt;&gt;"Xg")*(COUNTIFS($C$3:$Q$3,"MAT",$C14:$Q14,AO$3)=0)*(COUNTIFS($C$3:$Q$3,"NOTTE",$C14:$Q14,AO$3)=0)*(COUNTIFS($C$3:$Q$3,"NOTTE",$C13:$Q13,AO$3)=0))+((AO14&lt;&gt;"Xp")*(AO14&lt;&gt;"Xg")*(COUNTIFS($C$3:$Q$3,"POM",$C14:$Q14,AO$3)=0)*(COUNTIFS($C$3:$Q$3,"NOTTE",$C14:$Q14,AO$3)=0)*(COUNTIFS($C$3:$Q$3,"NOTTE",$C13:$Q13,AO$3)=0))+((AO14&lt;&gt;"Xn")*(COUNTIFS($C$3:$Q$3,"MAT",$C14:$Q14,AO$3)=0)*(COUNTIFS($C$3:$Q$3,"POM",$C14:$Q14,AO$3)=0)*(COUNTIFS($C$3:$Q$3,"NOTTE",$C14:$Q14,AO$3)=0)*(COUNTIFS($C$3:$Q$3,"NOTTE",$C13:$Q13,AO$3)=0))=3,AO$3&amp;", ",AO$3&amp;IF((AO14&lt;&gt;"Xm")*(AO14&lt;&gt;"Xg")*(COUNTIFS($C$3:$Q$3,"MAT",$C14:$Q14,AO$3)=0)*(COUNTIFS($C$3:$Q$3,"NOTTE",$C14:$Q14,AO$3)=0)*(COUNTIFS($C$3:$Q$3,"NOTTE",$C13:$Q13,AO$3)=0),"_m","")&amp;IF((AO14&lt;&gt;"Xp")*(AO14&lt;&gt;"Xg")*(COUNTIFS($C$3:$Q$3,"POM",$C14:$Q14,AO$3)=0)*(COUNTIFS($C$3:$Q$3,"NOTTE",$C14:$Q14,AO$3)=0)*(COUNTIFS($C$3:$Q$3,"NOTTE",$C13:$Q13,AO$3)=0),"_p","")&amp;IF((AO14&lt;&gt;"Xn")*(COUNTIFS($C$3:$Q$3,"MAT",$C14:$Q14,AO$3)=0)*(COUNTIFS($C$3:$Q$3,"POM",$C14:$Q14,AO$3)=0)*(COUNTIFS($C$3:$Q$3,"NOTTE",$C14:$Q14,AO$3)=0)*(COUNTIFS($C$3:$Q$3,"NOTTE",$C13:$Q13,AO$3)=0),"_n","")&amp;", ")))</f>
        <v xml:space="preserve">LI, </v>
      </c>
    </row>
    <row r="15">
      <c r="A15" s="10" t="str">
        <f>CHOOSE(WEEKDAY(DATE($B$1,$A$2,B15),2),"lunedì","martedì","mercoledì","giovedì","venerdì","sabato","domenica")</f>
        <v>giovedì</v>
      </c>
      <c r="B15" s="10" t="n">
        <v>12</v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4" t="n"/>
      <c r="M15" s="11" t="n"/>
      <c r="N15" s="11" t="n"/>
      <c r="O15" s="11" t="n"/>
      <c r="P15" s="4" t="n"/>
      <c r="Q15" s="11" t="n"/>
      <c r="R15" s="11" t="n"/>
      <c r="S15" s="11">
        <f>IF(SUMPRODUCT(($C$3:$Q$3&lt;&gt;"")*($C15:$Q15&lt;&gt;"")*(LEFT($C15:$Q15,6)&lt;&gt;"chiuso")*(COUNTIFS($C15:$Q15,$C15:$Q15,$C$3:$Q$3,$C$3:$Q$3)&gt;1))&gt;0,"X","")</f>
      </c>
      <c r="T15" s="11" t="str">
        <f>IF(LEN(BP15&amp;BQ15&amp;BR15&amp;BS15&amp;BT15&amp;BU15&amp;BV15&amp;BW15&amp;BX15&amp;BY15&amp;BZ15&amp;CA15&amp;CB15&amp;CC15)=0,"",LEFT(BP15&amp;BQ15&amp;BR15&amp;BS15&amp;BT15&amp;BU15&amp;BV15&amp;BW15&amp;BX15&amp;BY15&amp;BZ15&amp;CA15&amp;CB15&amp;CC15,LEN(BP15&amp;BQ15&amp;BR15&amp;BS15&amp;BT15&amp;BU15&amp;BV15&amp;BW15&amp;BX15&amp;BY15&amp;BZ15&amp;CA15&amp;CB15&amp;CC15)-2))</f>
        <v>LEONI, ROSSI M, ROSSI L, GALLINA, RUSSO, VERDI, HU, MARINI, CONTI A, CONTI S, FERRARI, GRECO, SANNA, LI</v>
      </c>
      <c r="U15" s="11" t="str">
        <f>IF(LEN(CE15&amp;CF15&amp;CG15&amp;CH15&amp;CI15&amp;CJ15&amp;CK15&amp;CL15&amp;CM15&amp;CN15&amp;CO15&amp;CP15&amp;CQ15&amp;CR15)=0,"",LEFT(CE15&amp;CF15&amp;CG15&amp;CH15&amp;CI15&amp;CJ15&amp;CK15&amp;CL15&amp;CM15&amp;CN15&amp;CO15&amp;CP15&amp;CQ15&amp;CR15,LEN(CE15&amp;CF15&amp;CG15&amp;CH15&amp;CI15&amp;CJ15&amp;CK15&amp;CL15&amp;CM15&amp;CN15&amp;CO15&amp;CP15&amp;CQ15&amp;CR15)-2))</f>
        <v>LEONI, ROSSI M, ROSSI L, GALLINA, RUSSO, VERDI, HU, MARINI, CONTI A, CONTI S, FERRARI, GRECO, SANNA, LI</v>
      </c>
      <c r="Z15" s="10" t="str">
        <f>A15</f>
        <v>giovedì</v>
      </c>
      <c r="AA15" s="10">
        <f>B15</f>
        <v>12</v>
      </c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T15" s="7" t="str">
        <f>AM$3</f>
        <v>GRECO</v>
      </c>
      <c r="AU15" s="7">
        <f>COUNTIF($C$4:$D$33,$AT15)</f>
        <v>0</v>
      </c>
      <c r="AV15" s="7">
        <f>COUNTIF($E$4:$F$33,$AT15)</f>
        <v>0</v>
      </c>
      <c r="AW15" s="7">
        <f>COUNTIF($G$4:$H$33,$AT15)</f>
        <v>0</v>
      </c>
      <c r="AX15" s="7">
        <f>COUNTIF($I$4:$J$33,$AT15)</f>
        <v>0</v>
      </c>
      <c r="AY15" s="7">
        <f>COUNTIF($K$4:$K$33,$AT15)</f>
        <v>0</v>
      </c>
      <c r="AZ15" s="7">
        <f>COUNTIF($L$4:$L$33,$AT15)</f>
        <v>0</v>
      </c>
      <c r="BA15" s="7">
        <f>COUNTIF($M$4:$M$33,$AT15)</f>
        <v>0</v>
      </c>
      <c r="BB15" s="7">
        <f>COUNTIF($N$4:$Q$33,$AT15)</f>
        <v>0</v>
      </c>
      <c r="BC15" s="7">
        <f>COUNTIF($C$4:$Q$33,$AT15)</f>
        <v>0</v>
      </c>
      <c r="BE15" s="8" t="str">
        <f>AM$3</f>
        <v>GRECO</v>
      </c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P15" s="9" t="str">
        <f>IF(0+(AB15="X")&gt;0,"",IF(0+((AB15&lt;&gt;"Xm")*(AB15&lt;&gt;"Xg"))+((AB15&lt;&gt;"Xp")*(AB15&lt;&gt;"Xg"))+((AB15&lt;&gt;"Xn"))=0,"",IF(0+((AB15&lt;&gt;"Xm")*(AB15&lt;&gt;"Xg"))+((AB15&lt;&gt;"Xp")*(AB15&lt;&gt;"Xg"))+((AB15&lt;&gt;"Xn"))=3,AB$3&amp;", ",AB$3&amp;IF((AB15&lt;&gt;"Xm")*(AB15&lt;&gt;"Xg"),"_m","")&amp;IF((AB15&lt;&gt;"Xp")*(AB15&lt;&gt;"Xg"),"_p","")&amp;IF((AB15&lt;&gt;"Xn"),"_n","")&amp;", ")))</f>
        <v xml:space="preserve">LEONI, </v>
      </c>
      <c r="BQ15" s="9" t="str">
        <f>IF(0+(AC15="X")&gt;0,"",IF(0+((AC15&lt;&gt;"Xm")*(AC15&lt;&gt;"Xg"))+((AC15&lt;&gt;"Xp")*(AC15&lt;&gt;"Xg"))+((AC15&lt;&gt;"Xn"))=0,"",IF(0+((AC15&lt;&gt;"Xm")*(AC15&lt;&gt;"Xg"))+((AC15&lt;&gt;"Xp")*(AC15&lt;&gt;"Xg"))+((AC15&lt;&gt;"Xn"))=3,AC$3&amp;", ",AC$3&amp;IF((AC15&lt;&gt;"Xm")*(AC15&lt;&gt;"Xg"),"_m","")&amp;IF((AC15&lt;&gt;"Xp")*(AC15&lt;&gt;"Xg"),"_p","")&amp;IF((AC15&lt;&gt;"Xn"),"_n","")&amp;", ")))</f>
        <v xml:space="preserve">ROSSI M, </v>
      </c>
      <c r="BR15" s="9" t="str">
        <f>IF(0+(AD15="X")&gt;0,"",IF(0+((AD15&lt;&gt;"Xm")*(AD15&lt;&gt;"Xg"))+((AD15&lt;&gt;"Xp")*(AD15&lt;&gt;"Xg"))+((AD15&lt;&gt;"Xn"))=0,"",IF(0+((AD15&lt;&gt;"Xm")*(AD15&lt;&gt;"Xg"))+((AD15&lt;&gt;"Xp")*(AD15&lt;&gt;"Xg"))+((AD15&lt;&gt;"Xn"))=3,AD$3&amp;", ",AD$3&amp;IF((AD15&lt;&gt;"Xm")*(AD15&lt;&gt;"Xg"),"_m","")&amp;IF((AD15&lt;&gt;"Xp")*(AD15&lt;&gt;"Xg"),"_p","")&amp;IF((AD15&lt;&gt;"Xn"),"_n","")&amp;", ")))</f>
        <v xml:space="preserve">ROSSI L, </v>
      </c>
      <c r="BS15" s="9" t="str">
        <f>IF(0+(AE15="X")&gt;0,"",IF(0+((AE15&lt;&gt;"Xm")*(AE15&lt;&gt;"Xg"))+((AE15&lt;&gt;"Xp")*(AE15&lt;&gt;"Xg"))+((AE15&lt;&gt;"Xn"))=0,"",IF(0+((AE15&lt;&gt;"Xm")*(AE15&lt;&gt;"Xg"))+((AE15&lt;&gt;"Xp")*(AE15&lt;&gt;"Xg"))+((AE15&lt;&gt;"Xn"))=3,AE$3&amp;", ",AE$3&amp;IF((AE15&lt;&gt;"Xm")*(AE15&lt;&gt;"Xg"),"_m","")&amp;IF((AE15&lt;&gt;"Xp")*(AE15&lt;&gt;"Xg"),"_p","")&amp;IF((AE15&lt;&gt;"Xn"),"_n","")&amp;", ")))</f>
        <v xml:space="preserve">GALLINA, </v>
      </c>
      <c r="BT15" s="9" t="str">
        <f>IF(0+(AF15="X")&gt;0,"",IF(0+((AF15&lt;&gt;"Xm")*(AF15&lt;&gt;"Xg"))+((AF15&lt;&gt;"Xp")*(AF15&lt;&gt;"Xg"))+((AF15&lt;&gt;"Xn"))=0,"",IF(0+((AF15&lt;&gt;"Xm")*(AF15&lt;&gt;"Xg"))+((AF15&lt;&gt;"Xp")*(AF15&lt;&gt;"Xg"))+((AF15&lt;&gt;"Xn"))=3,AF$3&amp;", ",AF$3&amp;IF((AF15&lt;&gt;"Xm")*(AF15&lt;&gt;"Xg"),"_m","")&amp;IF((AF15&lt;&gt;"Xp")*(AF15&lt;&gt;"Xg"),"_p","")&amp;IF((AF15&lt;&gt;"Xn"),"_n","")&amp;", ")))</f>
        <v xml:space="preserve">RUSSO, </v>
      </c>
      <c r="BU15" s="9" t="str">
        <f>IF(0+(AG15="X")&gt;0,"",IF(0+((AG15&lt;&gt;"Xm")*(AG15&lt;&gt;"Xg"))+((AG15&lt;&gt;"Xp")*(AG15&lt;&gt;"Xg"))+((AG15&lt;&gt;"Xn"))=0,"",IF(0+((AG15&lt;&gt;"Xm")*(AG15&lt;&gt;"Xg"))+((AG15&lt;&gt;"Xp")*(AG15&lt;&gt;"Xg"))+((AG15&lt;&gt;"Xn"))=3,AG$3&amp;", ",AG$3&amp;IF((AG15&lt;&gt;"Xm")*(AG15&lt;&gt;"Xg"),"_m","")&amp;IF((AG15&lt;&gt;"Xp")*(AG15&lt;&gt;"Xg"),"_p","")&amp;IF((AG15&lt;&gt;"Xn"),"_n","")&amp;", ")))</f>
        <v xml:space="preserve">VERDI, </v>
      </c>
      <c r="BV15" s="9" t="str">
        <f>IF(0+(AH15="X")&gt;0,"",IF(0+((AH15&lt;&gt;"Xm")*(AH15&lt;&gt;"Xg"))+((AH15&lt;&gt;"Xp")*(AH15&lt;&gt;"Xg"))+((AH15&lt;&gt;"Xn"))=0,"",IF(0+((AH15&lt;&gt;"Xm")*(AH15&lt;&gt;"Xg"))+((AH15&lt;&gt;"Xp")*(AH15&lt;&gt;"Xg"))+((AH15&lt;&gt;"Xn"))=3,AH$3&amp;", ",AH$3&amp;IF((AH15&lt;&gt;"Xm")*(AH15&lt;&gt;"Xg"),"_m","")&amp;IF((AH15&lt;&gt;"Xp")*(AH15&lt;&gt;"Xg"),"_p","")&amp;IF((AH15&lt;&gt;"Xn"),"_n","")&amp;", ")))</f>
        <v xml:space="preserve">HU, </v>
      </c>
      <c r="BW15" s="9" t="str">
        <f>IF(0+(AI15="X")&gt;0,"",IF(0+((AI15&lt;&gt;"Xm")*(AI15&lt;&gt;"Xg"))+((AI15&lt;&gt;"Xp")*(AI15&lt;&gt;"Xg"))+((AI15&lt;&gt;"Xn"))=0,"",IF(0+((AI15&lt;&gt;"Xm")*(AI15&lt;&gt;"Xg"))+((AI15&lt;&gt;"Xp")*(AI15&lt;&gt;"Xg"))+((AI15&lt;&gt;"Xn"))=3,AI$3&amp;", ",AI$3&amp;IF((AI15&lt;&gt;"Xm")*(AI15&lt;&gt;"Xg"),"_m","")&amp;IF((AI15&lt;&gt;"Xp")*(AI15&lt;&gt;"Xg"),"_p","")&amp;IF((AI15&lt;&gt;"Xn"),"_n","")&amp;", ")))</f>
        <v xml:space="preserve">MARINI, </v>
      </c>
      <c r="BX15" s="9" t="str">
        <f>IF(0+(AJ15="X")&gt;0,"",IF(0+((AJ15&lt;&gt;"Xm")*(AJ15&lt;&gt;"Xg"))+((AJ15&lt;&gt;"Xp")*(AJ15&lt;&gt;"Xg"))+((AJ15&lt;&gt;"Xn"))=0,"",IF(0+((AJ15&lt;&gt;"Xm")*(AJ15&lt;&gt;"Xg"))+((AJ15&lt;&gt;"Xp")*(AJ15&lt;&gt;"Xg"))+((AJ15&lt;&gt;"Xn"))=3,AJ$3&amp;", ",AJ$3&amp;IF((AJ15&lt;&gt;"Xm")*(AJ15&lt;&gt;"Xg"),"_m","")&amp;IF((AJ15&lt;&gt;"Xp")*(AJ15&lt;&gt;"Xg"),"_p","")&amp;IF((AJ15&lt;&gt;"Xn"),"_n","")&amp;", ")))</f>
        <v xml:space="preserve">CONTI A, </v>
      </c>
      <c r="BY15" s="9" t="str">
        <f>IF(0+(AK15="X")&gt;0,"",IF(0+((AK15&lt;&gt;"Xm")*(AK15&lt;&gt;"Xg"))+((AK15&lt;&gt;"Xp")*(AK15&lt;&gt;"Xg"))+((AK15&lt;&gt;"Xn"))=0,"",IF(0+((AK15&lt;&gt;"Xm")*(AK15&lt;&gt;"Xg"))+((AK15&lt;&gt;"Xp")*(AK15&lt;&gt;"Xg"))+((AK15&lt;&gt;"Xn"))=3,AK$3&amp;", ",AK$3&amp;IF((AK15&lt;&gt;"Xm")*(AK15&lt;&gt;"Xg"),"_m","")&amp;IF((AK15&lt;&gt;"Xp")*(AK15&lt;&gt;"Xg"),"_p","")&amp;IF((AK15&lt;&gt;"Xn"),"_n","")&amp;", ")))</f>
        <v xml:space="preserve">CONTI S, </v>
      </c>
      <c r="BZ15" s="9" t="str">
        <f>IF(0+(AL15="X")&gt;0,"",IF(0+((AL15&lt;&gt;"Xm")*(AL15&lt;&gt;"Xg"))+((AL15&lt;&gt;"Xp")*(AL15&lt;&gt;"Xg"))+((AL15&lt;&gt;"Xn"))=0,"",IF(0+((AL15&lt;&gt;"Xm")*(AL15&lt;&gt;"Xg"))+((AL15&lt;&gt;"Xp")*(AL15&lt;&gt;"Xg"))+((AL15&lt;&gt;"Xn"))=3,AL$3&amp;", ",AL$3&amp;IF((AL15&lt;&gt;"Xm")*(AL15&lt;&gt;"Xg"),"_m","")&amp;IF((AL15&lt;&gt;"Xp")*(AL15&lt;&gt;"Xg"),"_p","")&amp;IF((AL15&lt;&gt;"Xn"),"_n","")&amp;", ")))</f>
        <v xml:space="preserve">FERRARI, </v>
      </c>
      <c r="CA15" s="9" t="str">
        <f>IF(0+(AM15="X")&gt;0,"",IF(0+((AM15&lt;&gt;"Xm")*(AM15&lt;&gt;"Xg"))+((AM15&lt;&gt;"Xp")*(AM15&lt;&gt;"Xg"))+((AM15&lt;&gt;"Xn"))=0,"",IF(0+((AM15&lt;&gt;"Xm")*(AM15&lt;&gt;"Xg"))+((AM15&lt;&gt;"Xp")*(AM15&lt;&gt;"Xg"))+((AM15&lt;&gt;"Xn"))=3,AM$3&amp;", ",AM$3&amp;IF((AM15&lt;&gt;"Xm")*(AM15&lt;&gt;"Xg"),"_m","")&amp;IF((AM15&lt;&gt;"Xp")*(AM15&lt;&gt;"Xg"),"_p","")&amp;IF((AM15&lt;&gt;"Xn"),"_n","")&amp;", ")))</f>
        <v xml:space="preserve">GRECO, </v>
      </c>
      <c r="CB15" s="9" t="str">
        <f>IF(0+(AN15="X")&gt;0,"",IF(0+((AN15&lt;&gt;"Xm")*(AN15&lt;&gt;"Xg"))+((AN15&lt;&gt;"Xp")*(AN15&lt;&gt;"Xg"))+((AN15&lt;&gt;"Xn"))=0,"",IF(0+((AN15&lt;&gt;"Xm")*(AN15&lt;&gt;"Xg"))+((AN15&lt;&gt;"Xp")*(AN15&lt;&gt;"Xg"))+((AN15&lt;&gt;"Xn"))=3,AN$3&amp;", ",AN$3&amp;IF((AN15&lt;&gt;"Xm")*(AN15&lt;&gt;"Xg"),"_m","")&amp;IF((AN15&lt;&gt;"Xp")*(AN15&lt;&gt;"Xg"),"_p","")&amp;IF((AN15&lt;&gt;"Xn"),"_n","")&amp;", ")))</f>
        <v xml:space="preserve">SANNA, </v>
      </c>
      <c r="CC15" s="9" t="str">
        <f>IF(0+(AO15="X")&gt;0,"",IF(0+((AO15&lt;&gt;"Xm")*(AO15&lt;&gt;"Xg"))+((AO15&lt;&gt;"Xp")*(AO15&lt;&gt;"Xg"))+((AO15&lt;&gt;"Xn"))=0,"",IF(0+((AO15&lt;&gt;"Xm")*(AO15&lt;&gt;"Xg"))+((AO15&lt;&gt;"Xp")*(AO15&lt;&gt;"Xg"))+((AO15&lt;&gt;"Xn"))=3,AO$3&amp;", ",AO$3&amp;IF((AO15&lt;&gt;"Xm")*(AO15&lt;&gt;"Xg"),"_m","")&amp;IF((AO15&lt;&gt;"Xp")*(AO15&lt;&gt;"Xg"),"_p","")&amp;IF((AO15&lt;&gt;"Xn"),"_n","")&amp;", ")))</f>
        <v xml:space="preserve">LI, </v>
      </c>
      <c r="CD15" s="9" t="n"/>
      <c r="CE15" s="9" t="str">
        <f>IF(0+(AB15="X")&gt;0,"",IF(0+((AB15&lt;&gt;"Xm")*(AB15&lt;&gt;"Xg")*(COUNTIFS($C$3:$Q$3,"MAT",$C15:$Q15,AB$3)=0)*(COUNTIFS($C$3:$Q$3,"NOTTE",$C15:$Q15,AB$3)=0)*(COUNTIFS($C$3:$Q$3,"NOTTE",$C14:$Q14,AB$3)=0))+((AB15&lt;&gt;"Xp")*(AB15&lt;&gt;"Xg")*(COUNTIFS($C$3:$Q$3,"POM",$C15:$Q15,AB$3)=0)*(COUNTIFS($C$3:$Q$3,"NOTTE",$C15:$Q15,AB$3)=0)*(COUNTIFS($C$3:$Q$3,"NOTTE",$C14:$Q14,AB$3)=0))+((AB15&lt;&gt;"Xn")*(COUNTIFS($C$3:$Q$3,"MAT",$C15:$Q15,AB$3)=0)*(COUNTIFS($C$3:$Q$3,"POM",$C15:$Q15,AB$3)=0)*(COUNTIFS($C$3:$Q$3,"NOTTE",$C15:$Q15,AB$3)=0)*(COUNTIFS($C$3:$Q$3,"NOTTE",$C14:$Q14,AB$3)=0))=0,"",IF(0+((AB15&lt;&gt;"Xm")*(AB15&lt;&gt;"Xg")*(COUNTIFS($C$3:$Q$3,"MAT",$C15:$Q15,AB$3)=0)*(COUNTIFS($C$3:$Q$3,"NOTTE",$C15:$Q15,AB$3)=0)*(COUNTIFS($C$3:$Q$3,"NOTTE",$C14:$Q14,AB$3)=0))+((AB15&lt;&gt;"Xp")*(AB15&lt;&gt;"Xg")*(COUNTIFS($C$3:$Q$3,"POM",$C15:$Q15,AB$3)=0)*(COUNTIFS($C$3:$Q$3,"NOTTE",$C15:$Q15,AB$3)=0)*(COUNTIFS($C$3:$Q$3,"NOTTE",$C14:$Q14,AB$3)=0))+((AB15&lt;&gt;"Xn")*(COUNTIFS($C$3:$Q$3,"MAT",$C15:$Q15,AB$3)=0)*(COUNTIFS($C$3:$Q$3,"POM",$C15:$Q15,AB$3)=0)*(COUNTIFS($C$3:$Q$3,"NOTTE",$C15:$Q15,AB$3)=0)*(COUNTIFS($C$3:$Q$3,"NOTTE",$C14:$Q14,AB$3)=0))=3,AB$3&amp;", ",AB$3&amp;IF((AB15&lt;&gt;"Xm")*(AB15&lt;&gt;"Xg")*(COUNTIFS($C$3:$Q$3,"MAT",$C15:$Q15,AB$3)=0)*(COUNTIFS($C$3:$Q$3,"NOTTE",$C15:$Q15,AB$3)=0)*(COUNTIFS($C$3:$Q$3,"NOTTE",$C14:$Q14,AB$3)=0),"_m","")&amp;IF((AB15&lt;&gt;"Xp")*(AB15&lt;&gt;"Xg")*(COUNTIFS($C$3:$Q$3,"POM",$C15:$Q15,AB$3)=0)*(COUNTIFS($C$3:$Q$3,"NOTTE",$C15:$Q15,AB$3)=0)*(COUNTIFS($C$3:$Q$3,"NOTTE",$C14:$Q14,AB$3)=0),"_p","")&amp;IF((AB15&lt;&gt;"Xn")*(COUNTIFS($C$3:$Q$3,"MAT",$C15:$Q15,AB$3)=0)*(COUNTIFS($C$3:$Q$3,"POM",$C15:$Q15,AB$3)=0)*(COUNTIFS($C$3:$Q$3,"NOTTE",$C15:$Q15,AB$3)=0)*(COUNTIFS($C$3:$Q$3,"NOTTE",$C14:$Q14,AB$3)=0),"_n","")&amp;", ")))</f>
        <v xml:space="preserve">LEONI, </v>
      </c>
      <c r="CF15" s="9" t="str">
        <f>IF(0+(AC15="X")&gt;0,"",IF(0+((AC15&lt;&gt;"Xm")*(AC15&lt;&gt;"Xg")*(COUNTIFS($C$3:$Q$3,"MAT",$C15:$Q15,AC$3)=0)*(COUNTIFS($C$3:$Q$3,"NOTTE",$C15:$Q15,AC$3)=0)*(COUNTIFS($C$3:$Q$3,"NOTTE",$C14:$Q14,AC$3)=0))+((AC15&lt;&gt;"Xp")*(AC15&lt;&gt;"Xg")*(COUNTIFS($C$3:$Q$3,"POM",$C15:$Q15,AC$3)=0)*(COUNTIFS($C$3:$Q$3,"NOTTE",$C15:$Q15,AC$3)=0)*(COUNTIFS($C$3:$Q$3,"NOTTE",$C14:$Q14,AC$3)=0))+((AC15&lt;&gt;"Xn")*(COUNTIFS($C$3:$Q$3,"MAT",$C15:$Q15,AC$3)=0)*(COUNTIFS($C$3:$Q$3,"POM",$C15:$Q15,AC$3)=0)*(COUNTIFS($C$3:$Q$3,"NOTTE",$C15:$Q15,AC$3)=0)*(COUNTIFS($C$3:$Q$3,"NOTTE",$C14:$Q14,AC$3)=0))=0,"",IF(0+((AC15&lt;&gt;"Xm")*(AC15&lt;&gt;"Xg")*(COUNTIFS($C$3:$Q$3,"MAT",$C15:$Q15,AC$3)=0)*(COUNTIFS($C$3:$Q$3,"NOTTE",$C15:$Q15,AC$3)=0)*(COUNTIFS($C$3:$Q$3,"NOTTE",$C14:$Q14,AC$3)=0))+((AC15&lt;&gt;"Xp")*(AC15&lt;&gt;"Xg")*(COUNTIFS($C$3:$Q$3,"POM",$C15:$Q15,AC$3)=0)*(COUNTIFS($C$3:$Q$3,"NOTTE",$C15:$Q15,AC$3)=0)*(COUNTIFS($C$3:$Q$3,"NOTTE",$C14:$Q14,AC$3)=0))+((AC15&lt;&gt;"Xn")*(COUNTIFS($C$3:$Q$3,"MAT",$C15:$Q15,AC$3)=0)*(COUNTIFS($C$3:$Q$3,"POM",$C15:$Q15,AC$3)=0)*(COUNTIFS($C$3:$Q$3,"NOTTE",$C15:$Q15,AC$3)=0)*(COUNTIFS($C$3:$Q$3,"NOTTE",$C14:$Q14,AC$3)=0))=3,AC$3&amp;", ",AC$3&amp;IF((AC15&lt;&gt;"Xm")*(AC15&lt;&gt;"Xg")*(COUNTIFS($C$3:$Q$3,"MAT",$C15:$Q15,AC$3)=0)*(COUNTIFS($C$3:$Q$3,"NOTTE",$C15:$Q15,AC$3)=0)*(COUNTIFS($C$3:$Q$3,"NOTTE",$C14:$Q14,AC$3)=0),"_m","")&amp;IF((AC15&lt;&gt;"Xp")*(AC15&lt;&gt;"Xg")*(COUNTIFS($C$3:$Q$3,"POM",$C15:$Q15,AC$3)=0)*(COUNTIFS($C$3:$Q$3,"NOTTE",$C15:$Q15,AC$3)=0)*(COUNTIFS($C$3:$Q$3,"NOTTE",$C14:$Q14,AC$3)=0),"_p","")&amp;IF((AC15&lt;&gt;"Xn")*(COUNTIFS($C$3:$Q$3,"MAT",$C15:$Q15,AC$3)=0)*(COUNTIFS($C$3:$Q$3,"POM",$C15:$Q15,AC$3)=0)*(COUNTIFS($C$3:$Q$3,"NOTTE",$C15:$Q15,AC$3)=0)*(COUNTIFS($C$3:$Q$3,"NOTTE",$C14:$Q14,AC$3)=0),"_n","")&amp;", ")))</f>
        <v xml:space="preserve">ROSSI M, </v>
      </c>
      <c r="CG15" s="9" t="str">
        <f>IF(0+(AD15="X")&gt;0,"",IF(0+((AD15&lt;&gt;"Xm")*(AD15&lt;&gt;"Xg")*(COUNTIFS($C$3:$Q$3,"MAT",$C15:$Q15,AD$3)=0)*(COUNTIFS($C$3:$Q$3,"NOTTE",$C15:$Q15,AD$3)=0)*(COUNTIFS($C$3:$Q$3,"NOTTE",$C14:$Q14,AD$3)=0))+((AD15&lt;&gt;"Xp")*(AD15&lt;&gt;"Xg")*(COUNTIFS($C$3:$Q$3,"POM",$C15:$Q15,AD$3)=0)*(COUNTIFS($C$3:$Q$3,"NOTTE",$C15:$Q15,AD$3)=0)*(COUNTIFS($C$3:$Q$3,"NOTTE",$C14:$Q14,AD$3)=0))+((AD15&lt;&gt;"Xn")*(COUNTIFS($C$3:$Q$3,"MAT",$C15:$Q15,AD$3)=0)*(COUNTIFS($C$3:$Q$3,"POM",$C15:$Q15,AD$3)=0)*(COUNTIFS($C$3:$Q$3,"NOTTE",$C15:$Q15,AD$3)=0)*(COUNTIFS($C$3:$Q$3,"NOTTE",$C14:$Q14,AD$3)=0))=0,"",IF(0+((AD15&lt;&gt;"Xm")*(AD15&lt;&gt;"Xg")*(COUNTIFS($C$3:$Q$3,"MAT",$C15:$Q15,AD$3)=0)*(COUNTIFS($C$3:$Q$3,"NOTTE",$C15:$Q15,AD$3)=0)*(COUNTIFS($C$3:$Q$3,"NOTTE",$C14:$Q14,AD$3)=0))+((AD15&lt;&gt;"Xp")*(AD15&lt;&gt;"Xg")*(COUNTIFS($C$3:$Q$3,"POM",$C15:$Q15,AD$3)=0)*(COUNTIFS($C$3:$Q$3,"NOTTE",$C15:$Q15,AD$3)=0)*(COUNTIFS($C$3:$Q$3,"NOTTE",$C14:$Q14,AD$3)=0))+((AD15&lt;&gt;"Xn")*(COUNTIFS($C$3:$Q$3,"MAT",$C15:$Q15,AD$3)=0)*(COUNTIFS($C$3:$Q$3,"POM",$C15:$Q15,AD$3)=0)*(COUNTIFS($C$3:$Q$3,"NOTTE",$C15:$Q15,AD$3)=0)*(COUNTIFS($C$3:$Q$3,"NOTTE",$C14:$Q14,AD$3)=0))=3,AD$3&amp;", ",AD$3&amp;IF((AD15&lt;&gt;"Xm")*(AD15&lt;&gt;"Xg")*(COUNTIFS($C$3:$Q$3,"MAT",$C15:$Q15,AD$3)=0)*(COUNTIFS($C$3:$Q$3,"NOTTE",$C15:$Q15,AD$3)=0)*(COUNTIFS($C$3:$Q$3,"NOTTE",$C14:$Q14,AD$3)=0),"_m","")&amp;IF((AD15&lt;&gt;"Xp")*(AD15&lt;&gt;"Xg")*(COUNTIFS($C$3:$Q$3,"POM",$C15:$Q15,AD$3)=0)*(COUNTIFS($C$3:$Q$3,"NOTTE",$C15:$Q15,AD$3)=0)*(COUNTIFS($C$3:$Q$3,"NOTTE",$C14:$Q14,AD$3)=0),"_p","")&amp;IF((AD15&lt;&gt;"Xn")*(COUNTIFS($C$3:$Q$3,"MAT",$C15:$Q15,AD$3)=0)*(COUNTIFS($C$3:$Q$3,"POM",$C15:$Q15,AD$3)=0)*(COUNTIFS($C$3:$Q$3,"NOTTE",$C15:$Q15,AD$3)=0)*(COUNTIFS($C$3:$Q$3,"NOTTE",$C14:$Q14,AD$3)=0),"_n","")&amp;", ")))</f>
        <v xml:space="preserve">ROSSI L, </v>
      </c>
      <c r="CH15" s="9" t="str">
        <f>IF(0+(AE15="X")&gt;0,"",IF(0+((AE15&lt;&gt;"Xm")*(AE15&lt;&gt;"Xg")*(COUNTIFS($C$3:$Q$3,"MAT",$C15:$Q15,AE$3)=0)*(COUNTIFS($C$3:$Q$3,"NOTTE",$C15:$Q15,AE$3)=0)*(COUNTIFS($C$3:$Q$3,"NOTTE",$C14:$Q14,AE$3)=0))+((AE15&lt;&gt;"Xp")*(AE15&lt;&gt;"Xg")*(COUNTIFS($C$3:$Q$3,"POM",$C15:$Q15,AE$3)=0)*(COUNTIFS($C$3:$Q$3,"NOTTE",$C15:$Q15,AE$3)=0)*(COUNTIFS($C$3:$Q$3,"NOTTE",$C14:$Q14,AE$3)=0))+((AE15&lt;&gt;"Xn")*(COUNTIFS($C$3:$Q$3,"MAT",$C15:$Q15,AE$3)=0)*(COUNTIFS($C$3:$Q$3,"POM",$C15:$Q15,AE$3)=0)*(COUNTIFS($C$3:$Q$3,"NOTTE",$C15:$Q15,AE$3)=0)*(COUNTIFS($C$3:$Q$3,"NOTTE",$C14:$Q14,AE$3)=0))=0,"",IF(0+((AE15&lt;&gt;"Xm")*(AE15&lt;&gt;"Xg")*(COUNTIFS($C$3:$Q$3,"MAT",$C15:$Q15,AE$3)=0)*(COUNTIFS($C$3:$Q$3,"NOTTE",$C15:$Q15,AE$3)=0)*(COUNTIFS($C$3:$Q$3,"NOTTE",$C14:$Q14,AE$3)=0))+((AE15&lt;&gt;"Xp")*(AE15&lt;&gt;"Xg")*(COUNTIFS($C$3:$Q$3,"POM",$C15:$Q15,AE$3)=0)*(COUNTIFS($C$3:$Q$3,"NOTTE",$C15:$Q15,AE$3)=0)*(COUNTIFS($C$3:$Q$3,"NOTTE",$C14:$Q14,AE$3)=0))+((AE15&lt;&gt;"Xn")*(COUNTIFS($C$3:$Q$3,"MAT",$C15:$Q15,AE$3)=0)*(COUNTIFS($C$3:$Q$3,"POM",$C15:$Q15,AE$3)=0)*(COUNTIFS($C$3:$Q$3,"NOTTE",$C15:$Q15,AE$3)=0)*(COUNTIFS($C$3:$Q$3,"NOTTE",$C14:$Q14,AE$3)=0))=3,AE$3&amp;", ",AE$3&amp;IF((AE15&lt;&gt;"Xm")*(AE15&lt;&gt;"Xg")*(COUNTIFS($C$3:$Q$3,"MAT",$C15:$Q15,AE$3)=0)*(COUNTIFS($C$3:$Q$3,"NOTTE",$C15:$Q15,AE$3)=0)*(COUNTIFS($C$3:$Q$3,"NOTTE",$C14:$Q14,AE$3)=0),"_m","")&amp;IF((AE15&lt;&gt;"Xp")*(AE15&lt;&gt;"Xg")*(COUNTIFS($C$3:$Q$3,"POM",$C15:$Q15,AE$3)=0)*(COUNTIFS($C$3:$Q$3,"NOTTE",$C15:$Q15,AE$3)=0)*(COUNTIFS($C$3:$Q$3,"NOTTE",$C14:$Q14,AE$3)=0),"_p","")&amp;IF((AE15&lt;&gt;"Xn")*(COUNTIFS($C$3:$Q$3,"MAT",$C15:$Q15,AE$3)=0)*(COUNTIFS($C$3:$Q$3,"POM",$C15:$Q15,AE$3)=0)*(COUNTIFS($C$3:$Q$3,"NOTTE",$C15:$Q15,AE$3)=0)*(COUNTIFS($C$3:$Q$3,"NOTTE",$C14:$Q14,AE$3)=0),"_n","")&amp;", ")))</f>
        <v xml:space="preserve">GALLINA, </v>
      </c>
      <c r="CI15" s="9" t="str">
        <f>IF(0+(AF15="X")&gt;0,"",IF(0+((AF15&lt;&gt;"Xm")*(AF15&lt;&gt;"Xg")*(COUNTIFS($C$3:$Q$3,"MAT",$C15:$Q15,AF$3)=0)*(COUNTIFS($C$3:$Q$3,"NOTTE",$C15:$Q15,AF$3)=0)*(COUNTIFS($C$3:$Q$3,"NOTTE",$C14:$Q14,AF$3)=0))+((AF15&lt;&gt;"Xp")*(AF15&lt;&gt;"Xg")*(COUNTIFS($C$3:$Q$3,"POM",$C15:$Q15,AF$3)=0)*(COUNTIFS($C$3:$Q$3,"NOTTE",$C15:$Q15,AF$3)=0)*(COUNTIFS($C$3:$Q$3,"NOTTE",$C14:$Q14,AF$3)=0))+((AF15&lt;&gt;"Xn")*(COUNTIFS($C$3:$Q$3,"MAT",$C15:$Q15,AF$3)=0)*(COUNTIFS($C$3:$Q$3,"POM",$C15:$Q15,AF$3)=0)*(COUNTIFS($C$3:$Q$3,"NOTTE",$C15:$Q15,AF$3)=0)*(COUNTIFS($C$3:$Q$3,"NOTTE",$C14:$Q14,AF$3)=0))=0,"",IF(0+((AF15&lt;&gt;"Xm")*(AF15&lt;&gt;"Xg")*(COUNTIFS($C$3:$Q$3,"MAT",$C15:$Q15,AF$3)=0)*(COUNTIFS($C$3:$Q$3,"NOTTE",$C15:$Q15,AF$3)=0)*(COUNTIFS($C$3:$Q$3,"NOTTE",$C14:$Q14,AF$3)=0))+((AF15&lt;&gt;"Xp")*(AF15&lt;&gt;"Xg")*(COUNTIFS($C$3:$Q$3,"POM",$C15:$Q15,AF$3)=0)*(COUNTIFS($C$3:$Q$3,"NOTTE",$C15:$Q15,AF$3)=0)*(COUNTIFS($C$3:$Q$3,"NOTTE",$C14:$Q14,AF$3)=0))+((AF15&lt;&gt;"Xn")*(COUNTIFS($C$3:$Q$3,"MAT",$C15:$Q15,AF$3)=0)*(COUNTIFS($C$3:$Q$3,"POM",$C15:$Q15,AF$3)=0)*(COUNTIFS($C$3:$Q$3,"NOTTE",$C15:$Q15,AF$3)=0)*(COUNTIFS($C$3:$Q$3,"NOTTE",$C14:$Q14,AF$3)=0))=3,AF$3&amp;", ",AF$3&amp;IF((AF15&lt;&gt;"Xm")*(AF15&lt;&gt;"Xg")*(COUNTIFS($C$3:$Q$3,"MAT",$C15:$Q15,AF$3)=0)*(COUNTIFS($C$3:$Q$3,"NOTTE",$C15:$Q15,AF$3)=0)*(COUNTIFS($C$3:$Q$3,"NOTTE",$C14:$Q14,AF$3)=0),"_m","")&amp;IF((AF15&lt;&gt;"Xp")*(AF15&lt;&gt;"Xg")*(COUNTIFS($C$3:$Q$3,"POM",$C15:$Q15,AF$3)=0)*(COUNTIFS($C$3:$Q$3,"NOTTE",$C15:$Q15,AF$3)=0)*(COUNTIFS($C$3:$Q$3,"NOTTE",$C14:$Q14,AF$3)=0),"_p","")&amp;IF((AF15&lt;&gt;"Xn")*(COUNTIFS($C$3:$Q$3,"MAT",$C15:$Q15,AF$3)=0)*(COUNTIFS($C$3:$Q$3,"POM",$C15:$Q15,AF$3)=0)*(COUNTIFS($C$3:$Q$3,"NOTTE",$C15:$Q15,AF$3)=0)*(COUNTIFS($C$3:$Q$3,"NOTTE",$C14:$Q14,AF$3)=0),"_n","")&amp;", ")))</f>
        <v xml:space="preserve">RUSSO, </v>
      </c>
      <c r="CJ15" s="9" t="str">
        <f>IF(0+(AG15="X")&gt;0,"",IF(0+((AG15&lt;&gt;"Xm")*(AG15&lt;&gt;"Xg")*(COUNTIFS($C$3:$Q$3,"MAT",$C15:$Q15,AG$3)=0)*(COUNTIFS($C$3:$Q$3,"NOTTE",$C15:$Q15,AG$3)=0)*(COUNTIFS($C$3:$Q$3,"NOTTE",$C14:$Q14,AG$3)=0))+((AG15&lt;&gt;"Xp")*(AG15&lt;&gt;"Xg")*(COUNTIFS($C$3:$Q$3,"POM",$C15:$Q15,AG$3)=0)*(COUNTIFS($C$3:$Q$3,"NOTTE",$C15:$Q15,AG$3)=0)*(COUNTIFS($C$3:$Q$3,"NOTTE",$C14:$Q14,AG$3)=0))+((AG15&lt;&gt;"Xn")*(COUNTIFS($C$3:$Q$3,"MAT",$C15:$Q15,AG$3)=0)*(COUNTIFS($C$3:$Q$3,"POM",$C15:$Q15,AG$3)=0)*(COUNTIFS($C$3:$Q$3,"NOTTE",$C15:$Q15,AG$3)=0)*(COUNTIFS($C$3:$Q$3,"NOTTE",$C14:$Q14,AG$3)=0))=0,"",IF(0+((AG15&lt;&gt;"Xm")*(AG15&lt;&gt;"Xg")*(COUNTIFS($C$3:$Q$3,"MAT",$C15:$Q15,AG$3)=0)*(COUNTIFS($C$3:$Q$3,"NOTTE",$C15:$Q15,AG$3)=0)*(COUNTIFS($C$3:$Q$3,"NOTTE",$C14:$Q14,AG$3)=0))+((AG15&lt;&gt;"Xp")*(AG15&lt;&gt;"Xg")*(COUNTIFS($C$3:$Q$3,"POM",$C15:$Q15,AG$3)=0)*(COUNTIFS($C$3:$Q$3,"NOTTE",$C15:$Q15,AG$3)=0)*(COUNTIFS($C$3:$Q$3,"NOTTE",$C14:$Q14,AG$3)=0))+((AG15&lt;&gt;"Xn")*(COUNTIFS($C$3:$Q$3,"MAT",$C15:$Q15,AG$3)=0)*(COUNTIFS($C$3:$Q$3,"POM",$C15:$Q15,AG$3)=0)*(COUNTIFS($C$3:$Q$3,"NOTTE",$C15:$Q15,AG$3)=0)*(COUNTIFS($C$3:$Q$3,"NOTTE",$C14:$Q14,AG$3)=0))=3,AG$3&amp;", ",AG$3&amp;IF((AG15&lt;&gt;"Xm")*(AG15&lt;&gt;"Xg")*(COUNTIFS($C$3:$Q$3,"MAT",$C15:$Q15,AG$3)=0)*(COUNTIFS($C$3:$Q$3,"NOTTE",$C15:$Q15,AG$3)=0)*(COUNTIFS($C$3:$Q$3,"NOTTE",$C14:$Q14,AG$3)=0),"_m","")&amp;IF((AG15&lt;&gt;"Xp")*(AG15&lt;&gt;"Xg")*(COUNTIFS($C$3:$Q$3,"POM",$C15:$Q15,AG$3)=0)*(COUNTIFS($C$3:$Q$3,"NOTTE",$C15:$Q15,AG$3)=0)*(COUNTIFS($C$3:$Q$3,"NOTTE",$C14:$Q14,AG$3)=0),"_p","")&amp;IF((AG15&lt;&gt;"Xn")*(COUNTIFS($C$3:$Q$3,"MAT",$C15:$Q15,AG$3)=0)*(COUNTIFS($C$3:$Q$3,"POM",$C15:$Q15,AG$3)=0)*(COUNTIFS($C$3:$Q$3,"NOTTE",$C15:$Q15,AG$3)=0)*(COUNTIFS($C$3:$Q$3,"NOTTE",$C14:$Q14,AG$3)=0),"_n","")&amp;", ")))</f>
        <v xml:space="preserve">VERDI, </v>
      </c>
      <c r="CK15" s="9" t="str">
        <f>IF(0+(AH15="X")&gt;0,"",IF(0+((AH15&lt;&gt;"Xm")*(AH15&lt;&gt;"Xg")*(COUNTIFS($C$3:$Q$3,"MAT",$C15:$Q15,AH$3)=0)*(COUNTIFS($C$3:$Q$3,"NOTTE",$C15:$Q15,AH$3)=0)*(COUNTIFS($C$3:$Q$3,"NOTTE",$C14:$Q14,AH$3)=0))+((AH15&lt;&gt;"Xp")*(AH15&lt;&gt;"Xg")*(COUNTIFS($C$3:$Q$3,"POM",$C15:$Q15,AH$3)=0)*(COUNTIFS($C$3:$Q$3,"NOTTE",$C15:$Q15,AH$3)=0)*(COUNTIFS($C$3:$Q$3,"NOTTE",$C14:$Q14,AH$3)=0))+((AH15&lt;&gt;"Xn")*(COUNTIFS($C$3:$Q$3,"MAT",$C15:$Q15,AH$3)=0)*(COUNTIFS($C$3:$Q$3,"POM",$C15:$Q15,AH$3)=0)*(COUNTIFS($C$3:$Q$3,"NOTTE",$C15:$Q15,AH$3)=0)*(COUNTIFS($C$3:$Q$3,"NOTTE",$C14:$Q14,AH$3)=0))=0,"",IF(0+((AH15&lt;&gt;"Xm")*(AH15&lt;&gt;"Xg")*(COUNTIFS($C$3:$Q$3,"MAT",$C15:$Q15,AH$3)=0)*(COUNTIFS($C$3:$Q$3,"NOTTE",$C15:$Q15,AH$3)=0)*(COUNTIFS($C$3:$Q$3,"NOTTE",$C14:$Q14,AH$3)=0))+((AH15&lt;&gt;"Xp")*(AH15&lt;&gt;"Xg")*(COUNTIFS($C$3:$Q$3,"POM",$C15:$Q15,AH$3)=0)*(COUNTIFS($C$3:$Q$3,"NOTTE",$C15:$Q15,AH$3)=0)*(COUNTIFS($C$3:$Q$3,"NOTTE",$C14:$Q14,AH$3)=0))+((AH15&lt;&gt;"Xn")*(COUNTIFS($C$3:$Q$3,"MAT",$C15:$Q15,AH$3)=0)*(COUNTIFS($C$3:$Q$3,"POM",$C15:$Q15,AH$3)=0)*(COUNTIFS($C$3:$Q$3,"NOTTE",$C15:$Q15,AH$3)=0)*(COUNTIFS($C$3:$Q$3,"NOTTE",$C14:$Q14,AH$3)=0))=3,AH$3&amp;", ",AH$3&amp;IF((AH15&lt;&gt;"Xm")*(AH15&lt;&gt;"Xg")*(COUNTIFS($C$3:$Q$3,"MAT",$C15:$Q15,AH$3)=0)*(COUNTIFS($C$3:$Q$3,"NOTTE",$C15:$Q15,AH$3)=0)*(COUNTIFS($C$3:$Q$3,"NOTTE",$C14:$Q14,AH$3)=0),"_m","")&amp;IF((AH15&lt;&gt;"Xp")*(AH15&lt;&gt;"Xg")*(COUNTIFS($C$3:$Q$3,"POM",$C15:$Q15,AH$3)=0)*(COUNTIFS($C$3:$Q$3,"NOTTE",$C15:$Q15,AH$3)=0)*(COUNTIFS($C$3:$Q$3,"NOTTE",$C14:$Q14,AH$3)=0),"_p","")&amp;IF((AH15&lt;&gt;"Xn")*(COUNTIFS($C$3:$Q$3,"MAT",$C15:$Q15,AH$3)=0)*(COUNTIFS($C$3:$Q$3,"POM",$C15:$Q15,AH$3)=0)*(COUNTIFS($C$3:$Q$3,"NOTTE",$C15:$Q15,AH$3)=0)*(COUNTIFS($C$3:$Q$3,"NOTTE",$C14:$Q14,AH$3)=0),"_n","")&amp;", ")))</f>
        <v xml:space="preserve">HU, </v>
      </c>
      <c r="CL15" s="9" t="str">
        <f>IF(0+(AI15="X")&gt;0,"",IF(0+((AI15&lt;&gt;"Xm")*(AI15&lt;&gt;"Xg")*(COUNTIFS($C$3:$Q$3,"MAT",$C15:$Q15,AI$3)=0)*(COUNTIFS($C$3:$Q$3,"NOTTE",$C15:$Q15,AI$3)=0)*(COUNTIFS($C$3:$Q$3,"NOTTE",$C14:$Q14,AI$3)=0))+((AI15&lt;&gt;"Xp")*(AI15&lt;&gt;"Xg")*(COUNTIFS($C$3:$Q$3,"POM",$C15:$Q15,AI$3)=0)*(COUNTIFS($C$3:$Q$3,"NOTTE",$C15:$Q15,AI$3)=0)*(COUNTIFS($C$3:$Q$3,"NOTTE",$C14:$Q14,AI$3)=0))+((AI15&lt;&gt;"Xn")*(COUNTIFS($C$3:$Q$3,"MAT",$C15:$Q15,AI$3)=0)*(COUNTIFS($C$3:$Q$3,"POM",$C15:$Q15,AI$3)=0)*(COUNTIFS($C$3:$Q$3,"NOTTE",$C15:$Q15,AI$3)=0)*(COUNTIFS($C$3:$Q$3,"NOTTE",$C14:$Q14,AI$3)=0))=0,"",IF(0+((AI15&lt;&gt;"Xm")*(AI15&lt;&gt;"Xg")*(COUNTIFS($C$3:$Q$3,"MAT",$C15:$Q15,AI$3)=0)*(COUNTIFS($C$3:$Q$3,"NOTTE",$C15:$Q15,AI$3)=0)*(COUNTIFS($C$3:$Q$3,"NOTTE",$C14:$Q14,AI$3)=0))+((AI15&lt;&gt;"Xp")*(AI15&lt;&gt;"Xg")*(COUNTIFS($C$3:$Q$3,"POM",$C15:$Q15,AI$3)=0)*(COUNTIFS($C$3:$Q$3,"NOTTE",$C15:$Q15,AI$3)=0)*(COUNTIFS($C$3:$Q$3,"NOTTE",$C14:$Q14,AI$3)=0))+((AI15&lt;&gt;"Xn")*(COUNTIFS($C$3:$Q$3,"MAT",$C15:$Q15,AI$3)=0)*(COUNTIFS($C$3:$Q$3,"POM",$C15:$Q15,AI$3)=0)*(COUNTIFS($C$3:$Q$3,"NOTTE",$C15:$Q15,AI$3)=0)*(COUNTIFS($C$3:$Q$3,"NOTTE",$C14:$Q14,AI$3)=0))=3,AI$3&amp;", ",AI$3&amp;IF((AI15&lt;&gt;"Xm")*(AI15&lt;&gt;"Xg")*(COUNTIFS($C$3:$Q$3,"MAT",$C15:$Q15,AI$3)=0)*(COUNTIFS($C$3:$Q$3,"NOTTE",$C15:$Q15,AI$3)=0)*(COUNTIFS($C$3:$Q$3,"NOTTE",$C14:$Q14,AI$3)=0),"_m","")&amp;IF((AI15&lt;&gt;"Xp")*(AI15&lt;&gt;"Xg")*(COUNTIFS($C$3:$Q$3,"POM",$C15:$Q15,AI$3)=0)*(COUNTIFS($C$3:$Q$3,"NOTTE",$C15:$Q15,AI$3)=0)*(COUNTIFS($C$3:$Q$3,"NOTTE",$C14:$Q14,AI$3)=0),"_p","")&amp;IF((AI15&lt;&gt;"Xn")*(COUNTIFS($C$3:$Q$3,"MAT",$C15:$Q15,AI$3)=0)*(COUNTIFS($C$3:$Q$3,"POM",$C15:$Q15,AI$3)=0)*(COUNTIFS($C$3:$Q$3,"NOTTE",$C15:$Q15,AI$3)=0)*(COUNTIFS($C$3:$Q$3,"NOTTE",$C14:$Q14,AI$3)=0),"_n","")&amp;", ")))</f>
        <v xml:space="preserve">MARINI, </v>
      </c>
      <c r="CM15" s="9" t="str">
        <f>IF(0+(AJ15="X")&gt;0,"",IF(0+((AJ15&lt;&gt;"Xm")*(AJ15&lt;&gt;"Xg")*(COUNTIFS($C$3:$Q$3,"MAT",$C15:$Q15,AJ$3)=0)*(COUNTIFS($C$3:$Q$3,"NOTTE",$C15:$Q15,AJ$3)=0)*(COUNTIFS($C$3:$Q$3,"NOTTE",$C14:$Q14,AJ$3)=0))+((AJ15&lt;&gt;"Xp")*(AJ15&lt;&gt;"Xg")*(COUNTIFS($C$3:$Q$3,"POM",$C15:$Q15,AJ$3)=0)*(COUNTIFS($C$3:$Q$3,"NOTTE",$C15:$Q15,AJ$3)=0)*(COUNTIFS($C$3:$Q$3,"NOTTE",$C14:$Q14,AJ$3)=0))+((AJ15&lt;&gt;"Xn")*(COUNTIFS($C$3:$Q$3,"MAT",$C15:$Q15,AJ$3)=0)*(COUNTIFS($C$3:$Q$3,"POM",$C15:$Q15,AJ$3)=0)*(COUNTIFS($C$3:$Q$3,"NOTTE",$C15:$Q15,AJ$3)=0)*(COUNTIFS($C$3:$Q$3,"NOTTE",$C14:$Q14,AJ$3)=0))=0,"",IF(0+((AJ15&lt;&gt;"Xm")*(AJ15&lt;&gt;"Xg")*(COUNTIFS($C$3:$Q$3,"MAT",$C15:$Q15,AJ$3)=0)*(COUNTIFS($C$3:$Q$3,"NOTTE",$C15:$Q15,AJ$3)=0)*(COUNTIFS($C$3:$Q$3,"NOTTE",$C14:$Q14,AJ$3)=0))+((AJ15&lt;&gt;"Xp")*(AJ15&lt;&gt;"Xg")*(COUNTIFS($C$3:$Q$3,"POM",$C15:$Q15,AJ$3)=0)*(COUNTIFS($C$3:$Q$3,"NOTTE",$C15:$Q15,AJ$3)=0)*(COUNTIFS($C$3:$Q$3,"NOTTE",$C14:$Q14,AJ$3)=0))+((AJ15&lt;&gt;"Xn")*(COUNTIFS($C$3:$Q$3,"MAT",$C15:$Q15,AJ$3)=0)*(COUNTIFS($C$3:$Q$3,"POM",$C15:$Q15,AJ$3)=0)*(COUNTIFS($C$3:$Q$3,"NOTTE",$C15:$Q15,AJ$3)=0)*(COUNTIFS($C$3:$Q$3,"NOTTE",$C14:$Q14,AJ$3)=0))=3,AJ$3&amp;", ",AJ$3&amp;IF((AJ15&lt;&gt;"Xm")*(AJ15&lt;&gt;"Xg")*(COUNTIFS($C$3:$Q$3,"MAT",$C15:$Q15,AJ$3)=0)*(COUNTIFS($C$3:$Q$3,"NOTTE",$C15:$Q15,AJ$3)=0)*(COUNTIFS($C$3:$Q$3,"NOTTE",$C14:$Q14,AJ$3)=0),"_m","")&amp;IF((AJ15&lt;&gt;"Xp")*(AJ15&lt;&gt;"Xg")*(COUNTIFS($C$3:$Q$3,"POM",$C15:$Q15,AJ$3)=0)*(COUNTIFS($C$3:$Q$3,"NOTTE",$C15:$Q15,AJ$3)=0)*(COUNTIFS($C$3:$Q$3,"NOTTE",$C14:$Q14,AJ$3)=0),"_p","")&amp;IF((AJ15&lt;&gt;"Xn")*(COUNTIFS($C$3:$Q$3,"MAT",$C15:$Q15,AJ$3)=0)*(COUNTIFS($C$3:$Q$3,"POM",$C15:$Q15,AJ$3)=0)*(COUNTIFS($C$3:$Q$3,"NOTTE",$C15:$Q15,AJ$3)=0)*(COUNTIFS($C$3:$Q$3,"NOTTE",$C14:$Q14,AJ$3)=0),"_n","")&amp;", ")))</f>
        <v xml:space="preserve">CONTI A, </v>
      </c>
      <c r="CN15" s="9" t="str">
        <f>IF(0+(AK15="X")&gt;0,"",IF(0+((AK15&lt;&gt;"Xm")*(AK15&lt;&gt;"Xg")*(COUNTIFS($C$3:$Q$3,"MAT",$C15:$Q15,AK$3)=0)*(COUNTIFS($C$3:$Q$3,"NOTTE",$C15:$Q15,AK$3)=0)*(COUNTIFS($C$3:$Q$3,"NOTTE",$C14:$Q14,AK$3)=0))+((AK15&lt;&gt;"Xp")*(AK15&lt;&gt;"Xg")*(COUNTIFS($C$3:$Q$3,"POM",$C15:$Q15,AK$3)=0)*(COUNTIFS($C$3:$Q$3,"NOTTE",$C15:$Q15,AK$3)=0)*(COUNTIFS($C$3:$Q$3,"NOTTE",$C14:$Q14,AK$3)=0))+((AK15&lt;&gt;"Xn")*(COUNTIFS($C$3:$Q$3,"MAT",$C15:$Q15,AK$3)=0)*(COUNTIFS($C$3:$Q$3,"POM",$C15:$Q15,AK$3)=0)*(COUNTIFS($C$3:$Q$3,"NOTTE",$C15:$Q15,AK$3)=0)*(COUNTIFS($C$3:$Q$3,"NOTTE",$C14:$Q14,AK$3)=0))=0,"",IF(0+((AK15&lt;&gt;"Xm")*(AK15&lt;&gt;"Xg")*(COUNTIFS($C$3:$Q$3,"MAT",$C15:$Q15,AK$3)=0)*(COUNTIFS($C$3:$Q$3,"NOTTE",$C15:$Q15,AK$3)=0)*(COUNTIFS($C$3:$Q$3,"NOTTE",$C14:$Q14,AK$3)=0))+((AK15&lt;&gt;"Xp")*(AK15&lt;&gt;"Xg")*(COUNTIFS($C$3:$Q$3,"POM",$C15:$Q15,AK$3)=0)*(COUNTIFS($C$3:$Q$3,"NOTTE",$C15:$Q15,AK$3)=0)*(COUNTIFS($C$3:$Q$3,"NOTTE",$C14:$Q14,AK$3)=0))+((AK15&lt;&gt;"Xn")*(COUNTIFS($C$3:$Q$3,"MAT",$C15:$Q15,AK$3)=0)*(COUNTIFS($C$3:$Q$3,"POM",$C15:$Q15,AK$3)=0)*(COUNTIFS($C$3:$Q$3,"NOTTE",$C15:$Q15,AK$3)=0)*(COUNTIFS($C$3:$Q$3,"NOTTE",$C14:$Q14,AK$3)=0))=3,AK$3&amp;", ",AK$3&amp;IF((AK15&lt;&gt;"Xm")*(AK15&lt;&gt;"Xg")*(COUNTIFS($C$3:$Q$3,"MAT",$C15:$Q15,AK$3)=0)*(COUNTIFS($C$3:$Q$3,"NOTTE",$C15:$Q15,AK$3)=0)*(COUNTIFS($C$3:$Q$3,"NOTTE",$C14:$Q14,AK$3)=0),"_m","")&amp;IF((AK15&lt;&gt;"Xp")*(AK15&lt;&gt;"Xg")*(COUNTIFS($C$3:$Q$3,"POM",$C15:$Q15,AK$3)=0)*(COUNTIFS($C$3:$Q$3,"NOTTE",$C15:$Q15,AK$3)=0)*(COUNTIFS($C$3:$Q$3,"NOTTE",$C14:$Q14,AK$3)=0),"_p","")&amp;IF((AK15&lt;&gt;"Xn")*(COUNTIFS($C$3:$Q$3,"MAT",$C15:$Q15,AK$3)=0)*(COUNTIFS($C$3:$Q$3,"POM",$C15:$Q15,AK$3)=0)*(COUNTIFS($C$3:$Q$3,"NOTTE",$C15:$Q15,AK$3)=0)*(COUNTIFS($C$3:$Q$3,"NOTTE",$C14:$Q14,AK$3)=0),"_n","")&amp;", ")))</f>
        <v xml:space="preserve">CONTI S, </v>
      </c>
      <c r="CO15" s="9" t="str">
        <f>IF(0+(AL15="X")&gt;0,"",IF(0+((AL15&lt;&gt;"Xm")*(AL15&lt;&gt;"Xg")*(COUNTIFS($C$3:$Q$3,"MAT",$C15:$Q15,AL$3)=0)*(COUNTIFS($C$3:$Q$3,"NOTTE",$C15:$Q15,AL$3)=0)*(COUNTIFS($C$3:$Q$3,"NOTTE",$C14:$Q14,AL$3)=0))+((AL15&lt;&gt;"Xp")*(AL15&lt;&gt;"Xg")*(COUNTIFS($C$3:$Q$3,"POM",$C15:$Q15,AL$3)=0)*(COUNTIFS($C$3:$Q$3,"NOTTE",$C15:$Q15,AL$3)=0)*(COUNTIFS($C$3:$Q$3,"NOTTE",$C14:$Q14,AL$3)=0))+((AL15&lt;&gt;"Xn")*(COUNTIFS($C$3:$Q$3,"MAT",$C15:$Q15,AL$3)=0)*(COUNTIFS($C$3:$Q$3,"POM",$C15:$Q15,AL$3)=0)*(COUNTIFS($C$3:$Q$3,"NOTTE",$C15:$Q15,AL$3)=0)*(COUNTIFS($C$3:$Q$3,"NOTTE",$C14:$Q14,AL$3)=0))=0,"",IF(0+((AL15&lt;&gt;"Xm")*(AL15&lt;&gt;"Xg")*(COUNTIFS($C$3:$Q$3,"MAT",$C15:$Q15,AL$3)=0)*(COUNTIFS($C$3:$Q$3,"NOTTE",$C15:$Q15,AL$3)=0)*(COUNTIFS($C$3:$Q$3,"NOTTE",$C14:$Q14,AL$3)=0))+((AL15&lt;&gt;"Xp")*(AL15&lt;&gt;"Xg")*(COUNTIFS($C$3:$Q$3,"POM",$C15:$Q15,AL$3)=0)*(COUNTIFS($C$3:$Q$3,"NOTTE",$C15:$Q15,AL$3)=0)*(COUNTIFS($C$3:$Q$3,"NOTTE",$C14:$Q14,AL$3)=0))+((AL15&lt;&gt;"Xn")*(COUNTIFS($C$3:$Q$3,"MAT",$C15:$Q15,AL$3)=0)*(COUNTIFS($C$3:$Q$3,"POM",$C15:$Q15,AL$3)=0)*(COUNTIFS($C$3:$Q$3,"NOTTE",$C15:$Q15,AL$3)=0)*(COUNTIFS($C$3:$Q$3,"NOTTE",$C14:$Q14,AL$3)=0))=3,AL$3&amp;", ",AL$3&amp;IF((AL15&lt;&gt;"Xm")*(AL15&lt;&gt;"Xg")*(COUNTIFS($C$3:$Q$3,"MAT",$C15:$Q15,AL$3)=0)*(COUNTIFS($C$3:$Q$3,"NOTTE",$C15:$Q15,AL$3)=0)*(COUNTIFS($C$3:$Q$3,"NOTTE",$C14:$Q14,AL$3)=0),"_m","")&amp;IF((AL15&lt;&gt;"Xp")*(AL15&lt;&gt;"Xg")*(COUNTIFS($C$3:$Q$3,"POM",$C15:$Q15,AL$3)=0)*(COUNTIFS($C$3:$Q$3,"NOTTE",$C15:$Q15,AL$3)=0)*(COUNTIFS($C$3:$Q$3,"NOTTE",$C14:$Q14,AL$3)=0),"_p","")&amp;IF((AL15&lt;&gt;"Xn")*(COUNTIFS($C$3:$Q$3,"MAT",$C15:$Q15,AL$3)=0)*(COUNTIFS($C$3:$Q$3,"POM",$C15:$Q15,AL$3)=0)*(COUNTIFS($C$3:$Q$3,"NOTTE",$C15:$Q15,AL$3)=0)*(COUNTIFS($C$3:$Q$3,"NOTTE",$C14:$Q14,AL$3)=0),"_n","")&amp;", ")))</f>
        <v xml:space="preserve">FERRARI, </v>
      </c>
      <c r="CP15" s="9" t="str">
        <f>IF(0+(AM15="X")&gt;0,"",IF(0+((AM15&lt;&gt;"Xm")*(AM15&lt;&gt;"Xg")*(COUNTIFS($C$3:$Q$3,"MAT",$C15:$Q15,AM$3)=0)*(COUNTIFS($C$3:$Q$3,"NOTTE",$C15:$Q15,AM$3)=0)*(COUNTIFS($C$3:$Q$3,"NOTTE",$C14:$Q14,AM$3)=0))+((AM15&lt;&gt;"Xp")*(AM15&lt;&gt;"Xg")*(COUNTIFS($C$3:$Q$3,"POM",$C15:$Q15,AM$3)=0)*(COUNTIFS($C$3:$Q$3,"NOTTE",$C15:$Q15,AM$3)=0)*(COUNTIFS($C$3:$Q$3,"NOTTE",$C14:$Q14,AM$3)=0))+((AM15&lt;&gt;"Xn")*(COUNTIFS($C$3:$Q$3,"MAT",$C15:$Q15,AM$3)=0)*(COUNTIFS($C$3:$Q$3,"POM",$C15:$Q15,AM$3)=0)*(COUNTIFS($C$3:$Q$3,"NOTTE",$C15:$Q15,AM$3)=0)*(COUNTIFS($C$3:$Q$3,"NOTTE",$C14:$Q14,AM$3)=0))=0,"",IF(0+((AM15&lt;&gt;"Xm")*(AM15&lt;&gt;"Xg")*(COUNTIFS($C$3:$Q$3,"MAT",$C15:$Q15,AM$3)=0)*(COUNTIFS($C$3:$Q$3,"NOTTE",$C15:$Q15,AM$3)=0)*(COUNTIFS($C$3:$Q$3,"NOTTE",$C14:$Q14,AM$3)=0))+((AM15&lt;&gt;"Xp")*(AM15&lt;&gt;"Xg")*(COUNTIFS($C$3:$Q$3,"POM",$C15:$Q15,AM$3)=0)*(COUNTIFS($C$3:$Q$3,"NOTTE",$C15:$Q15,AM$3)=0)*(COUNTIFS($C$3:$Q$3,"NOTTE",$C14:$Q14,AM$3)=0))+((AM15&lt;&gt;"Xn")*(COUNTIFS($C$3:$Q$3,"MAT",$C15:$Q15,AM$3)=0)*(COUNTIFS($C$3:$Q$3,"POM",$C15:$Q15,AM$3)=0)*(COUNTIFS($C$3:$Q$3,"NOTTE",$C15:$Q15,AM$3)=0)*(COUNTIFS($C$3:$Q$3,"NOTTE",$C14:$Q14,AM$3)=0))=3,AM$3&amp;", ",AM$3&amp;IF((AM15&lt;&gt;"Xm")*(AM15&lt;&gt;"Xg")*(COUNTIFS($C$3:$Q$3,"MAT",$C15:$Q15,AM$3)=0)*(COUNTIFS($C$3:$Q$3,"NOTTE",$C15:$Q15,AM$3)=0)*(COUNTIFS($C$3:$Q$3,"NOTTE",$C14:$Q14,AM$3)=0),"_m","")&amp;IF((AM15&lt;&gt;"Xp")*(AM15&lt;&gt;"Xg")*(COUNTIFS($C$3:$Q$3,"POM",$C15:$Q15,AM$3)=0)*(COUNTIFS($C$3:$Q$3,"NOTTE",$C15:$Q15,AM$3)=0)*(COUNTIFS($C$3:$Q$3,"NOTTE",$C14:$Q14,AM$3)=0),"_p","")&amp;IF((AM15&lt;&gt;"Xn")*(COUNTIFS($C$3:$Q$3,"MAT",$C15:$Q15,AM$3)=0)*(COUNTIFS($C$3:$Q$3,"POM",$C15:$Q15,AM$3)=0)*(COUNTIFS($C$3:$Q$3,"NOTTE",$C15:$Q15,AM$3)=0)*(COUNTIFS($C$3:$Q$3,"NOTTE",$C14:$Q14,AM$3)=0),"_n","")&amp;", ")))</f>
        <v xml:space="preserve">GRECO, </v>
      </c>
      <c r="CQ15" s="9" t="str">
        <f>IF(0+(AN15="X")&gt;0,"",IF(0+((AN15&lt;&gt;"Xm")*(AN15&lt;&gt;"Xg")*(COUNTIFS($C$3:$Q$3,"MAT",$C15:$Q15,AN$3)=0)*(COUNTIFS($C$3:$Q$3,"NOTTE",$C15:$Q15,AN$3)=0)*(COUNTIFS($C$3:$Q$3,"NOTTE",$C14:$Q14,AN$3)=0))+((AN15&lt;&gt;"Xp")*(AN15&lt;&gt;"Xg")*(COUNTIFS($C$3:$Q$3,"POM",$C15:$Q15,AN$3)=0)*(COUNTIFS($C$3:$Q$3,"NOTTE",$C15:$Q15,AN$3)=0)*(COUNTIFS($C$3:$Q$3,"NOTTE",$C14:$Q14,AN$3)=0))+((AN15&lt;&gt;"Xn")*(COUNTIFS($C$3:$Q$3,"MAT",$C15:$Q15,AN$3)=0)*(COUNTIFS($C$3:$Q$3,"POM",$C15:$Q15,AN$3)=0)*(COUNTIFS($C$3:$Q$3,"NOTTE",$C15:$Q15,AN$3)=0)*(COUNTIFS($C$3:$Q$3,"NOTTE",$C14:$Q14,AN$3)=0))=0,"",IF(0+((AN15&lt;&gt;"Xm")*(AN15&lt;&gt;"Xg")*(COUNTIFS($C$3:$Q$3,"MAT",$C15:$Q15,AN$3)=0)*(COUNTIFS($C$3:$Q$3,"NOTTE",$C15:$Q15,AN$3)=0)*(COUNTIFS($C$3:$Q$3,"NOTTE",$C14:$Q14,AN$3)=0))+((AN15&lt;&gt;"Xp")*(AN15&lt;&gt;"Xg")*(COUNTIFS($C$3:$Q$3,"POM",$C15:$Q15,AN$3)=0)*(COUNTIFS($C$3:$Q$3,"NOTTE",$C15:$Q15,AN$3)=0)*(COUNTIFS($C$3:$Q$3,"NOTTE",$C14:$Q14,AN$3)=0))+((AN15&lt;&gt;"Xn")*(COUNTIFS($C$3:$Q$3,"MAT",$C15:$Q15,AN$3)=0)*(COUNTIFS($C$3:$Q$3,"POM",$C15:$Q15,AN$3)=0)*(COUNTIFS($C$3:$Q$3,"NOTTE",$C15:$Q15,AN$3)=0)*(COUNTIFS($C$3:$Q$3,"NOTTE",$C14:$Q14,AN$3)=0))=3,AN$3&amp;", ",AN$3&amp;IF((AN15&lt;&gt;"Xm")*(AN15&lt;&gt;"Xg")*(COUNTIFS($C$3:$Q$3,"MAT",$C15:$Q15,AN$3)=0)*(COUNTIFS($C$3:$Q$3,"NOTTE",$C15:$Q15,AN$3)=0)*(COUNTIFS($C$3:$Q$3,"NOTTE",$C14:$Q14,AN$3)=0),"_m","")&amp;IF((AN15&lt;&gt;"Xp")*(AN15&lt;&gt;"Xg")*(COUNTIFS($C$3:$Q$3,"POM",$C15:$Q15,AN$3)=0)*(COUNTIFS($C$3:$Q$3,"NOTTE",$C15:$Q15,AN$3)=0)*(COUNTIFS($C$3:$Q$3,"NOTTE",$C14:$Q14,AN$3)=0),"_p","")&amp;IF((AN15&lt;&gt;"Xn")*(COUNTIFS($C$3:$Q$3,"MAT",$C15:$Q15,AN$3)=0)*(COUNTIFS($C$3:$Q$3,"POM",$C15:$Q15,AN$3)=0)*(COUNTIFS($C$3:$Q$3,"NOTTE",$C15:$Q15,AN$3)=0)*(COUNTIFS($C$3:$Q$3,"NOTTE",$C14:$Q14,AN$3)=0),"_n","")&amp;", ")))</f>
        <v xml:space="preserve">SANNA, </v>
      </c>
      <c r="CR15" s="9" t="str">
        <f>IF(0+(AO15="X")&gt;0,"",IF(0+((AO15&lt;&gt;"Xm")*(AO15&lt;&gt;"Xg")*(COUNTIFS($C$3:$Q$3,"MAT",$C15:$Q15,AO$3)=0)*(COUNTIFS($C$3:$Q$3,"NOTTE",$C15:$Q15,AO$3)=0)*(COUNTIFS($C$3:$Q$3,"NOTTE",$C14:$Q14,AO$3)=0))+((AO15&lt;&gt;"Xp")*(AO15&lt;&gt;"Xg")*(COUNTIFS($C$3:$Q$3,"POM",$C15:$Q15,AO$3)=0)*(COUNTIFS($C$3:$Q$3,"NOTTE",$C15:$Q15,AO$3)=0)*(COUNTIFS($C$3:$Q$3,"NOTTE",$C14:$Q14,AO$3)=0))+((AO15&lt;&gt;"Xn")*(COUNTIFS($C$3:$Q$3,"MAT",$C15:$Q15,AO$3)=0)*(COUNTIFS($C$3:$Q$3,"POM",$C15:$Q15,AO$3)=0)*(COUNTIFS($C$3:$Q$3,"NOTTE",$C15:$Q15,AO$3)=0)*(COUNTIFS($C$3:$Q$3,"NOTTE",$C14:$Q14,AO$3)=0))=0,"",IF(0+((AO15&lt;&gt;"Xm")*(AO15&lt;&gt;"Xg")*(COUNTIFS($C$3:$Q$3,"MAT",$C15:$Q15,AO$3)=0)*(COUNTIFS($C$3:$Q$3,"NOTTE",$C15:$Q15,AO$3)=0)*(COUNTIFS($C$3:$Q$3,"NOTTE",$C14:$Q14,AO$3)=0))+((AO15&lt;&gt;"Xp")*(AO15&lt;&gt;"Xg")*(COUNTIFS($C$3:$Q$3,"POM",$C15:$Q15,AO$3)=0)*(COUNTIFS($C$3:$Q$3,"NOTTE",$C15:$Q15,AO$3)=0)*(COUNTIFS($C$3:$Q$3,"NOTTE",$C14:$Q14,AO$3)=0))+((AO15&lt;&gt;"Xn")*(COUNTIFS($C$3:$Q$3,"MAT",$C15:$Q15,AO$3)=0)*(COUNTIFS($C$3:$Q$3,"POM",$C15:$Q15,AO$3)=0)*(COUNTIFS($C$3:$Q$3,"NOTTE",$C15:$Q15,AO$3)=0)*(COUNTIFS($C$3:$Q$3,"NOTTE",$C14:$Q14,AO$3)=0))=3,AO$3&amp;", ",AO$3&amp;IF((AO15&lt;&gt;"Xm")*(AO15&lt;&gt;"Xg")*(COUNTIFS($C$3:$Q$3,"MAT",$C15:$Q15,AO$3)=0)*(COUNTIFS($C$3:$Q$3,"NOTTE",$C15:$Q15,AO$3)=0)*(COUNTIFS($C$3:$Q$3,"NOTTE",$C14:$Q14,AO$3)=0),"_m","")&amp;IF((AO15&lt;&gt;"Xp")*(AO15&lt;&gt;"Xg")*(COUNTIFS($C$3:$Q$3,"POM",$C15:$Q15,AO$3)=0)*(COUNTIFS($C$3:$Q$3,"NOTTE",$C15:$Q15,AO$3)=0)*(COUNTIFS($C$3:$Q$3,"NOTTE",$C14:$Q14,AO$3)=0),"_p","")&amp;IF((AO15&lt;&gt;"Xn")*(COUNTIFS($C$3:$Q$3,"MAT",$C15:$Q15,AO$3)=0)*(COUNTIFS($C$3:$Q$3,"POM",$C15:$Q15,AO$3)=0)*(COUNTIFS($C$3:$Q$3,"NOTTE",$C15:$Q15,AO$3)=0)*(COUNTIFS($C$3:$Q$3,"NOTTE",$C14:$Q14,AO$3)=0),"_n","")&amp;", ")))</f>
        <v xml:space="preserve">LI, </v>
      </c>
    </row>
    <row r="16">
      <c r="A16" s="10" t="str">
        <f>CHOOSE(WEEKDAY(DATE($B$1,$A$2,B16),2),"lunedì","martedì","mercoledì","giovedì","venerdì","sabato","domenica")</f>
        <v>venerdì</v>
      </c>
      <c r="B16" s="10" t="n">
        <v>13</v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4" t="n"/>
      <c r="M16" s="11" t="n"/>
      <c r="N16" s="11" t="n"/>
      <c r="O16" s="11" t="n"/>
      <c r="P16" s="4" t="n"/>
      <c r="Q16" s="11" t="n"/>
      <c r="R16" s="11" t="n"/>
      <c r="S16" s="11">
        <f>IF(SUMPRODUCT(($C$3:$Q$3&lt;&gt;"")*($C16:$Q16&lt;&gt;"")*(LEFT($C16:$Q16,6)&lt;&gt;"chiuso")*(COUNTIFS($C16:$Q16,$C16:$Q16,$C$3:$Q$3,$C$3:$Q$3)&gt;1))&gt;0,"X","")</f>
      </c>
      <c r="T16" s="11" t="str">
        <f>IF(LEN(BP16&amp;BQ16&amp;BR16&amp;BS16&amp;BT16&amp;BU16&amp;BV16&amp;BW16&amp;BX16&amp;BY16&amp;BZ16&amp;CA16&amp;CB16&amp;CC16)=0,"",LEFT(BP16&amp;BQ16&amp;BR16&amp;BS16&amp;BT16&amp;BU16&amp;BV16&amp;BW16&amp;BX16&amp;BY16&amp;BZ16&amp;CA16&amp;CB16&amp;CC16,LEN(BP16&amp;BQ16&amp;BR16&amp;BS16&amp;BT16&amp;BU16&amp;BV16&amp;BW16&amp;BX16&amp;BY16&amp;BZ16&amp;CA16&amp;CB16&amp;CC16)-2))</f>
        <v>LEONI, ROSSI M, ROSSI L, GALLINA, RUSSO, VERDI, HU, MARINI, CONTI A, CONTI S, FERRARI, GRECO, SANNA, LI</v>
      </c>
      <c r="U16" s="11" t="str">
        <f>IF(LEN(CE16&amp;CF16&amp;CG16&amp;CH16&amp;CI16&amp;CJ16&amp;CK16&amp;CL16&amp;CM16&amp;CN16&amp;CO16&amp;CP16&amp;CQ16&amp;CR16)=0,"",LEFT(CE16&amp;CF16&amp;CG16&amp;CH16&amp;CI16&amp;CJ16&amp;CK16&amp;CL16&amp;CM16&amp;CN16&amp;CO16&amp;CP16&amp;CQ16&amp;CR16,LEN(CE16&amp;CF16&amp;CG16&amp;CH16&amp;CI16&amp;CJ16&amp;CK16&amp;CL16&amp;CM16&amp;CN16&amp;CO16&amp;CP16&amp;CQ16&amp;CR16)-2))</f>
        <v>LEONI, ROSSI M, ROSSI L, GALLINA, RUSSO, VERDI, HU, MARINI, CONTI A, CONTI S, FERRARI, GRECO, SANNA, LI</v>
      </c>
      <c r="Z16" s="10" t="str">
        <f>A16</f>
        <v>venerdì</v>
      </c>
      <c r="AA16" s="10">
        <f>B16</f>
        <v>13</v>
      </c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T16" s="7" t="str">
        <f>AN$3</f>
        <v>SANNA</v>
      </c>
      <c r="AU16" s="7">
        <f>COUNTIF($C$4:$D$33,$AT16)</f>
        <v>0</v>
      </c>
      <c r="AV16" s="7">
        <f>COUNTIF($E$4:$F$33,$AT16)</f>
        <v>0</v>
      </c>
      <c r="AW16" s="7">
        <f>COUNTIF($G$4:$H$33,$AT16)</f>
        <v>0</v>
      </c>
      <c r="AX16" s="7">
        <f>COUNTIF($I$4:$J$33,$AT16)</f>
        <v>0</v>
      </c>
      <c r="AY16" s="7">
        <f>COUNTIF($K$4:$K$33,$AT16)</f>
        <v>0</v>
      </c>
      <c r="AZ16" s="7">
        <f>COUNTIF($L$4:$L$33,$AT16)</f>
        <v>0</v>
      </c>
      <c r="BA16" s="7">
        <f>COUNTIF($M$4:$M$33,$AT16)</f>
        <v>0</v>
      </c>
      <c r="BB16" s="7">
        <f>COUNTIF($N$4:$Q$33,$AT16)</f>
        <v>0</v>
      </c>
      <c r="BC16" s="7">
        <f>COUNTIF($C$4:$Q$33,$AT16)</f>
        <v>0</v>
      </c>
      <c r="BE16" s="8" t="str">
        <f>AN$3</f>
        <v>SANNA</v>
      </c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P16" s="9" t="str">
        <f>IF(0+(AB16="X")&gt;0,"",IF(0+((AB16&lt;&gt;"Xm")*(AB16&lt;&gt;"Xg"))+((AB16&lt;&gt;"Xp")*(AB16&lt;&gt;"Xg"))+((AB16&lt;&gt;"Xn"))=0,"",IF(0+((AB16&lt;&gt;"Xm")*(AB16&lt;&gt;"Xg"))+((AB16&lt;&gt;"Xp")*(AB16&lt;&gt;"Xg"))+((AB16&lt;&gt;"Xn"))=3,AB$3&amp;", ",AB$3&amp;IF((AB16&lt;&gt;"Xm")*(AB16&lt;&gt;"Xg"),"_m","")&amp;IF((AB16&lt;&gt;"Xp")*(AB16&lt;&gt;"Xg"),"_p","")&amp;IF((AB16&lt;&gt;"Xn"),"_n","")&amp;", ")))</f>
        <v xml:space="preserve">LEONI, </v>
      </c>
      <c r="BQ16" s="9" t="str">
        <f>IF(0+(AC16="X")&gt;0,"",IF(0+((AC16&lt;&gt;"Xm")*(AC16&lt;&gt;"Xg"))+((AC16&lt;&gt;"Xp")*(AC16&lt;&gt;"Xg"))+((AC16&lt;&gt;"Xn"))=0,"",IF(0+((AC16&lt;&gt;"Xm")*(AC16&lt;&gt;"Xg"))+((AC16&lt;&gt;"Xp")*(AC16&lt;&gt;"Xg"))+((AC16&lt;&gt;"Xn"))=3,AC$3&amp;", ",AC$3&amp;IF((AC16&lt;&gt;"Xm")*(AC16&lt;&gt;"Xg"),"_m","")&amp;IF((AC16&lt;&gt;"Xp")*(AC16&lt;&gt;"Xg"),"_p","")&amp;IF((AC16&lt;&gt;"Xn"),"_n","")&amp;", ")))</f>
        <v xml:space="preserve">ROSSI M, </v>
      </c>
      <c r="BR16" s="9" t="str">
        <f>IF(0+(AD16="X")&gt;0,"",IF(0+((AD16&lt;&gt;"Xm")*(AD16&lt;&gt;"Xg"))+((AD16&lt;&gt;"Xp")*(AD16&lt;&gt;"Xg"))+((AD16&lt;&gt;"Xn"))=0,"",IF(0+((AD16&lt;&gt;"Xm")*(AD16&lt;&gt;"Xg"))+((AD16&lt;&gt;"Xp")*(AD16&lt;&gt;"Xg"))+((AD16&lt;&gt;"Xn"))=3,AD$3&amp;", ",AD$3&amp;IF((AD16&lt;&gt;"Xm")*(AD16&lt;&gt;"Xg"),"_m","")&amp;IF((AD16&lt;&gt;"Xp")*(AD16&lt;&gt;"Xg"),"_p","")&amp;IF((AD16&lt;&gt;"Xn"),"_n","")&amp;", ")))</f>
        <v xml:space="preserve">ROSSI L, </v>
      </c>
      <c r="BS16" s="9" t="str">
        <f>IF(0+(AE16="X")&gt;0,"",IF(0+((AE16&lt;&gt;"Xm")*(AE16&lt;&gt;"Xg"))+((AE16&lt;&gt;"Xp")*(AE16&lt;&gt;"Xg"))+((AE16&lt;&gt;"Xn"))=0,"",IF(0+((AE16&lt;&gt;"Xm")*(AE16&lt;&gt;"Xg"))+((AE16&lt;&gt;"Xp")*(AE16&lt;&gt;"Xg"))+((AE16&lt;&gt;"Xn"))=3,AE$3&amp;", ",AE$3&amp;IF((AE16&lt;&gt;"Xm")*(AE16&lt;&gt;"Xg"),"_m","")&amp;IF((AE16&lt;&gt;"Xp")*(AE16&lt;&gt;"Xg"),"_p","")&amp;IF((AE16&lt;&gt;"Xn"),"_n","")&amp;", ")))</f>
        <v xml:space="preserve">GALLINA, </v>
      </c>
      <c r="BT16" s="9" t="str">
        <f>IF(0+(AF16="X")&gt;0,"",IF(0+((AF16&lt;&gt;"Xm")*(AF16&lt;&gt;"Xg"))+((AF16&lt;&gt;"Xp")*(AF16&lt;&gt;"Xg"))+((AF16&lt;&gt;"Xn"))=0,"",IF(0+((AF16&lt;&gt;"Xm")*(AF16&lt;&gt;"Xg"))+((AF16&lt;&gt;"Xp")*(AF16&lt;&gt;"Xg"))+((AF16&lt;&gt;"Xn"))=3,AF$3&amp;", ",AF$3&amp;IF((AF16&lt;&gt;"Xm")*(AF16&lt;&gt;"Xg"),"_m","")&amp;IF((AF16&lt;&gt;"Xp")*(AF16&lt;&gt;"Xg"),"_p","")&amp;IF((AF16&lt;&gt;"Xn"),"_n","")&amp;", ")))</f>
        <v xml:space="preserve">RUSSO, </v>
      </c>
      <c r="BU16" s="9" t="str">
        <f>IF(0+(AG16="X")&gt;0,"",IF(0+((AG16&lt;&gt;"Xm")*(AG16&lt;&gt;"Xg"))+((AG16&lt;&gt;"Xp")*(AG16&lt;&gt;"Xg"))+((AG16&lt;&gt;"Xn"))=0,"",IF(0+((AG16&lt;&gt;"Xm")*(AG16&lt;&gt;"Xg"))+((AG16&lt;&gt;"Xp")*(AG16&lt;&gt;"Xg"))+((AG16&lt;&gt;"Xn"))=3,AG$3&amp;", ",AG$3&amp;IF((AG16&lt;&gt;"Xm")*(AG16&lt;&gt;"Xg"),"_m","")&amp;IF((AG16&lt;&gt;"Xp")*(AG16&lt;&gt;"Xg"),"_p","")&amp;IF((AG16&lt;&gt;"Xn"),"_n","")&amp;", ")))</f>
        <v xml:space="preserve">VERDI, </v>
      </c>
      <c r="BV16" s="9" t="str">
        <f>IF(0+(AH16="X")&gt;0,"",IF(0+((AH16&lt;&gt;"Xm")*(AH16&lt;&gt;"Xg"))+((AH16&lt;&gt;"Xp")*(AH16&lt;&gt;"Xg"))+((AH16&lt;&gt;"Xn"))=0,"",IF(0+((AH16&lt;&gt;"Xm")*(AH16&lt;&gt;"Xg"))+((AH16&lt;&gt;"Xp")*(AH16&lt;&gt;"Xg"))+((AH16&lt;&gt;"Xn"))=3,AH$3&amp;", ",AH$3&amp;IF((AH16&lt;&gt;"Xm")*(AH16&lt;&gt;"Xg"),"_m","")&amp;IF((AH16&lt;&gt;"Xp")*(AH16&lt;&gt;"Xg"),"_p","")&amp;IF((AH16&lt;&gt;"Xn"),"_n","")&amp;", ")))</f>
        <v xml:space="preserve">HU, </v>
      </c>
      <c r="BW16" s="9" t="str">
        <f>IF(0+(AI16="X")&gt;0,"",IF(0+((AI16&lt;&gt;"Xm")*(AI16&lt;&gt;"Xg"))+((AI16&lt;&gt;"Xp")*(AI16&lt;&gt;"Xg"))+((AI16&lt;&gt;"Xn"))=0,"",IF(0+((AI16&lt;&gt;"Xm")*(AI16&lt;&gt;"Xg"))+((AI16&lt;&gt;"Xp")*(AI16&lt;&gt;"Xg"))+((AI16&lt;&gt;"Xn"))=3,AI$3&amp;", ",AI$3&amp;IF((AI16&lt;&gt;"Xm")*(AI16&lt;&gt;"Xg"),"_m","")&amp;IF((AI16&lt;&gt;"Xp")*(AI16&lt;&gt;"Xg"),"_p","")&amp;IF((AI16&lt;&gt;"Xn"),"_n","")&amp;", ")))</f>
        <v xml:space="preserve">MARINI, </v>
      </c>
      <c r="BX16" s="9" t="str">
        <f>IF(0+(AJ16="X")&gt;0,"",IF(0+((AJ16&lt;&gt;"Xm")*(AJ16&lt;&gt;"Xg"))+((AJ16&lt;&gt;"Xp")*(AJ16&lt;&gt;"Xg"))+((AJ16&lt;&gt;"Xn"))=0,"",IF(0+((AJ16&lt;&gt;"Xm")*(AJ16&lt;&gt;"Xg"))+((AJ16&lt;&gt;"Xp")*(AJ16&lt;&gt;"Xg"))+((AJ16&lt;&gt;"Xn"))=3,AJ$3&amp;", ",AJ$3&amp;IF((AJ16&lt;&gt;"Xm")*(AJ16&lt;&gt;"Xg"),"_m","")&amp;IF((AJ16&lt;&gt;"Xp")*(AJ16&lt;&gt;"Xg"),"_p","")&amp;IF((AJ16&lt;&gt;"Xn"),"_n","")&amp;", ")))</f>
        <v xml:space="preserve">CONTI A, </v>
      </c>
      <c r="BY16" s="9" t="str">
        <f>IF(0+(AK16="X")&gt;0,"",IF(0+((AK16&lt;&gt;"Xm")*(AK16&lt;&gt;"Xg"))+((AK16&lt;&gt;"Xp")*(AK16&lt;&gt;"Xg"))+((AK16&lt;&gt;"Xn"))=0,"",IF(0+((AK16&lt;&gt;"Xm")*(AK16&lt;&gt;"Xg"))+((AK16&lt;&gt;"Xp")*(AK16&lt;&gt;"Xg"))+((AK16&lt;&gt;"Xn"))=3,AK$3&amp;", ",AK$3&amp;IF((AK16&lt;&gt;"Xm")*(AK16&lt;&gt;"Xg"),"_m","")&amp;IF((AK16&lt;&gt;"Xp")*(AK16&lt;&gt;"Xg"),"_p","")&amp;IF((AK16&lt;&gt;"Xn"),"_n","")&amp;", ")))</f>
        <v xml:space="preserve">CONTI S, </v>
      </c>
      <c r="BZ16" s="9" t="str">
        <f>IF(0+(AL16="X")&gt;0,"",IF(0+((AL16&lt;&gt;"Xm")*(AL16&lt;&gt;"Xg"))+((AL16&lt;&gt;"Xp")*(AL16&lt;&gt;"Xg"))+((AL16&lt;&gt;"Xn"))=0,"",IF(0+((AL16&lt;&gt;"Xm")*(AL16&lt;&gt;"Xg"))+((AL16&lt;&gt;"Xp")*(AL16&lt;&gt;"Xg"))+((AL16&lt;&gt;"Xn"))=3,AL$3&amp;", ",AL$3&amp;IF((AL16&lt;&gt;"Xm")*(AL16&lt;&gt;"Xg"),"_m","")&amp;IF((AL16&lt;&gt;"Xp")*(AL16&lt;&gt;"Xg"),"_p","")&amp;IF((AL16&lt;&gt;"Xn"),"_n","")&amp;", ")))</f>
        <v xml:space="preserve">FERRARI, </v>
      </c>
      <c r="CA16" s="9" t="str">
        <f>IF(0+(AM16="X")&gt;0,"",IF(0+((AM16&lt;&gt;"Xm")*(AM16&lt;&gt;"Xg"))+((AM16&lt;&gt;"Xp")*(AM16&lt;&gt;"Xg"))+((AM16&lt;&gt;"Xn"))=0,"",IF(0+((AM16&lt;&gt;"Xm")*(AM16&lt;&gt;"Xg"))+((AM16&lt;&gt;"Xp")*(AM16&lt;&gt;"Xg"))+((AM16&lt;&gt;"Xn"))=3,AM$3&amp;", ",AM$3&amp;IF((AM16&lt;&gt;"Xm")*(AM16&lt;&gt;"Xg"),"_m","")&amp;IF((AM16&lt;&gt;"Xp")*(AM16&lt;&gt;"Xg"),"_p","")&amp;IF((AM16&lt;&gt;"Xn"),"_n","")&amp;", ")))</f>
        <v xml:space="preserve">GRECO, </v>
      </c>
      <c r="CB16" s="9" t="str">
        <f>IF(0+(AN16="X")&gt;0,"",IF(0+((AN16&lt;&gt;"Xm")*(AN16&lt;&gt;"Xg"))+((AN16&lt;&gt;"Xp")*(AN16&lt;&gt;"Xg"))+((AN16&lt;&gt;"Xn"))=0,"",IF(0+((AN16&lt;&gt;"Xm")*(AN16&lt;&gt;"Xg"))+((AN16&lt;&gt;"Xp")*(AN16&lt;&gt;"Xg"))+((AN16&lt;&gt;"Xn"))=3,AN$3&amp;", ",AN$3&amp;IF((AN16&lt;&gt;"Xm")*(AN16&lt;&gt;"Xg"),"_m","")&amp;IF((AN16&lt;&gt;"Xp")*(AN16&lt;&gt;"Xg"),"_p","")&amp;IF((AN16&lt;&gt;"Xn"),"_n","")&amp;", ")))</f>
        <v xml:space="preserve">SANNA, </v>
      </c>
      <c r="CC16" s="9" t="str">
        <f>IF(0+(AO16="X")&gt;0,"",IF(0+((AO16&lt;&gt;"Xm")*(AO16&lt;&gt;"Xg"))+((AO16&lt;&gt;"Xp")*(AO16&lt;&gt;"Xg"))+((AO16&lt;&gt;"Xn"))=0,"",IF(0+((AO16&lt;&gt;"Xm")*(AO16&lt;&gt;"Xg"))+((AO16&lt;&gt;"Xp")*(AO16&lt;&gt;"Xg"))+((AO16&lt;&gt;"Xn"))=3,AO$3&amp;", ",AO$3&amp;IF((AO16&lt;&gt;"Xm")*(AO16&lt;&gt;"Xg"),"_m","")&amp;IF((AO16&lt;&gt;"Xp")*(AO16&lt;&gt;"Xg"),"_p","")&amp;IF((AO16&lt;&gt;"Xn"),"_n","")&amp;", ")))</f>
        <v xml:space="preserve">LI, </v>
      </c>
      <c r="CD16" s="9" t="n"/>
      <c r="CE16" s="9" t="str">
        <f>IF(0+(AB16="X")&gt;0,"",IF(0+((AB16&lt;&gt;"Xm")*(AB16&lt;&gt;"Xg")*(COUNTIFS($C$3:$Q$3,"MAT",$C16:$Q16,AB$3)=0)*(COUNTIFS($C$3:$Q$3,"NOTTE",$C16:$Q16,AB$3)=0)*(COUNTIFS($C$3:$Q$3,"NOTTE",$C15:$Q15,AB$3)=0))+((AB16&lt;&gt;"Xp")*(AB16&lt;&gt;"Xg")*(COUNTIFS($C$3:$Q$3,"POM",$C16:$Q16,AB$3)=0)*(COUNTIFS($C$3:$Q$3,"NOTTE",$C16:$Q16,AB$3)=0)*(COUNTIFS($C$3:$Q$3,"NOTTE",$C15:$Q15,AB$3)=0))+((AB16&lt;&gt;"Xn")*(COUNTIFS($C$3:$Q$3,"MAT",$C16:$Q16,AB$3)=0)*(COUNTIFS($C$3:$Q$3,"POM",$C16:$Q16,AB$3)=0)*(COUNTIFS($C$3:$Q$3,"NOTTE",$C16:$Q16,AB$3)=0)*(COUNTIFS($C$3:$Q$3,"NOTTE",$C15:$Q15,AB$3)=0))=0,"",IF(0+((AB16&lt;&gt;"Xm")*(AB16&lt;&gt;"Xg")*(COUNTIFS($C$3:$Q$3,"MAT",$C16:$Q16,AB$3)=0)*(COUNTIFS($C$3:$Q$3,"NOTTE",$C16:$Q16,AB$3)=0)*(COUNTIFS($C$3:$Q$3,"NOTTE",$C15:$Q15,AB$3)=0))+((AB16&lt;&gt;"Xp")*(AB16&lt;&gt;"Xg")*(COUNTIFS($C$3:$Q$3,"POM",$C16:$Q16,AB$3)=0)*(COUNTIFS($C$3:$Q$3,"NOTTE",$C16:$Q16,AB$3)=0)*(COUNTIFS($C$3:$Q$3,"NOTTE",$C15:$Q15,AB$3)=0))+((AB16&lt;&gt;"Xn")*(COUNTIFS($C$3:$Q$3,"MAT",$C16:$Q16,AB$3)=0)*(COUNTIFS($C$3:$Q$3,"POM",$C16:$Q16,AB$3)=0)*(COUNTIFS($C$3:$Q$3,"NOTTE",$C16:$Q16,AB$3)=0)*(COUNTIFS($C$3:$Q$3,"NOTTE",$C15:$Q15,AB$3)=0))=3,AB$3&amp;", ",AB$3&amp;IF((AB16&lt;&gt;"Xm")*(AB16&lt;&gt;"Xg")*(COUNTIFS($C$3:$Q$3,"MAT",$C16:$Q16,AB$3)=0)*(COUNTIFS($C$3:$Q$3,"NOTTE",$C16:$Q16,AB$3)=0)*(COUNTIFS($C$3:$Q$3,"NOTTE",$C15:$Q15,AB$3)=0),"_m","")&amp;IF((AB16&lt;&gt;"Xp")*(AB16&lt;&gt;"Xg")*(COUNTIFS($C$3:$Q$3,"POM",$C16:$Q16,AB$3)=0)*(COUNTIFS($C$3:$Q$3,"NOTTE",$C16:$Q16,AB$3)=0)*(COUNTIFS($C$3:$Q$3,"NOTTE",$C15:$Q15,AB$3)=0),"_p","")&amp;IF((AB16&lt;&gt;"Xn")*(COUNTIFS($C$3:$Q$3,"MAT",$C16:$Q16,AB$3)=0)*(COUNTIFS($C$3:$Q$3,"POM",$C16:$Q16,AB$3)=0)*(COUNTIFS($C$3:$Q$3,"NOTTE",$C16:$Q16,AB$3)=0)*(COUNTIFS($C$3:$Q$3,"NOTTE",$C15:$Q15,AB$3)=0),"_n","")&amp;", ")))</f>
        <v xml:space="preserve">LEONI, </v>
      </c>
      <c r="CF16" s="9" t="str">
        <f>IF(0+(AC16="X")&gt;0,"",IF(0+((AC16&lt;&gt;"Xm")*(AC16&lt;&gt;"Xg")*(COUNTIFS($C$3:$Q$3,"MAT",$C16:$Q16,AC$3)=0)*(COUNTIFS($C$3:$Q$3,"NOTTE",$C16:$Q16,AC$3)=0)*(COUNTIFS($C$3:$Q$3,"NOTTE",$C15:$Q15,AC$3)=0))+((AC16&lt;&gt;"Xp")*(AC16&lt;&gt;"Xg")*(COUNTIFS($C$3:$Q$3,"POM",$C16:$Q16,AC$3)=0)*(COUNTIFS($C$3:$Q$3,"NOTTE",$C16:$Q16,AC$3)=0)*(COUNTIFS($C$3:$Q$3,"NOTTE",$C15:$Q15,AC$3)=0))+((AC16&lt;&gt;"Xn")*(COUNTIFS($C$3:$Q$3,"MAT",$C16:$Q16,AC$3)=0)*(COUNTIFS($C$3:$Q$3,"POM",$C16:$Q16,AC$3)=0)*(COUNTIFS($C$3:$Q$3,"NOTTE",$C16:$Q16,AC$3)=0)*(COUNTIFS($C$3:$Q$3,"NOTTE",$C15:$Q15,AC$3)=0))=0,"",IF(0+((AC16&lt;&gt;"Xm")*(AC16&lt;&gt;"Xg")*(COUNTIFS($C$3:$Q$3,"MAT",$C16:$Q16,AC$3)=0)*(COUNTIFS($C$3:$Q$3,"NOTTE",$C16:$Q16,AC$3)=0)*(COUNTIFS($C$3:$Q$3,"NOTTE",$C15:$Q15,AC$3)=0))+((AC16&lt;&gt;"Xp")*(AC16&lt;&gt;"Xg")*(COUNTIFS($C$3:$Q$3,"POM",$C16:$Q16,AC$3)=0)*(COUNTIFS($C$3:$Q$3,"NOTTE",$C16:$Q16,AC$3)=0)*(COUNTIFS($C$3:$Q$3,"NOTTE",$C15:$Q15,AC$3)=0))+((AC16&lt;&gt;"Xn")*(COUNTIFS($C$3:$Q$3,"MAT",$C16:$Q16,AC$3)=0)*(COUNTIFS($C$3:$Q$3,"POM",$C16:$Q16,AC$3)=0)*(COUNTIFS($C$3:$Q$3,"NOTTE",$C16:$Q16,AC$3)=0)*(COUNTIFS($C$3:$Q$3,"NOTTE",$C15:$Q15,AC$3)=0))=3,AC$3&amp;", ",AC$3&amp;IF((AC16&lt;&gt;"Xm")*(AC16&lt;&gt;"Xg")*(COUNTIFS($C$3:$Q$3,"MAT",$C16:$Q16,AC$3)=0)*(COUNTIFS($C$3:$Q$3,"NOTTE",$C16:$Q16,AC$3)=0)*(COUNTIFS($C$3:$Q$3,"NOTTE",$C15:$Q15,AC$3)=0),"_m","")&amp;IF((AC16&lt;&gt;"Xp")*(AC16&lt;&gt;"Xg")*(COUNTIFS($C$3:$Q$3,"POM",$C16:$Q16,AC$3)=0)*(COUNTIFS($C$3:$Q$3,"NOTTE",$C16:$Q16,AC$3)=0)*(COUNTIFS($C$3:$Q$3,"NOTTE",$C15:$Q15,AC$3)=0),"_p","")&amp;IF((AC16&lt;&gt;"Xn")*(COUNTIFS($C$3:$Q$3,"MAT",$C16:$Q16,AC$3)=0)*(COUNTIFS($C$3:$Q$3,"POM",$C16:$Q16,AC$3)=0)*(COUNTIFS($C$3:$Q$3,"NOTTE",$C16:$Q16,AC$3)=0)*(COUNTIFS($C$3:$Q$3,"NOTTE",$C15:$Q15,AC$3)=0),"_n","")&amp;", ")))</f>
        <v xml:space="preserve">ROSSI M, </v>
      </c>
      <c r="CG16" s="9" t="str">
        <f>IF(0+(AD16="X")&gt;0,"",IF(0+((AD16&lt;&gt;"Xm")*(AD16&lt;&gt;"Xg")*(COUNTIFS($C$3:$Q$3,"MAT",$C16:$Q16,AD$3)=0)*(COUNTIFS($C$3:$Q$3,"NOTTE",$C16:$Q16,AD$3)=0)*(COUNTIFS($C$3:$Q$3,"NOTTE",$C15:$Q15,AD$3)=0))+((AD16&lt;&gt;"Xp")*(AD16&lt;&gt;"Xg")*(COUNTIFS($C$3:$Q$3,"POM",$C16:$Q16,AD$3)=0)*(COUNTIFS($C$3:$Q$3,"NOTTE",$C16:$Q16,AD$3)=0)*(COUNTIFS($C$3:$Q$3,"NOTTE",$C15:$Q15,AD$3)=0))+((AD16&lt;&gt;"Xn")*(COUNTIFS($C$3:$Q$3,"MAT",$C16:$Q16,AD$3)=0)*(COUNTIFS($C$3:$Q$3,"POM",$C16:$Q16,AD$3)=0)*(COUNTIFS($C$3:$Q$3,"NOTTE",$C16:$Q16,AD$3)=0)*(COUNTIFS($C$3:$Q$3,"NOTTE",$C15:$Q15,AD$3)=0))=0,"",IF(0+((AD16&lt;&gt;"Xm")*(AD16&lt;&gt;"Xg")*(COUNTIFS($C$3:$Q$3,"MAT",$C16:$Q16,AD$3)=0)*(COUNTIFS($C$3:$Q$3,"NOTTE",$C16:$Q16,AD$3)=0)*(COUNTIFS($C$3:$Q$3,"NOTTE",$C15:$Q15,AD$3)=0))+((AD16&lt;&gt;"Xp")*(AD16&lt;&gt;"Xg")*(COUNTIFS($C$3:$Q$3,"POM",$C16:$Q16,AD$3)=0)*(COUNTIFS($C$3:$Q$3,"NOTTE",$C16:$Q16,AD$3)=0)*(COUNTIFS($C$3:$Q$3,"NOTTE",$C15:$Q15,AD$3)=0))+((AD16&lt;&gt;"Xn")*(COUNTIFS($C$3:$Q$3,"MAT",$C16:$Q16,AD$3)=0)*(COUNTIFS($C$3:$Q$3,"POM",$C16:$Q16,AD$3)=0)*(COUNTIFS($C$3:$Q$3,"NOTTE",$C16:$Q16,AD$3)=0)*(COUNTIFS($C$3:$Q$3,"NOTTE",$C15:$Q15,AD$3)=0))=3,AD$3&amp;", ",AD$3&amp;IF((AD16&lt;&gt;"Xm")*(AD16&lt;&gt;"Xg")*(COUNTIFS($C$3:$Q$3,"MAT",$C16:$Q16,AD$3)=0)*(COUNTIFS($C$3:$Q$3,"NOTTE",$C16:$Q16,AD$3)=0)*(COUNTIFS($C$3:$Q$3,"NOTTE",$C15:$Q15,AD$3)=0),"_m","")&amp;IF((AD16&lt;&gt;"Xp")*(AD16&lt;&gt;"Xg")*(COUNTIFS($C$3:$Q$3,"POM",$C16:$Q16,AD$3)=0)*(COUNTIFS($C$3:$Q$3,"NOTTE",$C16:$Q16,AD$3)=0)*(COUNTIFS($C$3:$Q$3,"NOTTE",$C15:$Q15,AD$3)=0),"_p","")&amp;IF((AD16&lt;&gt;"Xn")*(COUNTIFS($C$3:$Q$3,"MAT",$C16:$Q16,AD$3)=0)*(COUNTIFS($C$3:$Q$3,"POM",$C16:$Q16,AD$3)=0)*(COUNTIFS($C$3:$Q$3,"NOTTE",$C16:$Q16,AD$3)=0)*(COUNTIFS($C$3:$Q$3,"NOTTE",$C15:$Q15,AD$3)=0),"_n","")&amp;", ")))</f>
        <v xml:space="preserve">ROSSI L, </v>
      </c>
      <c r="CH16" s="9" t="str">
        <f>IF(0+(AE16="X")&gt;0,"",IF(0+((AE16&lt;&gt;"Xm")*(AE16&lt;&gt;"Xg")*(COUNTIFS($C$3:$Q$3,"MAT",$C16:$Q16,AE$3)=0)*(COUNTIFS($C$3:$Q$3,"NOTTE",$C16:$Q16,AE$3)=0)*(COUNTIFS($C$3:$Q$3,"NOTTE",$C15:$Q15,AE$3)=0))+((AE16&lt;&gt;"Xp")*(AE16&lt;&gt;"Xg")*(COUNTIFS($C$3:$Q$3,"POM",$C16:$Q16,AE$3)=0)*(COUNTIFS($C$3:$Q$3,"NOTTE",$C16:$Q16,AE$3)=0)*(COUNTIFS($C$3:$Q$3,"NOTTE",$C15:$Q15,AE$3)=0))+((AE16&lt;&gt;"Xn")*(COUNTIFS($C$3:$Q$3,"MAT",$C16:$Q16,AE$3)=0)*(COUNTIFS($C$3:$Q$3,"POM",$C16:$Q16,AE$3)=0)*(COUNTIFS($C$3:$Q$3,"NOTTE",$C16:$Q16,AE$3)=0)*(COUNTIFS($C$3:$Q$3,"NOTTE",$C15:$Q15,AE$3)=0))=0,"",IF(0+((AE16&lt;&gt;"Xm")*(AE16&lt;&gt;"Xg")*(COUNTIFS($C$3:$Q$3,"MAT",$C16:$Q16,AE$3)=0)*(COUNTIFS($C$3:$Q$3,"NOTTE",$C16:$Q16,AE$3)=0)*(COUNTIFS($C$3:$Q$3,"NOTTE",$C15:$Q15,AE$3)=0))+((AE16&lt;&gt;"Xp")*(AE16&lt;&gt;"Xg")*(COUNTIFS($C$3:$Q$3,"POM",$C16:$Q16,AE$3)=0)*(COUNTIFS($C$3:$Q$3,"NOTTE",$C16:$Q16,AE$3)=0)*(COUNTIFS($C$3:$Q$3,"NOTTE",$C15:$Q15,AE$3)=0))+((AE16&lt;&gt;"Xn")*(COUNTIFS($C$3:$Q$3,"MAT",$C16:$Q16,AE$3)=0)*(COUNTIFS($C$3:$Q$3,"POM",$C16:$Q16,AE$3)=0)*(COUNTIFS($C$3:$Q$3,"NOTTE",$C16:$Q16,AE$3)=0)*(COUNTIFS($C$3:$Q$3,"NOTTE",$C15:$Q15,AE$3)=0))=3,AE$3&amp;", ",AE$3&amp;IF((AE16&lt;&gt;"Xm")*(AE16&lt;&gt;"Xg")*(COUNTIFS($C$3:$Q$3,"MAT",$C16:$Q16,AE$3)=0)*(COUNTIFS($C$3:$Q$3,"NOTTE",$C16:$Q16,AE$3)=0)*(COUNTIFS($C$3:$Q$3,"NOTTE",$C15:$Q15,AE$3)=0),"_m","")&amp;IF((AE16&lt;&gt;"Xp")*(AE16&lt;&gt;"Xg")*(COUNTIFS($C$3:$Q$3,"POM",$C16:$Q16,AE$3)=0)*(COUNTIFS($C$3:$Q$3,"NOTTE",$C16:$Q16,AE$3)=0)*(COUNTIFS($C$3:$Q$3,"NOTTE",$C15:$Q15,AE$3)=0),"_p","")&amp;IF((AE16&lt;&gt;"Xn")*(COUNTIFS($C$3:$Q$3,"MAT",$C16:$Q16,AE$3)=0)*(COUNTIFS($C$3:$Q$3,"POM",$C16:$Q16,AE$3)=0)*(COUNTIFS($C$3:$Q$3,"NOTTE",$C16:$Q16,AE$3)=0)*(COUNTIFS($C$3:$Q$3,"NOTTE",$C15:$Q15,AE$3)=0),"_n","")&amp;", ")))</f>
        <v xml:space="preserve">GALLINA, </v>
      </c>
      <c r="CI16" s="9" t="str">
        <f>IF(0+(AF16="X")&gt;0,"",IF(0+((AF16&lt;&gt;"Xm")*(AF16&lt;&gt;"Xg")*(COUNTIFS($C$3:$Q$3,"MAT",$C16:$Q16,AF$3)=0)*(COUNTIFS($C$3:$Q$3,"NOTTE",$C16:$Q16,AF$3)=0)*(COUNTIFS($C$3:$Q$3,"NOTTE",$C15:$Q15,AF$3)=0))+((AF16&lt;&gt;"Xp")*(AF16&lt;&gt;"Xg")*(COUNTIFS($C$3:$Q$3,"POM",$C16:$Q16,AF$3)=0)*(COUNTIFS($C$3:$Q$3,"NOTTE",$C16:$Q16,AF$3)=0)*(COUNTIFS($C$3:$Q$3,"NOTTE",$C15:$Q15,AF$3)=0))+((AF16&lt;&gt;"Xn")*(COUNTIFS($C$3:$Q$3,"MAT",$C16:$Q16,AF$3)=0)*(COUNTIFS($C$3:$Q$3,"POM",$C16:$Q16,AF$3)=0)*(COUNTIFS($C$3:$Q$3,"NOTTE",$C16:$Q16,AF$3)=0)*(COUNTIFS($C$3:$Q$3,"NOTTE",$C15:$Q15,AF$3)=0))=0,"",IF(0+((AF16&lt;&gt;"Xm")*(AF16&lt;&gt;"Xg")*(COUNTIFS($C$3:$Q$3,"MAT",$C16:$Q16,AF$3)=0)*(COUNTIFS($C$3:$Q$3,"NOTTE",$C16:$Q16,AF$3)=0)*(COUNTIFS($C$3:$Q$3,"NOTTE",$C15:$Q15,AF$3)=0))+((AF16&lt;&gt;"Xp")*(AF16&lt;&gt;"Xg")*(COUNTIFS($C$3:$Q$3,"POM",$C16:$Q16,AF$3)=0)*(COUNTIFS($C$3:$Q$3,"NOTTE",$C16:$Q16,AF$3)=0)*(COUNTIFS($C$3:$Q$3,"NOTTE",$C15:$Q15,AF$3)=0))+((AF16&lt;&gt;"Xn")*(COUNTIFS($C$3:$Q$3,"MAT",$C16:$Q16,AF$3)=0)*(COUNTIFS($C$3:$Q$3,"POM",$C16:$Q16,AF$3)=0)*(COUNTIFS($C$3:$Q$3,"NOTTE",$C16:$Q16,AF$3)=0)*(COUNTIFS($C$3:$Q$3,"NOTTE",$C15:$Q15,AF$3)=0))=3,AF$3&amp;", ",AF$3&amp;IF((AF16&lt;&gt;"Xm")*(AF16&lt;&gt;"Xg")*(COUNTIFS($C$3:$Q$3,"MAT",$C16:$Q16,AF$3)=0)*(COUNTIFS($C$3:$Q$3,"NOTTE",$C16:$Q16,AF$3)=0)*(COUNTIFS($C$3:$Q$3,"NOTTE",$C15:$Q15,AF$3)=0),"_m","")&amp;IF((AF16&lt;&gt;"Xp")*(AF16&lt;&gt;"Xg")*(COUNTIFS($C$3:$Q$3,"POM",$C16:$Q16,AF$3)=0)*(COUNTIFS($C$3:$Q$3,"NOTTE",$C16:$Q16,AF$3)=0)*(COUNTIFS($C$3:$Q$3,"NOTTE",$C15:$Q15,AF$3)=0),"_p","")&amp;IF((AF16&lt;&gt;"Xn")*(COUNTIFS($C$3:$Q$3,"MAT",$C16:$Q16,AF$3)=0)*(COUNTIFS($C$3:$Q$3,"POM",$C16:$Q16,AF$3)=0)*(COUNTIFS($C$3:$Q$3,"NOTTE",$C16:$Q16,AF$3)=0)*(COUNTIFS($C$3:$Q$3,"NOTTE",$C15:$Q15,AF$3)=0),"_n","")&amp;", ")))</f>
        <v xml:space="preserve">RUSSO, </v>
      </c>
      <c r="CJ16" s="9" t="str">
        <f>IF(0+(AG16="X")&gt;0,"",IF(0+((AG16&lt;&gt;"Xm")*(AG16&lt;&gt;"Xg")*(COUNTIFS($C$3:$Q$3,"MAT",$C16:$Q16,AG$3)=0)*(COUNTIFS($C$3:$Q$3,"NOTTE",$C16:$Q16,AG$3)=0)*(COUNTIFS($C$3:$Q$3,"NOTTE",$C15:$Q15,AG$3)=0))+((AG16&lt;&gt;"Xp")*(AG16&lt;&gt;"Xg")*(COUNTIFS($C$3:$Q$3,"POM",$C16:$Q16,AG$3)=0)*(COUNTIFS($C$3:$Q$3,"NOTTE",$C16:$Q16,AG$3)=0)*(COUNTIFS($C$3:$Q$3,"NOTTE",$C15:$Q15,AG$3)=0))+((AG16&lt;&gt;"Xn")*(COUNTIFS($C$3:$Q$3,"MAT",$C16:$Q16,AG$3)=0)*(COUNTIFS($C$3:$Q$3,"POM",$C16:$Q16,AG$3)=0)*(COUNTIFS($C$3:$Q$3,"NOTTE",$C16:$Q16,AG$3)=0)*(COUNTIFS($C$3:$Q$3,"NOTTE",$C15:$Q15,AG$3)=0))=0,"",IF(0+((AG16&lt;&gt;"Xm")*(AG16&lt;&gt;"Xg")*(COUNTIFS($C$3:$Q$3,"MAT",$C16:$Q16,AG$3)=0)*(COUNTIFS($C$3:$Q$3,"NOTTE",$C16:$Q16,AG$3)=0)*(COUNTIFS($C$3:$Q$3,"NOTTE",$C15:$Q15,AG$3)=0))+((AG16&lt;&gt;"Xp")*(AG16&lt;&gt;"Xg")*(COUNTIFS($C$3:$Q$3,"POM",$C16:$Q16,AG$3)=0)*(COUNTIFS($C$3:$Q$3,"NOTTE",$C16:$Q16,AG$3)=0)*(COUNTIFS($C$3:$Q$3,"NOTTE",$C15:$Q15,AG$3)=0))+((AG16&lt;&gt;"Xn")*(COUNTIFS($C$3:$Q$3,"MAT",$C16:$Q16,AG$3)=0)*(COUNTIFS($C$3:$Q$3,"POM",$C16:$Q16,AG$3)=0)*(COUNTIFS($C$3:$Q$3,"NOTTE",$C16:$Q16,AG$3)=0)*(COUNTIFS($C$3:$Q$3,"NOTTE",$C15:$Q15,AG$3)=0))=3,AG$3&amp;", ",AG$3&amp;IF((AG16&lt;&gt;"Xm")*(AG16&lt;&gt;"Xg")*(COUNTIFS($C$3:$Q$3,"MAT",$C16:$Q16,AG$3)=0)*(COUNTIFS($C$3:$Q$3,"NOTTE",$C16:$Q16,AG$3)=0)*(COUNTIFS($C$3:$Q$3,"NOTTE",$C15:$Q15,AG$3)=0),"_m","")&amp;IF((AG16&lt;&gt;"Xp")*(AG16&lt;&gt;"Xg")*(COUNTIFS($C$3:$Q$3,"POM",$C16:$Q16,AG$3)=0)*(COUNTIFS($C$3:$Q$3,"NOTTE",$C16:$Q16,AG$3)=0)*(COUNTIFS($C$3:$Q$3,"NOTTE",$C15:$Q15,AG$3)=0),"_p","")&amp;IF((AG16&lt;&gt;"Xn")*(COUNTIFS($C$3:$Q$3,"MAT",$C16:$Q16,AG$3)=0)*(COUNTIFS($C$3:$Q$3,"POM",$C16:$Q16,AG$3)=0)*(COUNTIFS($C$3:$Q$3,"NOTTE",$C16:$Q16,AG$3)=0)*(COUNTIFS($C$3:$Q$3,"NOTTE",$C15:$Q15,AG$3)=0),"_n","")&amp;", ")))</f>
        <v xml:space="preserve">VERDI, </v>
      </c>
      <c r="CK16" s="9" t="str">
        <f>IF(0+(AH16="X")&gt;0,"",IF(0+((AH16&lt;&gt;"Xm")*(AH16&lt;&gt;"Xg")*(COUNTIFS($C$3:$Q$3,"MAT",$C16:$Q16,AH$3)=0)*(COUNTIFS($C$3:$Q$3,"NOTTE",$C16:$Q16,AH$3)=0)*(COUNTIFS($C$3:$Q$3,"NOTTE",$C15:$Q15,AH$3)=0))+((AH16&lt;&gt;"Xp")*(AH16&lt;&gt;"Xg")*(COUNTIFS($C$3:$Q$3,"POM",$C16:$Q16,AH$3)=0)*(COUNTIFS($C$3:$Q$3,"NOTTE",$C16:$Q16,AH$3)=0)*(COUNTIFS($C$3:$Q$3,"NOTTE",$C15:$Q15,AH$3)=0))+((AH16&lt;&gt;"Xn")*(COUNTIFS($C$3:$Q$3,"MAT",$C16:$Q16,AH$3)=0)*(COUNTIFS($C$3:$Q$3,"POM",$C16:$Q16,AH$3)=0)*(COUNTIFS($C$3:$Q$3,"NOTTE",$C16:$Q16,AH$3)=0)*(COUNTIFS($C$3:$Q$3,"NOTTE",$C15:$Q15,AH$3)=0))=0,"",IF(0+((AH16&lt;&gt;"Xm")*(AH16&lt;&gt;"Xg")*(COUNTIFS($C$3:$Q$3,"MAT",$C16:$Q16,AH$3)=0)*(COUNTIFS($C$3:$Q$3,"NOTTE",$C16:$Q16,AH$3)=0)*(COUNTIFS($C$3:$Q$3,"NOTTE",$C15:$Q15,AH$3)=0))+((AH16&lt;&gt;"Xp")*(AH16&lt;&gt;"Xg")*(COUNTIFS($C$3:$Q$3,"POM",$C16:$Q16,AH$3)=0)*(COUNTIFS($C$3:$Q$3,"NOTTE",$C16:$Q16,AH$3)=0)*(COUNTIFS($C$3:$Q$3,"NOTTE",$C15:$Q15,AH$3)=0))+((AH16&lt;&gt;"Xn")*(COUNTIFS($C$3:$Q$3,"MAT",$C16:$Q16,AH$3)=0)*(COUNTIFS($C$3:$Q$3,"POM",$C16:$Q16,AH$3)=0)*(COUNTIFS($C$3:$Q$3,"NOTTE",$C16:$Q16,AH$3)=0)*(COUNTIFS($C$3:$Q$3,"NOTTE",$C15:$Q15,AH$3)=0))=3,AH$3&amp;", ",AH$3&amp;IF((AH16&lt;&gt;"Xm")*(AH16&lt;&gt;"Xg")*(COUNTIFS($C$3:$Q$3,"MAT",$C16:$Q16,AH$3)=0)*(COUNTIFS($C$3:$Q$3,"NOTTE",$C16:$Q16,AH$3)=0)*(COUNTIFS($C$3:$Q$3,"NOTTE",$C15:$Q15,AH$3)=0),"_m","")&amp;IF((AH16&lt;&gt;"Xp")*(AH16&lt;&gt;"Xg")*(COUNTIFS($C$3:$Q$3,"POM",$C16:$Q16,AH$3)=0)*(COUNTIFS($C$3:$Q$3,"NOTTE",$C16:$Q16,AH$3)=0)*(COUNTIFS($C$3:$Q$3,"NOTTE",$C15:$Q15,AH$3)=0),"_p","")&amp;IF((AH16&lt;&gt;"Xn")*(COUNTIFS($C$3:$Q$3,"MAT",$C16:$Q16,AH$3)=0)*(COUNTIFS($C$3:$Q$3,"POM",$C16:$Q16,AH$3)=0)*(COUNTIFS($C$3:$Q$3,"NOTTE",$C16:$Q16,AH$3)=0)*(COUNTIFS($C$3:$Q$3,"NOTTE",$C15:$Q15,AH$3)=0),"_n","")&amp;", ")))</f>
        <v xml:space="preserve">HU, </v>
      </c>
      <c r="CL16" s="9" t="str">
        <f>IF(0+(AI16="X")&gt;0,"",IF(0+((AI16&lt;&gt;"Xm")*(AI16&lt;&gt;"Xg")*(COUNTIFS($C$3:$Q$3,"MAT",$C16:$Q16,AI$3)=0)*(COUNTIFS($C$3:$Q$3,"NOTTE",$C16:$Q16,AI$3)=0)*(COUNTIFS($C$3:$Q$3,"NOTTE",$C15:$Q15,AI$3)=0))+((AI16&lt;&gt;"Xp")*(AI16&lt;&gt;"Xg")*(COUNTIFS($C$3:$Q$3,"POM",$C16:$Q16,AI$3)=0)*(COUNTIFS($C$3:$Q$3,"NOTTE",$C16:$Q16,AI$3)=0)*(COUNTIFS($C$3:$Q$3,"NOTTE",$C15:$Q15,AI$3)=0))+((AI16&lt;&gt;"Xn")*(COUNTIFS($C$3:$Q$3,"MAT",$C16:$Q16,AI$3)=0)*(COUNTIFS($C$3:$Q$3,"POM",$C16:$Q16,AI$3)=0)*(COUNTIFS($C$3:$Q$3,"NOTTE",$C16:$Q16,AI$3)=0)*(COUNTIFS($C$3:$Q$3,"NOTTE",$C15:$Q15,AI$3)=0))=0,"",IF(0+((AI16&lt;&gt;"Xm")*(AI16&lt;&gt;"Xg")*(COUNTIFS($C$3:$Q$3,"MAT",$C16:$Q16,AI$3)=0)*(COUNTIFS($C$3:$Q$3,"NOTTE",$C16:$Q16,AI$3)=0)*(COUNTIFS($C$3:$Q$3,"NOTTE",$C15:$Q15,AI$3)=0))+((AI16&lt;&gt;"Xp")*(AI16&lt;&gt;"Xg")*(COUNTIFS($C$3:$Q$3,"POM",$C16:$Q16,AI$3)=0)*(COUNTIFS($C$3:$Q$3,"NOTTE",$C16:$Q16,AI$3)=0)*(COUNTIFS($C$3:$Q$3,"NOTTE",$C15:$Q15,AI$3)=0))+((AI16&lt;&gt;"Xn")*(COUNTIFS($C$3:$Q$3,"MAT",$C16:$Q16,AI$3)=0)*(COUNTIFS($C$3:$Q$3,"POM",$C16:$Q16,AI$3)=0)*(COUNTIFS($C$3:$Q$3,"NOTTE",$C16:$Q16,AI$3)=0)*(COUNTIFS($C$3:$Q$3,"NOTTE",$C15:$Q15,AI$3)=0))=3,AI$3&amp;", ",AI$3&amp;IF((AI16&lt;&gt;"Xm")*(AI16&lt;&gt;"Xg")*(COUNTIFS($C$3:$Q$3,"MAT",$C16:$Q16,AI$3)=0)*(COUNTIFS($C$3:$Q$3,"NOTTE",$C16:$Q16,AI$3)=0)*(COUNTIFS($C$3:$Q$3,"NOTTE",$C15:$Q15,AI$3)=0),"_m","")&amp;IF((AI16&lt;&gt;"Xp")*(AI16&lt;&gt;"Xg")*(COUNTIFS($C$3:$Q$3,"POM",$C16:$Q16,AI$3)=0)*(COUNTIFS($C$3:$Q$3,"NOTTE",$C16:$Q16,AI$3)=0)*(COUNTIFS($C$3:$Q$3,"NOTTE",$C15:$Q15,AI$3)=0),"_p","")&amp;IF((AI16&lt;&gt;"Xn")*(COUNTIFS($C$3:$Q$3,"MAT",$C16:$Q16,AI$3)=0)*(COUNTIFS($C$3:$Q$3,"POM",$C16:$Q16,AI$3)=0)*(COUNTIFS($C$3:$Q$3,"NOTTE",$C16:$Q16,AI$3)=0)*(COUNTIFS($C$3:$Q$3,"NOTTE",$C15:$Q15,AI$3)=0),"_n","")&amp;", ")))</f>
        <v xml:space="preserve">MARINI, </v>
      </c>
      <c r="CM16" s="9" t="str">
        <f>IF(0+(AJ16="X")&gt;0,"",IF(0+((AJ16&lt;&gt;"Xm")*(AJ16&lt;&gt;"Xg")*(COUNTIFS($C$3:$Q$3,"MAT",$C16:$Q16,AJ$3)=0)*(COUNTIFS($C$3:$Q$3,"NOTTE",$C16:$Q16,AJ$3)=0)*(COUNTIFS($C$3:$Q$3,"NOTTE",$C15:$Q15,AJ$3)=0))+((AJ16&lt;&gt;"Xp")*(AJ16&lt;&gt;"Xg")*(COUNTIFS($C$3:$Q$3,"POM",$C16:$Q16,AJ$3)=0)*(COUNTIFS($C$3:$Q$3,"NOTTE",$C16:$Q16,AJ$3)=0)*(COUNTIFS($C$3:$Q$3,"NOTTE",$C15:$Q15,AJ$3)=0))+((AJ16&lt;&gt;"Xn")*(COUNTIFS($C$3:$Q$3,"MAT",$C16:$Q16,AJ$3)=0)*(COUNTIFS($C$3:$Q$3,"POM",$C16:$Q16,AJ$3)=0)*(COUNTIFS($C$3:$Q$3,"NOTTE",$C16:$Q16,AJ$3)=0)*(COUNTIFS($C$3:$Q$3,"NOTTE",$C15:$Q15,AJ$3)=0))=0,"",IF(0+((AJ16&lt;&gt;"Xm")*(AJ16&lt;&gt;"Xg")*(COUNTIFS($C$3:$Q$3,"MAT",$C16:$Q16,AJ$3)=0)*(COUNTIFS($C$3:$Q$3,"NOTTE",$C16:$Q16,AJ$3)=0)*(COUNTIFS($C$3:$Q$3,"NOTTE",$C15:$Q15,AJ$3)=0))+((AJ16&lt;&gt;"Xp")*(AJ16&lt;&gt;"Xg")*(COUNTIFS($C$3:$Q$3,"POM",$C16:$Q16,AJ$3)=0)*(COUNTIFS($C$3:$Q$3,"NOTTE",$C16:$Q16,AJ$3)=0)*(COUNTIFS($C$3:$Q$3,"NOTTE",$C15:$Q15,AJ$3)=0))+((AJ16&lt;&gt;"Xn")*(COUNTIFS($C$3:$Q$3,"MAT",$C16:$Q16,AJ$3)=0)*(COUNTIFS($C$3:$Q$3,"POM",$C16:$Q16,AJ$3)=0)*(COUNTIFS($C$3:$Q$3,"NOTTE",$C16:$Q16,AJ$3)=0)*(COUNTIFS($C$3:$Q$3,"NOTTE",$C15:$Q15,AJ$3)=0))=3,AJ$3&amp;", ",AJ$3&amp;IF((AJ16&lt;&gt;"Xm")*(AJ16&lt;&gt;"Xg")*(COUNTIFS($C$3:$Q$3,"MAT",$C16:$Q16,AJ$3)=0)*(COUNTIFS($C$3:$Q$3,"NOTTE",$C16:$Q16,AJ$3)=0)*(COUNTIFS($C$3:$Q$3,"NOTTE",$C15:$Q15,AJ$3)=0),"_m","")&amp;IF((AJ16&lt;&gt;"Xp")*(AJ16&lt;&gt;"Xg")*(COUNTIFS($C$3:$Q$3,"POM",$C16:$Q16,AJ$3)=0)*(COUNTIFS($C$3:$Q$3,"NOTTE",$C16:$Q16,AJ$3)=0)*(COUNTIFS($C$3:$Q$3,"NOTTE",$C15:$Q15,AJ$3)=0),"_p","")&amp;IF((AJ16&lt;&gt;"Xn")*(COUNTIFS($C$3:$Q$3,"MAT",$C16:$Q16,AJ$3)=0)*(COUNTIFS($C$3:$Q$3,"POM",$C16:$Q16,AJ$3)=0)*(COUNTIFS($C$3:$Q$3,"NOTTE",$C16:$Q16,AJ$3)=0)*(COUNTIFS($C$3:$Q$3,"NOTTE",$C15:$Q15,AJ$3)=0),"_n","")&amp;", ")))</f>
        <v xml:space="preserve">CONTI A, </v>
      </c>
      <c r="CN16" s="9" t="str">
        <f>IF(0+(AK16="X")&gt;0,"",IF(0+((AK16&lt;&gt;"Xm")*(AK16&lt;&gt;"Xg")*(COUNTIFS($C$3:$Q$3,"MAT",$C16:$Q16,AK$3)=0)*(COUNTIFS($C$3:$Q$3,"NOTTE",$C16:$Q16,AK$3)=0)*(COUNTIFS($C$3:$Q$3,"NOTTE",$C15:$Q15,AK$3)=0))+((AK16&lt;&gt;"Xp")*(AK16&lt;&gt;"Xg")*(COUNTIFS($C$3:$Q$3,"POM",$C16:$Q16,AK$3)=0)*(COUNTIFS($C$3:$Q$3,"NOTTE",$C16:$Q16,AK$3)=0)*(COUNTIFS($C$3:$Q$3,"NOTTE",$C15:$Q15,AK$3)=0))+((AK16&lt;&gt;"Xn")*(COUNTIFS($C$3:$Q$3,"MAT",$C16:$Q16,AK$3)=0)*(COUNTIFS($C$3:$Q$3,"POM",$C16:$Q16,AK$3)=0)*(COUNTIFS($C$3:$Q$3,"NOTTE",$C16:$Q16,AK$3)=0)*(COUNTIFS($C$3:$Q$3,"NOTTE",$C15:$Q15,AK$3)=0))=0,"",IF(0+((AK16&lt;&gt;"Xm")*(AK16&lt;&gt;"Xg")*(COUNTIFS($C$3:$Q$3,"MAT",$C16:$Q16,AK$3)=0)*(COUNTIFS($C$3:$Q$3,"NOTTE",$C16:$Q16,AK$3)=0)*(COUNTIFS($C$3:$Q$3,"NOTTE",$C15:$Q15,AK$3)=0))+((AK16&lt;&gt;"Xp")*(AK16&lt;&gt;"Xg")*(COUNTIFS($C$3:$Q$3,"POM",$C16:$Q16,AK$3)=0)*(COUNTIFS($C$3:$Q$3,"NOTTE",$C16:$Q16,AK$3)=0)*(COUNTIFS($C$3:$Q$3,"NOTTE",$C15:$Q15,AK$3)=0))+((AK16&lt;&gt;"Xn")*(COUNTIFS($C$3:$Q$3,"MAT",$C16:$Q16,AK$3)=0)*(COUNTIFS($C$3:$Q$3,"POM",$C16:$Q16,AK$3)=0)*(COUNTIFS($C$3:$Q$3,"NOTTE",$C16:$Q16,AK$3)=0)*(COUNTIFS($C$3:$Q$3,"NOTTE",$C15:$Q15,AK$3)=0))=3,AK$3&amp;", ",AK$3&amp;IF((AK16&lt;&gt;"Xm")*(AK16&lt;&gt;"Xg")*(COUNTIFS($C$3:$Q$3,"MAT",$C16:$Q16,AK$3)=0)*(COUNTIFS($C$3:$Q$3,"NOTTE",$C16:$Q16,AK$3)=0)*(COUNTIFS($C$3:$Q$3,"NOTTE",$C15:$Q15,AK$3)=0),"_m","")&amp;IF((AK16&lt;&gt;"Xp")*(AK16&lt;&gt;"Xg")*(COUNTIFS($C$3:$Q$3,"POM",$C16:$Q16,AK$3)=0)*(COUNTIFS($C$3:$Q$3,"NOTTE",$C16:$Q16,AK$3)=0)*(COUNTIFS($C$3:$Q$3,"NOTTE",$C15:$Q15,AK$3)=0),"_p","")&amp;IF((AK16&lt;&gt;"Xn")*(COUNTIFS($C$3:$Q$3,"MAT",$C16:$Q16,AK$3)=0)*(COUNTIFS($C$3:$Q$3,"POM",$C16:$Q16,AK$3)=0)*(COUNTIFS($C$3:$Q$3,"NOTTE",$C16:$Q16,AK$3)=0)*(COUNTIFS($C$3:$Q$3,"NOTTE",$C15:$Q15,AK$3)=0),"_n","")&amp;", ")))</f>
        <v xml:space="preserve">CONTI S, </v>
      </c>
      <c r="CO16" s="9" t="str">
        <f>IF(0+(AL16="X")&gt;0,"",IF(0+((AL16&lt;&gt;"Xm")*(AL16&lt;&gt;"Xg")*(COUNTIFS($C$3:$Q$3,"MAT",$C16:$Q16,AL$3)=0)*(COUNTIFS($C$3:$Q$3,"NOTTE",$C16:$Q16,AL$3)=0)*(COUNTIFS($C$3:$Q$3,"NOTTE",$C15:$Q15,AL$3)=0))+((AL16&lt;&gt;"Xp")*(AL16&lt;&gt;"Xg")*(COUNTIFS($C$3:$Q$3,"POM",$C16:$Q16,AL$3)=0)*(COUNTIFS($C$3:$Q$3,"NOTTE",$C16:$Q16,AL$3)=0)*(COUNTIFS($C$3:$Q$3,"NOTTE",$C15:$Q15,AL$3)=0))+((AL16&lt;&gt;"Xn")*(COUNTIFS($C$3:$Q$3,"MAT",$C16:$Q16,AL$3)=0)*(COUNTIFS($C$3:$Q$3,"POM",$C16:$Q16,AL$3)=0)*(COUNTIFS($C$3:$Q$3,"NOTTE",$C16:$Q16,AL$3)=0)*(COUNTIFS($C$3:$Q$3,"NOTTE",$C15:$Q15,AL$3)=0))=0,"",IF(0+((AL16&lt;&gt;"Xm")*(AL16&lt;&gt;"Xg")*(COUNTIFS($C$3:$Q$3,"MAT",$C16:$Q16,AL$3)=0)*(COUNTIFS($C$3:$Q$3,"NOTTE",$C16:$Q16,AL$3)=0)*(COUNTIFS($C$3:$Q$3,"NOTTE",$C15:$Q15,AL$3)=0))+((AL16&lt;&gt;"Xp")*(AL16&lt;&gt;"Xg")*(COUNTIFS($C$3:$Q$3,"POM",$C16:$Q16,AL$3)=0)*(COUNTIFS($C$3:$Q$3,"NOTTE",$C16:$Q16,AL$3)=0)*(COUNTIFS($C$3:$Q$3,"NOTTE",$C15:$Q15,AL$3)=0))+((AL16&lt;&gt;"Xn")*(COUNTIFS($C$3:$Q$3,"MAT",$C16:$Q16,AL$3)=0)*(COUNTIFS($C$3:$Q$3,"POM",$C16:$Q16,AL$3)=0)*(COUNTIFS($C$3:$Q$3,"NOTTE",$C16:$Q16,AL$3)=0)*(COUNTIFS($C$3:$Q$3,"NOTTE",$C15:$Q15,AL$3)=0))=3,AL$3&amp;", ",AL$3&amp;IF((AL16&lt;&gt;"Xm")*(AL16&lt;&gt;"Xg")*(COUNTIFS($C$3:$Q$3,"MAT",$C16:$Q16,AL$3)=0)*(COUNTIFS($C$3:$Q$3,"NOTTE",$C16:$Q16,AL$3)=0)*(COUNTIFS($C$3:$Q$3,"NOTTE",$C15:$Q15,AL$3)=0),"_m","")&amp;IF((AL16&lt;&gt;"Xp")*(AL16&lt;&gt;"Xg")*(COUNTIFS($C$3:$Q$3,"POM",$C16:$Q16,AL$3)=0)*(COUNTIFS($C$3:$Q$3,"NOTTE",$C16:$Q16,AL$3)=0)*(COUNTIFS($C$3:$Q$3,"NOTTE",$C15:$Q15,AL$3)=0),"_p","")&amp;IF((AL16&lt;&gt;"Xn")*(COUNTIFS($C$3:$Q$3,"MAT",$C16:$Q16,AL$3)=0)*(COUNTIFS($C$3:$Q$3,"POM",$C16:$Q16,AL$3)=0)*(COUNTIFS($C$3:$Q$3,"NOTTE",$C16:$Q16,AL$3)=0)*(COUNTIFS($C$3:$Q$3,"NOTTE",$C15:$Q15,AL$3)=0),"_n","")&amp;", ")))</f>
        <v xml:space="preserve">FERRARI, </v>
      </c>
      <c r="CP16" s="9" t="str">
        <f>IF(0+(AM16="X")&gt;0,"",IF(0+((AM16&lt;&gt;"Xm")*(AM16&lt;&gt;"Xg")*(COUNTIFS($C$3:$Q$3,"MAT",$C16:$Q16,AM$3)=0)*(COUNTIFS($C$3:$Q$3,"NOTTE",$C16:$Q16,AM$3)=0)*(COUNTIFS($C$3:$Q$3,"NOTTE",$C15:$Q15,AM$3)=0))+((AM16&lt;&gt;"Xp")*(AM16&lt;&gt;"Xg")*(COUNTIFS($C$3:$Q$3,"POM",$C16:$Q16,AM$3)=0)*(COUNTIFS($C$3:$Q$3,"NOTTE",$C16:$Q16,AM$3)=0)*(COUNTIFS($C$3:$Q$3,"NOTTE",$C15:$Q15,AM$3)=0))+((AM16&lt;&gt;"Xn")*(COUNTIFS($C$3:$Q$3,"MAT",$C16:$Q16,AM$3)=0)*(COUNTIFS($C$3:$Q$3,"POM",$C16:$Q16,AM$3)=0)*(COUNTIFS($C$3:$Q$3,"NOTTE",$C16:$Q16,AM$3)=0)*(COUNTIFS($C$3:$Q$3,"NOTTE",$C15:$Q15,AM$3)=0))=0,"",IF(0+((AM16&lt;&gt;"Xm")*(AM16&lt;&gt;"Xg")*(COUNTIFS($C$3:$Q$3,"MAT",$C16:$Q16,AM$3)=0)*(COUNTIFS($C$3:$Q$3,"NOTTE",$C16:$Q16,AM$3)=0)*(COUNTIFS($C$3:$Q$3,"NOTTE",$C15:$Q15,AM$3)=0))+((AM16&lt;&gt;"Xp")*(AM16&lt;&gt;"Xg")*(COUNTIFS($C$3:$Q$3,"POM",$C16:$Q16,AM$3)=0)*(COUNTIFS($C$3:$Q$3,"NOTTE",$C16:$Q16,AM$3)=0)*(COUNTIFS($C$3:$Q$3,"NOTTE",$C15:$Q15,AM$3)=0))+((AM16&lt;&gt;"Xn")*(COUNTIFS($C$3:$Q$3,"MAT",$C16:$Q16,AM$3)=0)*(COUNTIFS($C$3:$Q$3,"POM",$C16:$Q16,AM$3)=0)*(COUNTIFS($C$3:$Q$3,"NOTTE",$C16:$Q16,AM$3)=0)*(COUNTIFS($C$3:$Q$3,"NOTTE",$C15:$Q15,AM$3)=0))=3,AM$3&amp;", ",AM$3&amp;IF((AM16&lt;&gt;"Xm")*(AM16&lt;&gt;"Xg")*(COUNTIFS($C$3:$Q$3,"MAT",$C16:$Q16,AM$3)=0)*(COUNTIFS($C$3:$Q$3,"NOTTE",$C16:$Q16,AM$3)=0)*(COUNTIFS($C$3:$Q$3,"NOTTE",$C15:$Q15,AM$3)=0),"_m","")&amp;IF((AM16&lt;&gt;"Xp")*(AM16&lt;&gt;"Xg")*(COUNTIFS($C$3:$Q$3,"POM",$C16:$Q16,AM$3)=0)*(COUNTIFS($C$3:$Q$3,"NOTTE",$C16:$Q16,AM$3)=0)*(COUNTIFS($C$3:$Q$3,"NOTTE",$C15:$Q15,AM$3)=0),"_p","")&amp;IF((AM16&lt;&gt;"Xn")*(COUNTIFS($C$3:$Q$3,"MAT",$C16:$Q16,AM$3)=0)*(COUNTIFS($C$3:$Q$3,"POM",$C16:$Q16,AM$3)=0)*(COUNTIFS($C$3:$Q$3,"NOTTE",$C16:$Q16,AM$3)=0)*(COUNTIFS($C$3:$Q$3,"NOTTE",$C15:$Q15,AM$3)=0),"_n","")&amp;", ")))</f>
        <v xml:space="preserve">GRECO, </v>
      </c>
      <c r="CQ16" s="9" t="str">
        <f>IF(0+(AN16="X")&gt;0,"",IF(0+((AN16&lt;&gt;"Xm")*(AN16&lt;&gt;"Xg")*(COUNTIFS($C$3:$Q$3,"MAT",$C16:$Q16,AN$3)=0)*(COUNTIFS($C$3:$Q$3,"NOTTE",$C16:$Q16,AN$3)=0)*(COUNTIFS($C$3:$Q$3,"NOTTE",$C15:$Q15,AN$3)=0))+((AN16&lt;&gt;"Xp")*(AN16&lt;&gt;"Xg")*(COUNTIFS($C$3:$Q$3,"POM",$C16:$Q16,AN$3)=0)*(COUNTIFS($C$3:$Q$3,"NOTTE",$C16:$Q16,AN$3)=0)*(COUNTIFS($C$3:$Q$3,"NOTTE",$C15:$Q15,AN$3)=0))+((AN16&lt;&gt;"Xn")*(COUNTIFS($C$3:$Q$3,"MAT",$C16:$Q16,AN$3)=0)*(COUNTIFS($C$3:$Q$3,"POM",$C16:$Q16,AN$3)=0)*(COUNTIFS($C$3:$Q$3,"NOTTE",$C16:$Q16,AN$3)=0)*(COUNTIFS($C$3:$Q$3,"NOTTE",$C15:$Q15,AN$3)=0))=0,"",IF(0+((AN16&lt;&gt;"Xm")*(AN16&lt;&gt;"Xg")*(COUNTIFS($C$3:$Q$3,"MAT",$C16:$Q16,AN$3)=0)*(COUNTIFS($C$3:$Q$3,"NOTTE",$C16:$Q16,AN$3)=0)*(COUNTIFS($C$3:$Q$3,"NOTTE",$C15:$Q15,AN$3)=0))+((AN16&lt;&gt;"Xp")*(AN16&lt;&gt;"Xg")*(COUNTIFS($C$3:$Q$3,"POM",$C16:$Q16,AN$3)=0)*(COUNTIFS($C$3:$Q$3,"NOTTE",$C16:$Q16,AN$3)=0)*(COUNTIFS($C$3:$Q$3,"NOTTE",$C15:$Q15,AN$3)=0))+((AN16&lt;&gt;"Xn")*(COUNTIFS($C$3:$Q$3,"MAT",$C16:$Q16,AN$3)=0)*(COUNTIFS($C$3:$Q$3,"POM",$C16:$Q16,AN$3)=0)*(COUNTIFS($C$3:$Q$3,"NOTTE",$C16:$Q16,AN$3)=0)*(COUNTIFS($C$3:$Q$3,"NOTTE",$C15:$Q15,AN$3)=0))=3,AN$3&amp;", ",AN$3&amp;IF((AN16&lt;&gt;"Xm")*(AN16&lt;&gt;"Xg")*(COUNTIFS($C$3:$Q$3,"MAT",$C16:$Q16,AN$3)=0)*(COUNTIFS($C$3:$Q$3,"NOTTE",$C16:$Q16,AN$3)=0)*(COUNTIFS($C$3:$Q$3,"NOTTE",$C15:$Q15,AN$3)=0),"_m","")&amp;IF((AN16&lt;&gt;"Xp")*(AN16&lt;&gt;"Xg")*(COUNTIFS($C$3:$Q$3,"POM",$C16:$Q16,AN$3)=0)*(COUNTIFS($C$3:$Q$3,"NOTTE",$C16:$Q16,AN$3)=0)*(COUNTIFS($C$3:$Q$3,"NOTTE",$C15:$Q15,AN$3)=0),"_p","")&amp;IF((AN16&lt;&gt;"Xn")*(COUNTIFS($C$3:$Q$3,"MAT",$C16:$Q16,AN$3)=0)*(COUNTIFS($C$3:$Q$3,"POM",$C16:$Q16,AN$3)=0)*(COUNTIFS($C$3:$Q$3,"NOTTE",$C16:$Q16,AN$3)=0)*(COUNTIFS($C$3:$Q$3,"NOTTE",$C15:$Q15,AN$3)=0),"_n","")&amp;", ")))</f>
        <v xml:space="preserve">SANNA, </v>
      </c>
      <c r="CR16" s="9" t="str">
        <f>IF(0+(AO16="X")&gt;0,"",IF(0+((AO16&lt;&gt;"Xm")*(AO16&lt;&gt;"Xg")*(COUNTIFS($C$3:$Q$3,"MAT",$C16:$Q16,AO$3)=0)*(COUNTIFS($C$3:$Q$3,"NOTTE",$C16:$Q16,AO$3)=0)*(COUNTIFS($C$3:$Q$3,"NOTTE",$C15:$Q15,AO$3)=0))+((AO16&lt;&gt;"Xp")*(AO16&lt;&gt;"Xg")*(COUNTIFS($C$3:$Q$3,"POM",$C16:$Q16,AO$3)=0)*(COUNTIFS($C$3:$Q$3,"NOTTE",$C16:$Q16,AO$3)=0)*(COUNTIFS($C$3:$Q$3,"NOTTE",$C15:$Q15,AO$3)=0))+((AO16&lt;&gt;"Xn")*(COUNTIFS($C$3:$Q$3,"MAT",$C16:$Q16,AO$3)=0)*(COUNTIFS($C$3:$Q$3,"POM",$C16:$Q16,AO$3)=0)*(COUNTIFS($C$3:$Q$3,"NOTTE",$C16:$Q16,AO$3)=0)*(COUNTIFS($C$3:$Q$3,"NOTTE",$C15:$Q15,AO$3)=0))=0,"",IF(0+((AO16&lt;&gt;"Xm")*(AO16&lt;&gt;"Xg")*(COUNTIFS($C$3:$Q$3,"MAT",$C16:$Q16,AO$3)=0)*(COUNTIFS($C$3:$Q$3,"NOTTE",$C16:$Q16,AO$3)=0)*(COUNTIFS($C$3:$Q$3,"NOTTE",$C15:$Q15,AO$3)=0))+((AO16&lt;&gt;"Xp")*(AO16&lt;&gt;"Xg")*(COUNTIFS($C$3:$Q$3,"POM",$C16:$Q16,AO$3)=0)*(COUNTIFS($C$3:$Q$3,"NOTTE",$C16:$Q16,AO$3)=0)*(COUNTIFS($C$3:$Q$3,"NOTTE",$C15:$Q15,AO$3)=0))+((AO16&lt;&gt;"Xn")*(COUNTIFS($C$3:$Q$3,"MAT",$C16:$Q16,AO$3)=0)*(COUNTIFS($C$3:$Q$3,"POM",$C16:$Q16,AO$3)=0)*(COUNTIFS($C$3:$Q$3,"NOTTE",$C16:$Q16,AO$3)=0)*(COUNTIFS($C$3:$Q$3,"NOTTE",$C15:$Q15,AO$3)=0))=3,AO$3&amp;", ",AO$3&amp;IF((AO16&lt;&gt;"Xm")*(AO16&lt;&gt;"Xg")*(COUNTIFS($C$3:$Q$3,"MAT",$C16:$Q16,AO$3)=0)*(COUNTIFS($C$3:$Q$3,"NOTTE",$C16:$Q16,AO$3)=0)*(COUNTIFS($C$3:$Q$3,"NOTTE",$C15:$Q15,AO$3)=0),"_m","")&amp;IF((AO16&lt;&gt;"Xp")*(AO16&lt;&gt;"Xg")*(COUNTIFS($C$3:$Q$3,"POM",$C16:$Q16,AO$3)=0)*(COUNTIFS($C$3:$Q$3,"NOTTE",$C16:$Q16,AO$3)=0)*(COUNTIFS($C$3:$Q$3,"NOTTE",$C15:$Q15,AO$3)=0),"_p","")&amp;IF((AO16&lt;&gt;"Xn")*(COUNTIFS($C$3:$Q$3,"MAT",$C16:$Q16,AO$3)=0)*(COUNTIFS($C$3:$Q$3,"POM",$C16:$Q16,AO$3)=0)*(COUNTIFS($C$3:$Q$3,"NOTTE",$C16:$Q16,AO$3)=0)*(COUNTIFS($C$3:$Q$3,"NOTTE",$C15:$Q15,AO$3)=0),"_n","")&amp;", ")))</f>
        <v xml:space="preserve">LI, </v>
      </c>
    </row>
    <row r="17">
      <c r="A17" s="3" t="str">
        <f>CHOOSE(WEEKDAY(DATE($B$1,$A$2,B17),2),"lunedì","martedì","mercoledì","giovedì","venerdì","sabato","domenica")</f>
        <v>sabato</v>
      </c>
      <c r="B17" s="3" t="n">
        <v>14</v>
      </c>
      <c r="C17" s="4" t="n"/>
      <c r="D17" s="4" t="n"/>
      <c r="E17" s="3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3" t="n"/>
      <c r="Q17" s="3" t="n"/>
      <c r="R17" s="3" t="n"/>
      <c r="S17" s="3">
        <f>IF(SUMPRODUCT(($C$3:$Q$3&lt;&gt;"")*($C17:$Q17&lt;&gt;"")*(LEFT($C17:$Q17,6)&lt;&gt;"chiuso")*(COUNTIFS($C17:$Q17,$C17:$Q17,$C$3:$Q$3,$C$3:$Q$3)&gt;1))&gt;0,"X","")</f>
      </c>
      <c r="T17" s="3" t="str">
        <f>IF(LEN(BP17&amp;BQ17&amp;BR17&amp;BS17&amp;BT17&amp;BU17&amp;BV17&amp;BW17&amp;BX17&amp;BY17&amp;BZ17&amp;CA17&amp;CB17&amp;CC17)=0,"",LEFT(BP17&amp;BQ17&amp;BR17&amp;BS17&amp;BT17&amp;BU17&amp;BV17&amp;BW17&amp;BX17&amp;BY17&amp;BZ17&amp;CA17&amp;CB17&amp;CC17,LEN(BP17&amp;BQ17&amp;BR17&amp;BS17&amp;BT17&amp;BU17&amp;BV17&amp;BW17&amp;BX17&amp;BY17&amp;BZ17&amp;CA17&amp;CB17&amp;CC17)-2))</f>
        <v>LEONI, ROSSI M, ROSSI L, GALLINA, RUSSO, VERDI, HU, MARINI, CONTI A, CONTI S, FERRARI, GRECO, SANNA, LI</v>
      </c>
      <c r="U17" s="3" t="str">
        <f>IF(LEN(CE17&amp;CF17&amp;CG17&amp;CH17&amp;CI17&amp;CJ17&amp;CK17&amp;CL17&amp;CM17&amp;CN17&amp;CO17&amp;CP17&amp;CQ17&amp;CR17)=0,"",LEFT(CE17&amp;CF17&amp;CG17&amp;CH17&amp;CI17&amp;CJ17&amp;CK17&amp;CL17&amp;CM17&amp;CN17&amp;CO17&amp;CP17&amp;CQ17&amp;CR17,LEN(CE17&amp;CF17&amp;CG17&amp;CH17&amp;CI17&amp;CJ17&amp;CK17&amp;CL17&amp;CM17&amp;CN17&amp;CO17&amp;CP17&amp;CQ17&amp;CR17)-2))</f>
        <v>LEONI, ROSSI M, ROSSI L, GALLINA, RUSSO, VERDI, HU, MARINI, CONTI A, CONTI S, FERRARI, GRECO, SANNA, LI</v>
      </c>
      <c r="Z17" s="3" t="str">
        <f>A17</f>
        <v>sabato</v>
      </c>
      <c r="AA17" s="3">
        <f>B17</f>
        <v>14</v>
      </c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T17" s="7" t="str">
        <f>AO$3</f>
        <v>LI</v>
      </c>
      <c r="AU17" s="7">
        <f>COUNTIF($C$4:$D$33,$AT17)</f>
        <v>0</v>
      </c>
      <c r="AV17" s="7">
        <f>COUNTIF($E$4:$F$33,$AT17)</f>
        <v>0</v>
      </c>
      <c r="AW17" s="7">
        <f>COUNTIF($G$4:$H$33,$AT17)</f>
        <v>0</v>
      </c>
      <c r="AX17" s="7">
        <f>COUNTIF($I$4:$J$33,$AT17)</f>
        <v>0</v>
      </c>
      <c r="AY17" s="7">
        <f>COUNTIF($K$4:$K$33,$AT17)</f>
        <v>0</v>
      </c>
      <c r="AZ17" s="7">
        <f>COUNTIF($L$4:$L$33,$AT17)</f>
        <v>0</v>
      </c>
      <c r="BA17" s="7">
        <f>COUNTIF($M$4:$M$33,$AT17)</f>
        <v>0</v>
      </c>
      <c r="BB17" s="7">
        <f>COUNTIF($N$4:$Q$33,$AT17)</f>
        <v>0</v>
      </c>
      <c r="BC17" s="7">
        <f>COUNTIF($C$4:$Q$33,$AT17)</f>
        <v>0</v>
      </c>
      <c r="BE17" s="8" t="str">
        <f>AO$3</f>
        <v>LI</v>
      </c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P17" s="9" t="str">
        <f>IF(0+(AB17="X")&gt;0,"",IF(0+((AB17&lt;&gt;"Xm")*(AB17&lt;&gt;"Xg"))+((AB17&lt;&gt;"Xm")*(AB17&lt;&gt;"Xp")*(AB17&lt;&gt;"Xg"))+((AB17&lt;&gt;"Xn"))=0,"",IF(0+((AB17&lt;&gt;"Xm")*(AB17&lt;&gt;"Xg"))+((AB17&lt;&gt;"Xm")*(AB17&lt;&gt;"Xp")*(AB17&lt;&gt;"Xg"))+((AB17&lt;&gt;"Xn"))=3,AB$3&amp;", ",AB$3&amp;IF((AB17&lt;&gt;"Xm")*(AB17&lt;&gt;"Xg"),"_m","")&amp;IF((AB17&lt;&gt;"Xm")*(AB17&lt;&gt;"Xp")*(AB17&lt;&gt;"Xg"),"_g","")&amp;IF((AB17&lt;&gt;"Xn"),"_n","")&amp;", ")))</f>
        <v xml:space="preserve">LEONI, </v>
      </c>
      <c r="BQ17" s="9" t="str">
        <f>IF(0+(AC17="X")&gt;0,"",IF(0+((AC17&lt;&gt;"Xm")*(AC17&lt;&gt;"Xg"))+((AC17&lt;&gt;"Xm")*(AC17&lt;&gt;"Xp")*(AC17&lt;&gt;"Xg"))+((AC17&lt;&gt;"Xn"))=0,"",IF(0+((AC17&lt;&gt;"Xm")*(AC17&lt;&gt;"Xg"))+((AC17&lt;&gt;"Xm")*(AC17&lt;&gt;"Xp")*(AC17&lt;&gt;"Xg"))+((AC17&lt;&gt;"Xn"))=3,AC$3&amp;", ",AC$3&amp;IF((AC17&lt;&gt;"Xm")*(AC17&lt;&gt;"Xg"),"_m","")&amp;IF((AC17&lt;&gt;"Xm")*(AC17&lt;&gt;"Xp")*(AC17&lt;&gt;"Xg"),"_g","")&amp;IF((AC17&lt;&gt;"Xn"),"_n","")&amp;", ")))</f>
        <v xml:space="preserve">ROSSI M, </v>
      </c>
      <c r="BR17" s="9" t="str">
        <f>IF(0+(AD17="X")&gt;0,"",IF(0+((AD17&lt;&gt;"Xm")*(AD17&lt;&gt;"Xg"))+((AD17&lt;&gt;"Xm")*(AD17&lt;&gt;"Xp")*(AD17&lt;&gt;"Xg"))+((AD17&lt;&gt;"Xn"))=0,"",IF(0+((AD17&lt;&gt;"Xm")*(AD17&lt;&gt;"Xg"))+((AD17&lt;&gt;"Xm")*(AD17&lt;&gt;"Xp")*(AD17&lt;&gt;"Xg"))+((AD17&lt;&gt;"Xn"))=3,AD$3&amp;", ",AD$3&amp;IF((AD17&lt;&gt;"Xm")*(AD17&lt;&gt;"Xg"),"_m","")&amp;IF((AD17&lt;&gt;"Xm")*(AD17&lt;&gt;"Xp")*(AD17&lt;&gt;"Xg"),"_g","")&amp;IF((AD17&lt;&gt;"Xn"),"_n","")&amp;", ")))</f>
        <v xml:space="preserve">ROSSI L, </v>
      </c>
      <c r="BS17" s="9" t="str">
        <f>IF(0+(AE17="X")&gt;0,"",IF(0+((AE17&lt;&gt;"Xm")*(AE17&lt;&gt;"Xg"))+((AE17&lt;&gt;"Xm")*(AE17&lt;&gt;"Xp")*(AE17&lt;&gt;"Xg"))+((AE17&lt;&gt;"Xn"))=0,"",IF(0+((AE17&lt;&gt;"Xm")*(AE17&lt;&gt;"Xg"))+((AE17&lt;&gt;"Xm")*(AE17&lt;&gt;"Xp")*(AE17&lt;&gt;"Xg"))+((AE17&lt;&gt;"Xn"))=3,AE$3&amp;", ",AE$3&amp;IF((AE17&lt;&gt;"Xm")*(AE17&lt;&gt;"Xg"),"_m","")&amp;IF((AE17&lt;&gt;"Xm")*(AE17&lt;&gt;"Xp")*(AE17&lt;&gt;"Xg"),"_g","")&amp;IF((AE17&lt;&gt;"Xn"),"_n","")&amp;", ")))</f>
        <v xml:space="preserve">GALLINA, </v>
      </c>
      <c r="BT17" s="9" t="str">
        <f>IF(0+(AF17="X")&gt;0,"",IF(0+((AF17&lt;&gt;"Xm")*(AF17&lt;&gt;"Xg"))+((AF17&lt;&gt;"Xm")*(AF17&lt;&gt;"Xp")*(AF17&lt;&gt;"Xg"))+((AF17&lt;&gt;"Xn"))=0,"",IF(0+((AF17&lt;&gt;"Xm")*(AF17&lt;&gt;"Xg"))+((AF17&lt;&gt;"Xm")*(AF17&lt;&gt;"Xp")*(AF17&lt;&gt;"Xg"))+((AF17&lt;&gt;"Xn"))=3,AF$3&amp;", ",AF$3&amp;IF((AF17&lt;&gt;"Xm")*(AF17&lt;&gt;"Xg"),"_m","")&amp;IF((AF17&lt;&gt;"Xm")*(AF17&lt;&gt;"Xp")*(AF17&lt;&gt;"Xg"),"_g","")&amp;IF((AF17&lt;&gt;"Xn"),"_n","")&amp;", ")))</f>
        <v xml:space="preserve">RUSSO, </v>
      </c>
      <c r="BU17" s="9" t="str">
        <f>IF(0+(AG17="X")&gt;0,"",IF(0+((AG17&lt;&gt;"Xm")*(AG17&lt;&gt;"Xg"))+((AG17&lt;&gt;"Xm")*(AG17&lt;&gt;"Xp")*(AG17&lt;&gt;"Xg"))+((AG17&lt;&gt;"Xn"))=0,"",IF(0+((AG17&lt;&gt;"Xm")*(AG17&lt;&gt;"Xg"))+((AG17&lt;&gt;"Xm")*(AG17&lt;&gt;"Xp")*(AG17&lt;&gt;"Xg"))+((AG17&lt;&gt;"Xn"))=3,AG$3&amp;", ",AG$3&amp;IF((AG17&lt;&gt;"Xm")*(AG17&lt;&gt;"Xg"),"_m","")&amp;IF((AG17&lt;&gt;"Xm")*(AG17&lt;&gt;"Xp")*(AG17&lt;&gt;"Xg"),"_g","")&amp;IF((AG17&lt;&gt;"Xn"),"_n","")&amp;", ")))</f>
        <v xml:space="preserve">VERDI, </v>
      </c>
      <c r="BV17" s="9" t="str">
        <f>IF(0+(AH17="X")&gt;0,"",IF(0+((AH17&lt;&gt;"Xm")*(AH17&lt;&gt;"Xg"))+((AH17&lt;&gt;"Xm")*(AH17&lt;&gt;"Xp")*(AH17&lt;&gt;"Xg"))+((AH17&lt;&gt;"Xn"))=0,"",IF(0+((AH17&lt;&gt;"Xm")*(AH17&lt;&gt;"Xg"))+((AH17&lt;&gt;"Xm")*(AH17&lt;&gt;"Xp")*(AH17&lt;&gt;"Xg"))+((AH17&lt;&gt;"Xn"))=3,AH$3&amp;", ",AH$3&amp;IF((AH17&lt;&gt;"Xm")*(AH17&lt;&gt;"Xg"),"_m","")&amp;IF((AH17&lt;&gt;"Xm")*(AH17&lt;&gt;"Xp")*(AH17&lt;&gt;"Xg"),"_g","")&amp;IF((AH17&lt;&gt;"Xn"),"_n","")&amp;", ")))</f>
        <v xml:space="preserve">HU, </v>
      </c>
      <c r="BW17" s="9" t="str">
        <f>IF(0+(AI17="X")&gt;0,"",IF(0+((AI17&lt;&gt;"Xm")*(AI17&lt;&gt;"Xg"))+((AI17&lt;&gt;"Xm")*(AI17&lt;&gt;"Xp")*(AI17&lt;&gt;"Xg"))+((AI17&lt;&gt;"Xn"))=0,"",IF(0+((AI17&lt;&gt;"Xm")*(AI17&lt;&gt;"Xg"))+((AI17&lt;&gt;"Xm")*(AI17&lt;&gt;"Xp")*(AI17&lt;&gt;"Xg"))+((AI17&lt;&gt;"Xn"))=3,AI$3&amp;", ",AI$3&amp;IF((AI17&lt;&gt;"Xm")*(AI17&lt;&gt;"Xg"),"_m","")&amp;IF((AI17&lt;&gt;"Xm")*(AI17&lt;&gt;"Xp")*(AI17&lt;&gt;"Xg"),"_g","")&amp;IF((AI17&lt;&gt;"Xn"),"_n","")&amp;", ")))</f>
        <v xml:space="preserve">MARINI, </v>
      </c>
      <c r="BX17" s="9" t="str">
        <f>IF(0+(AJ17="X")&gt;0,"",IF(0+((AJ17&lt;&gt;"Xm")*(AJ17&lt;&gt;"Xg"))+((AJ17&lt;&gt;"Xm")*(AJ17&lt;&gt;"Xp")*(AJ17&lt;&gt;"Xg"))+((AJ17&lt;&gt;"Xn"))=0,"",IF(0+((AJ17&lt;&gt;"Xm")*(AJ17&lt;&gt;"Xg"))+((AJ17&lt;&gt;"Xm")*(AJ17&lt;&gt;"Xp")*(AJ17&lt;&gt;"Xg"))+((AJ17&lt;&gt;"Xn"))=3,AJ$3&amp;", ",AJ$3&amp;IF((AJ17&lt;&gt;"Xm")*(AJ17&lt;&gt;"Xg"),"_m","")&amp;IF((AJ17&lt;&gt;"Xm")*(AJ17&lt;&gt;"Xp")*(AJ17&lt;&gt;"Xg"),"_g","")&amp;IF((AJ17&lt;&gt;"Xn"),"_n","")&amp;", ")))</f>
        <v xml:space="preserve">CONTI A, </v>
      </c>
      <c r="BY17" s="9" t="str">
        <f>IF(0+(AK17="X")&gt;0,"",IF(0+((AK17&lt;&gt;"Xm")*(AK17&lt;&gt;"Xg"))+((AK17&lt;&gt;"Xm")*(AK17&lt;&gt;"Xp")*(AK17&lt;&gt;"Xg"))+((AK17&lt;&gt;"Xn"))=0,"",IF(0+((AK17&lt;&gt;"Xm")*(AK17&lt;&gt;"Xg"))+((AK17&lt;&gt;"Xm")*(AK17&lt;&gt;"Xp")*(AK17&lt;&gt;"Xg"))+((AK17&lt;&gt;"Xn"))=3,AK$3&amp;", ",AK$3&amp;IF((AK17&lt;&gt;"Xm")*(AK17&lt;&gt;"Xg"),"_m","")&amp;IF((AK17&lt;&gt;"Xm")*(AK17&lt;&gt;"Xp")*(AK17&lt;&gt;"Xg"),"_g","")&amp;IF((AK17&lt;&gt;"Xn"),"_n","")&amp;", ")))</f>
        <v xml:space="preserve">CONTI S, </v>
      </c>
      <c r="BZ17" s="9" t="str">
        <f>IF(0+(AL17="X")&gt;0,"",IF(0+((AL17&lt;&gt;"Xm")*(AL17&lt;&gt;"Xg"))+((AL17&lt;&gt;"Xm")*(AL17&lt;&gt;"Xp")*(AL17&lt;&gt;"Xg"))+((AL17&lt;&gt;"Xn"))=0,"",IF(0+((AL17&lt;&gt;"Xm")*(AL17&lt;&gt;"Xg"))+((AL17&lt;&gt;"Xm")*(AL17&lt;&gt;"Xp")*(AL17&lt;&gt;"Xg"))+((AL17&lt;&gt;"Xn"))=3,AL$3&amp;", ",AL$3&amp;IF((AL17&lt;&gt;"Xm")*(AL17&lt;&gt;"Xg"),"_m","")&amp;IF((AL17&lt;&gt;"Xm")*(AL17&lt;&gt;"Xp")*(AL17&lt;&gt;"Xg"),"_g","")&amp;IF((AL17&lt;&gt;"Xn"),"_n","")&amp;", ")))</f>
        <v xml:space="preserve">FERRARI, </v>
      </c>
      <c r="CA17" s="9" t="str">
        <f>IF(0+(AM17="X")&gt;0,"",IF(0+((AM17&lt;&gt;"Xm")*(AM17&lt;&gt;"Xg"))+((AM17&lt;&gt;"Xm")*(AM17&lt;&gt;"Xp")*(AM17&lt;&gt;"Xg"))+((AM17&lt;&gt;"Xn"))=0,"",IF(0+((AM17&lt;&gt;"Xm")*(AM17&lt;&gt;"Xg"))+((AM17&lt;&gt;"Xm")*(AM17&lt;&gt;"Xp")*(AM17&lt;&gt;"Xg"))+((AM17&lt;&gt;"Xn"))=3,AM$3&amp;", ",AM$3&amp;IF((AM17&lt;&gt;"Xm")*(AM17&lt;&gt;"Xg"),"_m","")&amp;IF((AM17&lt;&gt;"Xm")*(AM17&lt;&gt;"Xp")*(AM17&lt;&gt;"Xg"),"_g","")&amp;IF((AM17&lt;&gt;"Xn"),"_n","")&amp;", ")))</f>
        <v xml:space="preserve">GRECO, </v>
      </c>
      <c r="CB17" s="9" t="str">
        <f>IF(0+(AN17="X")&gt;0,"",IF(0+((AN17&lt;&gt;"Xm")*(AN17&lt;&gt;"Xg"))+((AN17&lt;&gt;"Xm")*(AN17&lt;&gt;"Xp")*(AN17&lt;&gt;"Xg"))+((AN17&lt;&gt;"Xn"))=0,"",IF(0+((AN17&lt;&gt;"Xm")*(AN17&lt;&gt;"Xg"))+((AN17&lt;&gt;"Xm")*(AN17&lt;&gt;"Xp")*(AN17&lt;&gt;"Xg"))+((AN17&lt;&gt;"Xn"))=3,AN$3&amp;", ",AN$3&amp;IF((AN17&lt;&gt;"Xm")*(AN17&lt;&gt;"Xg"),"_m","")&amp;IF((AN17&lt;&gt;"Xm")*(AN17&lt;&gt;"Xp")*(AN17&lt;&gt;"Xg"),"_g","")&amp;IF((AN17&lt;&gt;"Xn"),"_n","")&amp;", ")))</f>
        <v xml:space="preserve">SANNA, </v>
      </c>
      <c r="CC17" s="9" t="str">
        <f>IF(0+(AO17="X")&gt;0,"",IF(0+((AO17&lt;&gt;"Xm")*(AO17&lt;&gt;"Xg"))+((AO17&lt;&gt;"Xm")*(AO17&lt;&gt;"Xp")*(AO17&lt;&gt;"Xg"))+((AO17&lt;&gt;"Xn"))=0,"",IF(0+((AO17&lt;&gt;"Xm")*(AO17&lt;&gt;"Xg"))+((AO17&lt;&gt;"Xm")*(AO17&lt;&gt;"Xp")*(AO17&lt;&gt;"Xg"))+((AO17&lt;&gt;"Xn"))=3,AO$3&amp;", ",AO$3&amp;IF((AO17&lt;&gt;"Xm")*(AO17&lt;&gt;"Xg"),"_m","")&amp;IF((AO17&lt;&gt;"Xm")*(AO17&lt;&gt;"Xp")*(AO17&lt;&gt;"Xg"),"_g","")&amp;IF((AO17&lt;&gt;"Xn"),"_n","")&amp;", ")))</f>
        <v xml:space="preserve">LI, </v>
      </c>
      <c r="CD17" s="9" t="n"/>
      <c r="CE17" s="9" t="str">
        <f>IF(0+(AB17="X")&gt;0,"",IF(0+((AB17&lt;&gt;"Xm")*(AB17&lt;&gt;"Xg")*(COUNTIFS($C$3:$Q$3,"MAT",$C17:$Q17,AB$3)=0)*(COUNTIFS($C$3:$Q$3,"GIORNO",$C17:$Q17,AB$3)=0)*(COUNTIFS($C$3:$Q$3,"NOTTE",$C17:$Q17,AB$3)=0)*(COUNTIFS($C$3:$Q$3,"NOTTE",$C16:$Q16,AB$3)=0))+((AB17&lt;&gt;"Xm")*(AB17&lt;&gt;"Xp")*(AB17&lt;&gt;"Xg")*(COUNTIFS($C$3:$Q$3,"MAT",$C17:$Q17,AB$3)=0)*(COUNTIFS($C$3:$Q$3,"GIORNO",$C17:$Q17,AB$3)=0)*(COUNTIFS($C$3:$Q$3,"NOTTE",$C17:$Q17,AB$3)=0)*(COUNTIFS($C$3:$Q$3,"NOTTE",$C16:$Q16,AB$3)=0))+((AB17&lt;&gt;"Xn")*(COUNTIFS($C$3:$Q$3,"MAT",$C17:$Q17,AB$3)=0)*(COUNTIFS($C$3:$Q$3,"GIORNO",$C17:$Q17,AB$3)=0)*(COUNTIFS($C$3:$Q$3,"NOTTE",$C17:$Q17,AB$3)=0)*(COUNTIFS($C$3:$Q$3,"NOTTE",$C16:$Q16,AB$3)=0))=0,"",IF(0+((AB17&lt;&gt;"Xm")*(AB17&lt;&gt;"Xg")*(COUNTIFS($C$3:$Q$3,"MAT",$C17:$Q17,AB$3)=0)*(COUNTIFS($C$3:$Q$3,"GIORNO",$C17:$Q17,AB$3)=0)*(COUNTIFS($C$3:$Q$3,"NOTTE",$C17:$Q17,AB$3)=0)*(COUNTIFS($C$3:$Q$3,"NOTTE",$C16:$Q16,AB$3)=0))+((AB17&lt;&gt;"Xm")*(AB17&lt;&gt;"Xp")*(AB17&lt;&gt;"Xg")*(COUNTIFS($C$3:$Q$3,"MAT",$C17:$Q17,AB$3)=0)*(COUNTIFS($C$3:$Q$3,"GIORNO",$C17:$Q17,AB$3)=0)*(COUNTIFS($C$3:$Q$3,"NOTTE",$C17:$Q17,AB$3)=0)*(COUNTIFS($C$3:$Q$3,"NOTTE",$C16:$Q16,AB$3)=0))+((AB17&lt;&gt;"Xn")*(COUNTIFS($C$3:$Q$3,"MAT",$C17:$Q17,AB$3)=0)*(COUNTIFS($C$3:$Q$3,"GIORNO",$C17:$Q17,AB$3)=0)*(COUNTIFS($C$3:$Q$3,"NOTTE",$C17:$Q17,AB$3)=0)*(COUNTIFS($C$3:$Q$3,"NOTTE",$C16:$Q16,AB$3)=0))=3,AB$3&amp;", ",AB$3&amp;IF((AB17&lt;&gt;"Xm")*(AB17&lt;&gt;"Xg")*(COUNTIFS($C$3:$Q$3,"MAT",$C17:$Q17,AB$3)=0)*(COUNTIFS($C$3:$Q$3,"GIORNO",$C17:$Q17,AB$3)=0)*(COUNTIFS($C$3:$Q$3,"NOTTE",$C17:$Q17,AB$3)=0)*(COUNTIFS($C$3:$Q$3,"NOTTE",$C16:$Q16,AB$3)=0),"_m","")&amp;IF((AB17&lt;&gt;"Xm")*(AB17&lt;&gt;"Xp")*(AB17&lt;&gt;"Xg")*(COUNTIFS($C$3:$Q$3,"MAT",$C17:$Q17,AB$3)=0)*(COUNTIFS($C$3:$Q$3,"GIORNO",$C17:$Q17,AB$3)=0)*(COUNTIFS($C$3:$Q$3,"NOTTE",$C17:$Q17,AB$3)=0)*(COUNTIFS($C$3:$Q$3,"NOTTE",$C16:$Q16,AB$3)=0),"_g","")&amp;IF((AB17&lt;&gt;"Xn")*(COUNTIFS($C$3:$Q$3,"MAT",$C17:$Q17,AB$3)=0)*(COUNTIFS($C$3:$Q$3,"GIORNO",$C17:$Q17,AB$3)=0)*(COUNTIFS($C$3:$Q$3,"NOTTE",$C17:$Q17,AB$3)=0)*(COUNTIFS($C$3:$Q$3,"NOTTE",$C16:$Q16,AB$3)=0),"_n","")&amp;", ")))</f>
        <v xml:space="preserve">LEONI, </v>
      </c>
      <c r="CF17" s="9" t="str">
        <f>IF(0+(AC17="X")&gt;0,"",IF(0+((AC17&lt;&gt;"Xm")*(AC17&lt;&gt;"Xg")*(COUNTIFS($C$3:$Q$3,"MAT",$C17:$Q17,AC$3)=0)*(COUNTIFS($C$3:$Q$3,"GIORNO",$C17:$Q17,AC$3)=0)*(COUNTIFS($C$3:$Q$3,"NOTTE",$C17:$Q17,AC$3)=0)*(COUNTIFS($C$3:$Q$3,"NOTTE",$C16:$Q16,AC$3)=0))+((AC17&lt;&gt;"Xm")*(AC17&lt;&gt;"Xp")*(AC17&lt;&gt;"Xg")*(COUNTIFS($C$3:$Q$3,"MAT",$C17:$Q17,AC$3)=0)*(COUNTIFS($C$3:$Q$3,"GIORNO",$C17:$Q17,AC$3)=0)*(COUNTIFS($C$3:$Q$3,"NOTTE",$C17:$Q17,AC$3)=0)*(COUNTIFS($C$3:$Q$3,"NOTTE",$C16:$Q16,AC$3)=0))+((AC17&lt;&gt;"Xn")*(COUNTIFS($C$3:$Q$3,"MAT",$C17:$Q17,AC$3)=0)*(COUNTIFS($C$3:$Q$3,"GIORNO",$C17:$Q17,AC$3)=0)*(COUNTIFS($C$3:$Q$3,"NOTTE",$C17:$Q17,AC$3)=0)*(COUNTIFS($C$3:$Q$3,"NOTTE",$C16:$Q16,AC$3)=0))=0,"",IF(0+((AC17&lt;&gt;"Xm")*(AC17&lt;&gt;"Xg")*(COUNTIFS($C$3:$Q$3,"MAT",$C17:$Q17,AC$3)=0)*(COUNTIFS($C$3:$Q$3,"GIORNO",$C17:$Q17,AC$3)=0)*(COUNTIFS($C$3:$Q$3,"NOTTE",$C17:$Q17,AC$3)=0)*(COUNTIFS($C$3:$Q$3,"NOTTE",$C16:$Q16,AC$3)=0))+((AC17&lt;&gt;"Xm")*(AC17&lt;&gt;"Xp")*(AC17&lt;&gt;"Xg")*(COUNTIFS($C$3:$Q$3,"MAT",$C17:$Q17,AC$3)=0)*(COUNTIFS($C$3:$Q$3,"GIORNO",$C17:$Q17,AC$3)=0)*(COUNTIFS($C$3:$Q$3,"NOTTE",$C17:$Q17,AC$3)=0)*(COUNTIFS($C$3:$Q$3,"NOTTE",$C16:$Q16,AC$3)=0))+((AC17&lt;&gt;"Xn")*(COUNTIFS($C$3:$Q$3,"MAT",$C17:$Q17,AC$3)=0)*(COUNTIFS($C$3:$Q$3,"GIORNO",$C17:$Q17,AC$3)=0)*(COUNTIFS($C$3:$Q$3,"NOTTE",$C17:$Q17,AC$3)=0)*(COUNTIFS($C$3:$Q$3,"NOTTE",$C16:$Q16,AC$3)=0))=3,AC$3&amp;", ",AC$3&amp;IF((AC17&lt;&gt;"Xm")*(AC17&lt;&gt;"Xg")*(COUNTIFS($C$3:$Q$3,"MAT",$C17:$Q17,AC$3)=0)*(COUNTIFS($C$3:$Q$3,"GIORNO",$C17:$Q17,AC$3)=0)*(COUNTIFS($C$3:$Q$3,"NOTTE",$C17:$Q17,AC$3)=0)*(COUNTIFS($C$3:$Q$3,"NOTTE",$C16:$Q16,AC$3)=0),"_m","")&amp;IF((AC17&lt;&gt;"Xm")*(AC17&lt;&gt;"Xp")*(AC17&lt;&gt;"Xg")*(COUNTIFS($C$3:$Q$3,"MAT",$C17:$Q17,AC$3)=0)*(COUNTIFS($C$3:$Q$3,"GIORNO",$C17:$Q17,AC$3)=0)*(COUNTIFS($C$3:$Q$3,"NOTTE",$C17:$Q17,AC$3)=0)*(COUNTIFS($C$3:$Q$3,"NOTTE",$C16:$Q16,AC$3)=0),"_g","")&amp;IF((AC17&lt;&gt;"Xn")*(COUNTIFS($C$3:$Q$3,"MAT",$C17:$Q17,AC$3)=0)*(COUNTIFS($C$3:$Q$3,"GIORNO",$C17:$Q17,AC$3)=0)*(COUNTIFS($C$3:$Q$3,"NOTTE",$C17:$Q17,AC$3)=0)*(COUNTIFS($C$3:$Q$3,"NOTTE",$C16:$Q16,AC$3)=0),"_n","")&amp;", ")))</f>
        <v xml:space="preserve">ROSSI M, </v>
      </c>
      <c r="CG17" s="9" t="str">
        <f>IF(0+(AD17="X")&gt;0,"",IF(0+((AD17&lt;&gt;"Xm")*(AD17&lt;&gt;"Xg")*(COUNTIFS($C$3:$Q$3,"MAT",$C17:$Q17,AD$3)=0)*(COUNTIFS($C$3:$Q$3,"GIORNO",$C17:$Q17,AD$3)=0)*(COUNTIFS($C$3:$Q$3,"NOTTE",$C17:$Q17,AD$3)=0)*(COUNTIFS($C$3:$Q$3,"NOTTE",$C16:$Q16,AD$3)=0))+((AD17&lt;&gt;"Xm")*(AD17&lt;&gt;"Xp")*(AD17&lt;&gt;"Xg")*(COUNTIFS($C$3:$Q$3,"MAT",$C17:$Q17,AD$3)=0)*(COUNTIFS($C$3:$Q$3,"GIORNO",$C17:$Q17,AD$3)=0)*(COUNTIFS($C$3:$Q$3,"NOTTE",$C17:$Q17,AD$3)=0)*(COUNTIFS($C$3:$Q$3,"NOTTE",$C16:$Q16,AD$3)=0))+((AD17&lt;&gt;"Xn")*(COUNTIFS($C$3:$Q$3,"MAT",$C17:$Q17,AD$3)=0)*(COUNTIFS($C$3:$Q$3,"GIORNO",$C17:$Q17,AD$3)=0)*(COUNTIFS($C$3:$Q$3,"NOTTE",$C17:$Q17,AD$3)=0)*(COUNTIFS($C$3:$Q$3,"NOTTE",$C16:$Q16,AD$3)=0))=0,"",IF(0+((AD17&lt;&gt;"Xm")*(AD17&lt;&gt;"Xg")*(COUNTIFS($C$3:$Q$3,"MAT",$C17:$Q17,AD$3)=0)*(COUNTIFS($C$3:$Q$3,"GIORNO",$C17:$Q17,AD$3)=0)*(COUNTIFS($C$3:$Q$3,"NOTTE",$C17:$Q17,AD$3)=0)*(COUNTIFS($C$3:$Q$3,"NOTTE",$C16:$Q16,AD$3)=0))+((AD17&lt;&gt;"Xm")*(AD17&lt;&gt;"Xp")*(AD17&lt;&gt;"Xg")*(COUNTIFS($C$3:$Q$3,"MAT",$C17:$Q17,AD$3)=0)*(COUNTIFS($C$3:$Q$3,"GIORNO",$C17:$Q17,AD$3)=0)*(COUNTIFS($C$3:$Q$3,"NOTTE",$C17:$Q17,AD$3)=0)*(COUNTIFS($C$3:$Q$3,"NOTTE",$C16:$Q16,AD$3)=0))+((AD17&lt;&gt;"Xn")*(COUNTIFS($C$3:$Q$3,"MAT",$C17:$Q17,AD$3)=0)*(COUNTIFS($C$3:$Q$3,"GIORNO",$C17:$Q17,AD$3)=0)*(COUNTIFS($C$3:$Q$3,"NOTTE",$C17:$Q17,AD$3)=0)*(COUNTIFS($C$3:$Q$3,"NOTTE",$C16:$Q16,AD$3)=0))=3,AD$3&amp;", ",AD$3&amp;IF((AD17&lt;&gt;"Xm")*(AD17&lt;&gt;"Xg")*(COUNTIFS($C$3:$Q$3,"MAT",$C17:$Q17,AD$3)=0)*(COUNTIFS($C$3:$Q$3,"GIORNO",$C17:$Q17,AD$3)=0)*(COUNTIFS($C$3:$Q$3,"NOTTE",$C17:$Q17,AD$3)=0)*(COUNTIFS($C$3:$Q$3,"NOTTE",$C16:$Q16,AD$3)=0),"_m","")&amp;IF((AD17&lt;&gt;"Xm")*(AD17&lt;&gt;"Xp")*(AD17&lt;&gt;"Xg")*(COUNTIFS($C$3:$Q$3,"MAT",$C17:$Q17,AD$3)=0)*(COUNTIFS($C$3:$Q$3,"GIORNO",$C17:$Q17,AD$3)=0)*(COUNTIFS($C$3:$Q$3,"NOTTE",$C17:$Q17,AD$3)=0)*(COUNTIFS($C$3:$Q$3,"NOTTE",$C16:$Q16,AD$3)=0),"_g","")&amp;IF((AD17&lt;&gt;"Xn")*(COUNTIFS($C$3:$Q$3,"MAT",$C17:$Q17,AD$3)=0)*(COUNTIFS($C$3:$Q$3,"GIORNO",$C17:$Q17,AD$3)=0)*(COUNTIFS($C$3:$Q$3,"NOTTE",$C17:$Q17,AD$3)=0)*(COUNTIFS($C$3:$Q$3,"NOTTE",$C16:$Q16,AD$3)=0),"_n","")&amp;", ")))</f>
        <v xml:space="preserve">ROSSI L, </v>
      </c>
      <c r="CH17" s="9" t="str">
        <f>IF(0+(AE17="X")&gt;0,"",IF(0+((AE17&lt;&gt;"Xm")*(AE17&lt;&gt;"Xg")*(COUNTIFS($C$3:$Q$3,"MAT",$C17:$Q17,AE$3)=0)*(COUNTIFS($C$3:$Q$3,"GIORNO",$C17:$Q17,AE$3)=0)*(COUNTIFS($C$3:$Q$3,"NOTTE",$C17:$Q17,AE$3)=0)*(COUNTIFS($C$3:$Q$3,"NOTTE",$C16:$Q16,AE$3)=0))+((AE17&lt;&gt;"Xm")*(AE17&lt;&gt;"Xp")*(AE17&lt;&gt;"Xg")*(COUNTIFS($C$3:$Q$3,"MAT",$C17:$Q17,AE$3)=0)*(COUNTIFS($C$3:$Q$3,"GIORNO",$C17:$Q17,AE$3)=0)*(COUNTIFS($C$3:$Q$3,"NOTTE",$C17:$Q17,AE$3)=0)*(COUNTIFS($C$3:$Q$3,"NOTTE",$C16:$Q16,AE$3)=0))+((AE17&lt;&gt;"Xn")*(COUNTIFS($C$3:$Q$3,"MAT",$C17:$Q17,AE$3)=0)*(COUNTIFS($C$3:$Q$3,"GIORNO",$C17:$Q17,AE$3)=0)*(COUNTIFS($C$3:$Q$3,"NOTTE",$C17:$Q17,AE$3)=0)*(COUNTIFS($C$3:$Q$3,"NOTTE",$C16:$Q16,AE$3)=0))=0,"",IF(0+((AE17&lt;&gt;"Xm")*(AE17&lt;&gt;"Xg")*(COUNTIFS($C$3:$Q$3,"MAT",$C17:$Q17,AE$3)=0)*(COUNTIFS($C$3:$Q$3,"GIORNO",$C17:$Q17,AE$3)=0)*(COUNTIFS($C$3:$Q$3,"NOTTE",$C17:$Q17,AE$3)=0)*(COUNTIFS($C$3:$Q$3,"NOTTE",$C16:$Q16,AE$3)=0))+((AE17&lt;&gt;"Xm")*(AE17&lt;&gt;"Xp")*(AE17&lt;&gt;"Xg")*(COUNTIFS($C$3:$Q$3,"MAT",$C17:$Q17,AE$3)=0)*(COUNTIFS($C$3:$Q$3,"GIORNO",$C17:$Q17,AE$3)=0)*(COUNTIFS($C$3:$Q$3,"NOTTE",$C17:$Q17,AE$3)=0)*(COUNTIFS($C$3:$Q$3,"NOTTE",$C16:$Q16,AE$3)=0))+((AE17&lt;&gt;"Xn")*(COUNTIFS($C$3:$Q$3,"MAT",$C17:$Q17,AE$3)=0)*(COUNTIFS($C$3:$Q$3,"GIORNO",$C17:$Q17,AE$3)=0)*(COUNTIFS($C$3:$Q$3,"NOTTE",$C17:$Q17,AE$3)=0)*(COUNTIFS($C$3:$Q$3,"NOTTE",$C16:$Q16,AE$3)=0))=3,AE$3&amp;", ",AE$3&amp;IF((AE17&lt;&gt;"Xm")*(AE17&lt;&gt;"Xg")*(COUNTIFS($C$3:$Q$3,"MAT",$C17:$Q17,AE$3)=0)*(COUNTIFS($C$3:$Q$3,"GIORNO",$C17:$Q17,AE$3)=0)*(COUNTIFS($C$3:$Q$3,"NOTTE",$C17:$Q17,AE$3)=0)*(COUNTIFS($C$3:$Q$3,"NOTTE",$C16:$Q16,AE$3)=0),"_m","")&amp;IF((AE17&lt;&gt;"Xm")*(AE17&lt;&gt;"Xp")*(AE17&lt;&gt;"Xg")*(COUNTIFS($C$3:$Q$3,"MAT",$C17:$Q17,AE$3)=0)*(COUNTIFS($C$3:$Q$3,"GIORNO",$C17:$Q17,AE$3)=0)*(COUNTIFS($C$3:$Q$3,"NOTTE",$C17:$Q17,AE$3)=0)*(COUNTIFS($C$3:$Q$3,"NOTTE",$C16:$Q16,AE$3)=0),"_g","")&amp;IF((AE17&lt;&gt;"Xn")*(COUNTIFS($C$3:$Q$3,"MAT",$C17:$Q17,AE$3)=0)*(COUNTIFS($C$3:$Q$3,"GIORNO",$C17:$Q17,AE$3)=0)*(COUNTIFS($C$3:$Q$3,"NOTTE",$C17:$Q17,AE$3)=0)*(COUNTIFS($C$3:$Q$3,"NOTTE",$C16:$Q16,AE$3)=0),"_n","")&amp;", ")))</f>
        <v xml:space="preserve">GALLINA, </v>
      </c>
      <c r="CI17" s="9" t="str">
        <f>IF(0+(AF17="X")&gt;0,"",IF(0+((AF17&lt;&gt;"Xm")*(AF17&lt;&gt;"Xg")*(COUNTIFS($C$3:$Q$3,"MAT",$C17:$Q17,AF$3)=0)*(COUNTIFS($C$3:$Q$3,"GIORNO",$C17:$Q17,AF$3)=0)*(COUNTIFS($C$3:$Q$3,"NOTTE",$C17:$Q17,AF$3)=0)*(COUNTIFS($C$3:$Q$3,"NOTTE",$C16:$Q16,AF$3)=0))+((AF17&lt;&gt;"Xm")*(AF17&lt;&gt;"Xp")*(AF17&lt;&gt;"Xg")*(COUNTIFS($C$3:$Q$3,"MAT",$C17:$Q17,AF$3)=0)*(COUNTIFS($C$3:$Q$3,"GIORNO",$C17:$Q17,AF$3)=0)*(COUNTIFS($C$3:$Q$3,"NOTTE",$C17:$Q17,AF$3)=0)*(COUNTIFS($C$3:$Q$3,"NOTTE",$C16:$Q16,AF$3)=0))+((AF17&lt;&gt;"Xn")*(COUNTIFS($C$3:$Q$3,"MAT",$C17:$Q17,AF$3)=0)*(COUNTIFS($C$3:$Q$3,"GIORNO",$C17:$Q17,AF$3)=0)*(COUNTIFS($C$3:$Q$3,"NOTTE",$C17:$Q17,AF$3)=0)*(COUNTIFS($C$3:$Q$3,"NOTTE",$C16:$Q16,AF$3)=0))=0,"",IF(0+((AF17&lt;&gt;"Xm")*(AF17&lt;&gt;"Xg")*(COUNTIFS($C$3:$Q$3,"MAT",$C17:$Q17,AF$3)=0)*(COUNTIFS($C$3:$Q$3,"GIORNO",$C17:$Q17,AF$3)=0)*(COUNTIFS($C$3:$Q$3,"NOTTE",$C17:$Q17,AF$3)=0)*(COUNTIFS($C$3:$Q$3,"NOTTE",$C16:$Q16,AF$3)=0))+((AF17&lt;&gt;"Xm")*(AF17&lt;&gt;"Xp")*(AF17&lt;&gt;"Xg")*(COUNTIFS($C$3:$Q$3,"MAT",$C17:$Q17,AF$3)=0)*(COUNTIFS($C$3:$Q$3,"GIORNO",$C17:$Q17,AF$3)=0)*(COUNTIFS($C$3:$Q$3,"NOTTE",$C17:$Q17,AF$3)=0)*(COUNTIFS($C$3:$Q$3,"NOTTE",$C16:$Q16,AF$3)=0))+((AF17&lt;&gt;"Xn")*(COUNTIFS($C$3:$Q$3,"MAT",$C17:$Q17,AF$3)=0)*(COUNTIFS($C$3:$Q$3,"GIORNO",$C17:$Q17,AF$3)=0)*(COUNTIFS($C$3:$Q$3,"NOTTE",$C17:$Q17,AF$3)=0)*(COUNTIFS($C$3:$Q$3,"NOTTE",$C16:$Q16,AF$3)=0))=3,AF$3&amp;", ",AF$3&amp;IF((AF17&lt;&gt;"Xm")*(AF17&lt;&gt;"Xg")*(COUNTIFS($C$3:$Q$3,"MAT",$C17:$Q17,AF$3)=0)*(COUNTIFS($C$3:$Q$3,"GIORNO",$C17:$Q17,AF$3)=0)*(COUNTIFS($C$3:$Q$3,"NOTTE",$C17:$Q17,AF$3)=0)*(COUNTIFS($C$3:$Q$3,"NOTTE",$C16:$Q16,AF$3)=0),"_m","")&amp;IF((AF17&lt;&gt;"Xm")*(AF17&lt;&gt;"Xp")*(AF17&lt;&gt;"Xg")*(COUNTIFS($C$3:$Q$3,"MAT",$C17:$Q17,AF$3)=0)*(COUNTIFS($C$3:$Q$3,"GIORNO",$C17:$Q17,AF$3)=0)*(COUNTIFS($C$3:$Q$3,"NOTTE",$C17:$Q17,AF$3)=0)*(COUNTIFS($C$3:$Q$3,"NOTTE",$C16:$Q16,AF$3)=0),"_g","")&amp;IF((AF17&lt;&gt;"Xn")*(COUNTIFS($C$3:$Q$3,"MAT",$C17:$Q17,AF$3)=0)*(COUNTIFS($C$3:$Q$3,"GIORNO",$C17:$Q17,AF$3)=0)*(COUNTIFS($C$3:$Q$3,"NOTTE",$C17:$Q17,AF$3)=0)*(COUNTIFS($C$3:$Q$3,"NOTTE",$C16:$Q16,AF$3)=0),"_n","")&amp;", ")))</f>
        <v xml:space="preserve">RUSSO, </v>
      </c>
      <c r="CJ17" s="9" t="str">
        <f>IF(0+(AG17="X")&gt;0,"",IF(0+((AG17&lt;&gt;"Xm")*(AG17&lt;&gt;"Xg")*(COUNTIFS($C$3:$Q$3,"MAT",$C17:$Q17,AG$3)=0)*(COUNTIFS($C$3:$Q$3,"GIORNO",$C17:$Q17,AG$3)=0)*(COUNTIFS($C$3:$Q$3,"NOTTE",$C17:$Q17,AG$3)=0)*(COUNTIFS($C$3:$Q$3,"NOTTE",$C16:$Q16,AG$3)=0))+((AG17&lt;&gt;"Xm")*(AG17&lt;&gt;"Xp")*(AG17&lt;&gt;"Xg")*(COUNTIFS($C$3:$Q$3,"MAT",$C17:$Q17,AG$3)=0)*(COUNTIFS($C$3:$Q$3,"GIORNO",$C17:$Q17,AG$3)=0)*(COUNTIFS($C$3:$Q$3,"NOTTE",$C17:$Q17,AG$3)=0)*(COUNTIFS($C$3:$Q$3,"NOTTE",$C16:$Q16,AG$3)=0))+((AG17&lt;&gt;"Xn")*(COUNTIFS($C$3:$Q$3,"MAT",$C17:$Q17,AG$3)=0)*(COUNTIFS($C$3:$Q$3,"GIORNO",$C17:$Q17,AG$3)=0)*(COUNTIFS($C$3:$Q$3,"NOTTE",$C17:$Q17,AG$3)=0)*(COUNTIFS($C$3:$Q$3,"NOTTE",$C16:$Q16,AG$3)=0))=0,"",IF(0+((AG17&lt;&gt;"Xm")*(AG17&lt;&gt;"Xg")*(COUNTIFS($C$3:$Q$3,"MAT",$C17:$Q17,AG$3)=0)*(COUNTIFS($C$3:$Q$3,"GIORNO",$C17:$Q17,AG$3)=0)*(COUNTIFS($C$3:$Q$3,"NOTTE",$C17:$Q17,AG$3)=0)*(COUNTIFS($C$3:$Q$3,"NOTTE",$C16:$Q16,AG$3)=0))+((AG17&lt;&gt;"Xm")*(AG17&lt;&gt;"Xp")*(AG17&lt;&gt;"Xg")*(COUNTIFS($C$3:$Q$3,"MAT",$C17:$Q17,AG$3)=0)*(COUNTIFS($C$3:$Q$3,"GIORNO",$C17:$Q17,AG$3)=0)*(COUNTIFS($C$3:$Q$3,"NOTTE",$C17:$Q17,AG$3)=0)*(COUNTIFS($C$3:$Q$3,"NOTTE",$C16:$Q16,AG$3)=0))+((AG17&lt;&gt;"Xn")*(COUNTIFS($C$3:$Q$3,"MAT",$C17:$Q17,AG$3)=0)*(COUNTIFS($C$3:$Q$3,"GIORNO",$C17:$Q17,AG$3)=0)*(COUNTIFS($C$3:$Q$3,"NOTTE",$C17:$Q17,AG$3)=0)*(COUNTIFS($C$3:$Q$3,"NOTTE",$C16:$Q16,AG$3)=0))=3,AG$3&amp;", ",AG$3&amp;IF((AG17&lt;&gt;"Xm")*(AG17&lt;&gt;"Xg")*(COUNTIFS($C$3:$Q$3,"MAT",$C17:$Q17,AG$3)=0)*(COUNTIFS($C$3:$Q$3,"GIORNO",$C17:$Q17,AG$3)=0)*(COUNTIFS($C$3:$Q$3,"NOTTE",$C17:$Q17,AG$3)=0)*(COUNTIFS($C$3:$Q$3,"NOTTE",$C16:$Q16,AG$3)=0),"_m","")&amp;IF((AG17&lt;&gt;"Xm")*(AG17&lt;&gt;"Xp")*(AG17&lt;&gt;"Xg")*(COUNTIFS($C$3:$Q$3,"MAT",$C17:$Q17,AG$3)=0)*(COUNTIFS($C$3:$Q$3,"GIORNO",$C17:$Q17,AG$3)=0)*(COUNTIFS($C$3:$Q$3,"NOTTE",$C17:$Q17,AG$3)=0)*(COUNTIFS($C$3:$Q$3,"NOTTE",$C16:$Q16,AG$3)=0),"_g","")&amp;IF((AG17&lt;&gt;"Xn")*(COUNTIFS($C$3:$Q$3,"MAT",$C17:$Q17,AG$3)=0)*(COUNTIFS($C$3:$Q$3,"GIORNO",$C17:$Q17,AG$3)=0)*(COUNTIFS($C$3:$Q$3,"NOTTE",$C17:$Q17,AG$3)=0)*(COUNTIFS($C$3:$Q$3,"NOTTE",$C16:$Q16,AG$3)=0),"_n","")&amp;", ")))</f>
        <v xml:space="preserve">VERDI, </v>
      </c>
      <c r="CK17" s="9" t="str">
        <f>IF(0+(AH17="X")&gt;0,"",IF(0+((AH17&lt;&gt;"Xm")*(AH17&lt;&gt;"Xg")*(COUNTIFS($C$3:$Q$3,"MAT",$C17:$Q17,AH$3)=0)*(COUNTIFS($C$3:$Q$3,"GIORNO",$C17:$Q17,AH$3)=0)*(COUNTIFS($C$3:$Q$3,"NOTTE",$C17:$Q17,AH$3)=0)*(COUNTIFS($C$3:$Q$3,"NOTTE",$C16:$Q16,AH$3)=0))+((AH17&lt;&gt;"Xm")*(AH17&lt;&gt;"Xp")*(AH17&lt;&gt;"Xg")*(COUNTIFS($C$3:$Q$3,"MAT",$C17:$Q17,AH$3)=0)*(COUNTIFS($C$3:$Q$3,"GIORNO",$C17:$Q17,AH$3)=0)*(COUNTIFS($C$3:$Q$3,"NOTTE",$C17:$Q17,AH$3)=0)*(COUNTIFS($C$3:$Q$3,"NOTTE",$C16:$Q16,AH$3)=0))+((AH17&lt;&gt;"Xn")*(COUNTIFS($C$3:$Q$3,"MAT",$C17:$Q17,AH$3)=0)*(COUNTIFS($C$3:$Q$3,"GIORNO",$C17:$Q17,AH$3)=0)*(COUNTIFS($C$3:$Q$3,"NOTTE",$C17:$Q17,AH$3)=0)*(COUNTIFS($C$3:$Q$3,"NOTTE",$C16:$Q16,AH$3)=0))=0,"",IF(0+((AH17&lt;&gt;"Xm")*(AH17&lt;&gt;"Xg")*(COUNTIFS($C$3:$Q$3,"MAT",$C17:$Q17,AH$3)=0)*(COUNTIFS($C$3:$Q$3,"GIORNO",$C17:$Q17,AH$3)=0)*(COUNTIFS($C$3:$Q$3,"NOTTE",$C17:$Q17,AH$3)=0)*(COUNTIFS($C$3:$Q$3,"NOTTE",$C16:$Q16,AH$3)=0))+((AH17&lt;&gt;"Xm")*(AH17&lt;&gt;"Xp")*(AH17&lt;&gt;"Xg")*(COUNTIFS($C$3:$Q$3,"MAT",$C17:$Q17,AH$3)=0)*(COUNTIFS($C$3:$Q$3,"GIORNO",$C17:$Q17,AH$3)=0)*(COUNTIFS($C$3:$Q$3,"NOTTE",$C17:$Q17,AH$3)=0)*(COUNTIFS($C$3:$Q$3,"NOTTE",$C16:$Q16,AH$3)=0))+((AH17&lt;&gt;"Xn")*(COUNTIFS($C$3:$Q$3,"MAT",$C17:$Q17,AH$3)=0)*(COUNTIFS($C$3:$Q$3,"GIORNO",$C17:$Q17,AH$3)=0)*(COUNTIFS($C$3:$Q$3,"NOTTE",$C17:$Q17,AH$3)=0)*(COUNTIFS($C$3:$Q$3,"NOTTE",$C16:$Q16,AH$3)=0))=3,AH$3&amp;", ",AH$3&amp;IF((AH17&lt;&gt;"Xm")*(AH17&lt;&gt;"Xg")*(COUNTIFS($C$3:$Q$3,"MAT",$C17:$Q17,AH$3)=0)*(COUNTIFS($C$3:$Q$3,"GIORNO",$C17:$Q17,AH$3)=0)*(COUNTIFS($C$3:$Q$3,"NOTTE",$C17:$Q17,AH$3)=0)*(COUNTIFS($C$3:$Q$3,"NOTTE",$C16:$Q16,AH$3)=0),"_m","")&amp;IF((AH17&lt;&gt;"Xm")*(AH17&lt;&gt;"Xp")*(AH17&lt;&gt;"Xg")*(COUNTIFS($C$3:$Q$3,"MAT",$C17:$Q17,AH$3)=0)*(COUNTIFS($C$3:$Q$3,"GIORNO",$C17:$Q17,AH$3)=0)*(COUNTIFS($C$3:$Q$3,"NOTTE",$C17:$Q17,AH$3)=0)*(COUNTIFS($C$3:$Q$3,"NOTTE",$C16:$Q16,AH$3)=0),"_g","")&amp;IF((AH17&lt;&gt;"Xn")*(COUNTIFS($C$3:$Q$3,"MAT",$C17:$Q17,AH$3)=0)*(COUNTIFS($C$3:$Q$3,"GIORNO",$C17:$Q17,AH$3)=0)*(COUNTIFS($C$3:$Q$3,"NOTTE",$C17:$Q17,AH$3)=0)*(COUNTIFS($C$3:$Q$3,"NOTTE",$C16:$Q16,AH$3)=0),"_n","")&amp;", ")))</f>
        <v xml:space="preserve">HU, </v>
      </c>
      <c r="CL17" s="9" t="str">
        <f>IF(0+(AI17="X")&gt;0,"",IF(0+((AI17&lt;&gt;"Xm")*(AI17&lt;&gt;"Xg")*(COUNTIFS($C$3:$Q$3,"MAT",$C17:$Q17,AI$3)=0)*(COUNTIFS($C$3:$Q$3,"GIORNO",$C17:$Q17,AI$3)=0)*(COUNTIFS($C$3:$Q$3,"NOTTE",$C17:$Q17,AI$3)=0)*(COUNTIFS($C$3:$Q$3,"NOTTE",$C16:$Q16,AI$3)=0))+((AI17&lt;&gt;"Xm")*(AI17&lt;&gt;"Xp")*(AI17&lt;&gt;"Xg")*(COUNTIFS($C$3:$Q$3,"MAT",$C17:$Q17,AI$3)=0)*(COUNTIFS($C$3:$Q$3,"GIORNO",$C17:$Q17,AI$3)=0)*(COUNTIFS($C$3:$Q$3,"NOTTE",$C17:$Q17,AI$3)=0)*(COUNTIFS($C$3:$Q$3,"NOTTE",$C16:$Q16,AI$3)=0))+((AI17&lt;&gt;"Xn")*(COUNTIFS($C$3:$Q$3,"MAT",$C17:$Q17,AI$3)=0)*(COUNTIFS($C$3:$Q$3,"GIORNO",$C17:$Q17,AI$3)=0)*(COUNTIFS($C$3:$Q$3,"NOTTE",$C17:$Q17,AI$3)=0)*(COUNTIFS($C$3:$Q$3,"NOTTE",$C16:$Q16,AI$3)=0))=0,"",IF(0+((AI17&lt;&gt;"Xm")*(AI17&lt;&gt;"Xg")*(COUNTIFS($C$3:$Q$3,"MAT",$C17:$Q17,AI$3)=0)*(COUNTIFS($C$3:$Q$3,"GIORNO",$C17:$Q17,AI$3)=0)*(COUNTIFS($C$3:$Q$3,"NOTTE",$C17:$Q17,AI$3)=0)*(COUNTIFS($C$3:$Q$3,"NOTTE",$C16:$Q16,AI$3)=0))+((AI17&lt;&gt;"Xm")*(AI17&lt;&gt;"Xp")*(AI17&lt;&gt;"Xg")*(COUNTIFS($C$3:$Q$3,"MAT",$C17:$Q17,AI$3)=0)*(COUNTIFS($C$3:$Q$3,"GIORNO",$C17:$Q17,AI$3)=0)*(COUNTIFS($C$3:$Q$3,"NOTTE",$C17:$Q17,AI$3)=0)*(COUNTIFS($C$3:$Q$3,"NOTTE",$C16:$Q16,AI$3)=0))+((AI17&lt;&gt;"Xn")*(COUNTIFS($C$3:$Q$3,"MAT",$C17:$Q17,AI$3)=0)*(COUNTIFS($C$3:$Q$3,"GIORNO",$C17:$Q17,AI$3)=0)*(COUNTIFS($C$3:$Q$3,"NOTTE",$C17:$Q17,AI$3)=0)*(COUNTIFS($C$3:$Q$3,"NOTTE",$C16:$Q16,AI$3)=0))=3,AI$3&amp;", ",AI$3&amp;IF((AI17&lt;&gt;"Xm")*(AI17&lt;&gt;"Xg")*(COUNTIFS($C$3:$Q$3,"MAT",$C17:$Q17,AI$3)=0)*(COUNTIFS($C$3:$Q$3,"GIORNO",$C17:$Q17,AI$3)=0)*(COUNTIFS($C$3:$Q$3,"NOTTE",$C17:$Q17,AI$3)=0)*(COUNTIFS($C$3:$Q$3,"NOTTE",$C16:$Q16,AI$3)=0),"_m","")&amp;IF((AI17&lt;&gt;"Xm")*(AI17&lt;&gt;"Xp")*(AI17&lt;&gt;"Xg")*(COUNTIFS($C$3:$Q$3,"MAT",$C17:$Q17,AI$3)=0)*(COUNTIFS($C$3:$Q$3,"GIORNO",$C17:$Q17,AI$3)=0)*(COUNTIFS($C$3:$Q$3,"NOTTE",$C17:$Q17,AI$3)=0)*(COUNTIFS($C$3:$Q$3,"NOTTE",$C16:$Q16,AI$3)=0),"_g","")&amp;IF((AI17&lt;&gt;"Xn")*(COUNTIFS($C$3:$Q$3,"MAT",$C17:$Q17,AI$3)=0)*(COUNTIFS($C$3:$Q$3,"GIORNO",$C17:$Q17,AI$3)=0)*(COUNTIFS($C$3:$Q$3,"NOTTE",$C17:$Q17,AI$3)=0)*(COUNTIFS($C$3:$Q$3,"NOTTE",$C16:$Q16,AI$3)=0),"_n","")&amp;", ")))</f>
        <v xml:space="preserve">MARINI, </v>
      </c>
      <c r="CM17" s="9" t="str">
        <f>IF(0+(AJ17="X")&gt;0,"",IF(0+((AJ17&lt;&gt;"Xm")*(AJ17&lt;&gt;"Xg")*(COUNTIFS($C$3:$Q$3,"MAT",$C17:$Q17,AJ$3)=0)*(COUNTIFS($C$3:$Q$3,"GIORNO",$C17:$Q17,AJ$3)=0)*(COUNTIFS($C$3:$Q$3,"NOTTE",$C17:$Q17,AJ$3)=0)*(COUNTIFS($C$3:$Q$3,"NOTTE",$C16:$Q16,AJ$3)=0))+((AJ17&lt;&gt;"Xm")*(AJ17&lt;&gt;"Xp")*(AJ17&lt;&gt;"Xg")*(COUNTIFS($C$3:$Q$3,"MAT",$C17:$Q17,AJ$3)=0)*(COUNTIFS($C$3:$Q$3,"GIORNO",$C17:$Q17,AJ$3)=0)*(COUNTIFS($C$3:$Q$3,"NOTTE",$C17:$Q17,AJ$3)=0)*(COUNTIFS($C$3:$Q$3,"NOTTE",$C16:$Q16,AJ$3)=0))+((AJ17&lt;&gt;"Xn")*(COUNTIFS($C$3:$Q$3,"MAT",$C17:$Q17,AJ$3)=0)*(COUNTIFS($C$3:$Q$3,"GIORNO",$C17:$Q17,AJ$3)=0)*(COUNTIFS($C$3:$Q$3,"NOTTE",$C17:$Q17,AJ$3)=0)*(COUNTIFS($C$3:$Q$3,"NOTTE",$C16:$Q16,AJ$3)=0))=0,"",IF(0+((AJ17&lt;&gt;"Xm")*(AJ17&lt;&gt;"Xg")*(COUNTIFS($C$3:$Q$3,"MAT",$C17:$Q17,AJ$3)=0)*(COUNTIFS($C$3:$Q$3,"GIORNO",$C17:$Q17,AJ$3)=0)*(COUNTIFS($C$3:$Q$3,"NOTTE",$C17:$Q17,AJ$3)=0)*(COUNTIFS($C$3:$Q$3,"NOTTE",$C16:$Q16,AJ$3)=0))+((AJ17&lt;&gt;"Xm")*(AJ17&lt;&gt;"Xp")*(AJ17&lt;&gt;"Xg")*(COUNTIFS($C$3:$Q$3,"MAT",$C17:$Q17,AJ$3)=0)*(COUNTIFS($C$3:$Q$3,"GIORNO",$C17:$Q17,AJ$3)=0)*(COUNTIFS($C$3:$Q$3,"NOTTE",$C17:$Q17,AJ$3)=0)*(COUNTIFS($C$3:$Q$3,"NOTTE",$C16:$Q16,AJ$3)=0))+((AJ17&lt;&gt;"Xn")*(COUNTIFS($C$3:$Q$3,"MAT",$C17:$Q17,AJ$3)=0)*(COUNTIFS($C$3:$Q$3,"GIORNO",$C17:$Q17,AJ$3)=0)*(COUNTIFS($C$3:$Q$3,"NOTTE",$C17:$Q17,AJ$3)=0)*(COUNTIFS($C$3:$Q$3,"NOTTE",$C16:$Q16,AJ$3)=0))=3,AJ$3&amp;", ",AJ$3&amp;IF((AJ17&lt;&gt;"Xm")*(AJ17&lt;&gt;"Xg")*(COUNTIFS($C$3:$Q$3,"MAT",$C17:$Q17,AJ$3)=0)*(COUNTIFS($C$3:$Q$3,"GIORNO",$C17:$Q17,AJ$3)=0)*(COUNTIFS($C$3:$Q$3,"NOTTE",$C17:$Q17,AJ$3)=0)*(COUNTIFS($C$3:$Q$3,"NOTTE",$C16:$Q16,AJ$3)=0),"_m","")&amp;IF((AJ17&lt;&gt;"Xm")*(AJ17&lt;&gt;"Xp")*(AJ17&lt;&gt;"Xg")*(COUNTIFS($C$3:$Q$3,"MAT",$C17:$Q17,AJ$3)=0)*(COUNTIFS($C$3:$Q$3,"GIORNO",$C17:$Q17,AJ$3)=0)*(COUNTIFS($C$3:$Q$3,"NOTTE",$C17:$Q17,AJ$3)=0)*(COUNTIFS($C$3:$Q$3,"NOTTE",$C16:$Q16,AJ$3)=0),"_g","")&amp;IF((AJ17&lt;&gt;"Xn")*(COUNTIFS($C$3:$Q$3,"MAT",$C17:$Q17,AJ$3)=0)*(COUNTIFS($C$3:$Q$3,"GIORNO",$C17:$Q17,AJ$3)=0)*(COUNTIFS($C$3:$Q$3,"NOTTE",$C17:$Q17,AJ$3)=0)*(COUNTIFS($C$3:$Q$3,"NOTTE",$C16:$Q16,AJ$3)=0),"_n","")&amp;", ")))</f>
        <v xml:space="preserve">CONTI A, </v>
      </c>
      <c r="CN17" s="9" t="str">
        <f>IF(0+(AK17="X")&gt;0,"",IF(0+((AK17&lt;&gt;"Xm")*(AK17&lt;&gt;"Xg")*(COUNTIFS($C$3:$Q$3,"MAT",$C17:$Q17,AK$3)=0)*(COUNTIFS($C$3:$Q$3,"GIORNO",$C17:$Q17,AK$3)=0)*(COUNTIFS($C$3:$Q$3,"NOTTE",$C17:$Q17,AK$3)=0)*(COUNTIFS($C$3:$Q$3,"NOTTE",$C16:$Q16,AK$3)=0))+((AK17&lt;&gt;"Xm")*(AK17&lt;&gt;"Xp")*(AK17&lt;&gt;"Xg")*(COUNTIFS($C$3:$Q$3,"MAT",$C17:$Q17,AK$3)=0)*(COUNTIFS($C$3:$Q$3,"GIORNO",$C17:$Q17,AK$3)=0)*(COUNTIFS($C$3:$Q$3,"NOTTE",$C17:$Q17,AK$3)=0)*(COUNTIFS($C$3:$Q$3,"NOTTE",$C16:$Q16,AK$3)=0))+((AK17&lt;&gt;"Xn")*(COUNTIFS($C$3:$Q$3,"MAT",$C17:$Q17,AK$3)=0)*(COUNTIFS($C$3:$Q$3,"GIORNO",$C17:$Q17,AK$3)=0)*(COUNTIFS($C$3:$Q$3,"NOTTE",$C17:$Q17,AK$3)=0)*(COUNTIFS($C$3:$Q$3,"NOTTE",$C16:$Q16,AK$3)=0))=0,"",IF(0+((AK17&lt;&gt;"Xm")*(AK17&lt;&gt;"Xg")*(COUNTIFS($C$3:$Q$3,"MAT",$C17:$Q17,AK$3)=0)*(COUNTIFS($C$3:$Q$3,"GIORNO",$C17:$Q17,AK$3)=0)*(COUNTIFS($C$3:$Q$3,"NOTTE",$C17:$Q17,AK$3)=0)*(COUNTIFS($C$3:$Q$3,"NOTTE",$C16:$Q16,AK$3)=0))+((AK17&lt;&gt;"Xm")*(AK17&lt;&gt;"Xp")*(AK17&lt;&gt;"Xg")*(COUNTIFS($C$3:$Q$3,"MAT",$C17:$Q17,AK$3)=0)*(COUNTIFS($C$3:$Q$3,"GIORNO",$C17:$Q17,AK$3)=0)*(COUNTIFS($C$3:$Q$3,"NOTTE",$C17:$Q17,AK$3)=0)*(COUNTIFS($C$3:$Q$3,"NOTTE",$C16:$Q16,AK$3)=0))+((AK17&lt;&gt;"Xn")*(COUNTIFS($C$3:$Q$3,"MAT",$C17:$Q17,AK$3)=0)*(COUNTIFS($C$3:$Q$3,"GIORNO",$C17:$Q17,AK$3)=0)*(COUNTIFS($C$3:$Q$3,"NOTTE",$C17:$Q17,AK$3)=0)*(COUNTIFS($C$3:$Q$3,"NOTTE",$C16:$Q16,AK$3)=0))=3,AK$3&amp;", ",AK$3&amp;IF((AK17&lt;&gt;"Xm")*(AK17&lt;&gt;"Xg")*(COUNTIFS($C$3:$Q$3,"MAT",$C17:$Q17,AK$3)=0)*(COUNTIFS($C$3:$Q$3,"GIORNO",$C17:$Q17,AK$3)=0)*(COUNTIFS($C$3:$Q$3,"NOTTE",$C17:$Q17,AK$3)=0)*(COUNTIFS($C$3:$Q$3,"NOTTE",$C16:$Q16,AK$3)=0),"_m","")&amp;IF((AK17&lt;&gt;"Xm")*(AK17&lt;&gt;"Xp")*(AK17&lt;&gt;"Xg")*(COUNTIFS($C$3:$Q$3,"MAT",$C17:$Q17,AK$3)=0)*(COUNTIFS($C$3:$Q$3,"GIORNO",$C17:$Q17,AK$3)=0)*(COUNTIFS($C$3:$Q$3,"NOTTE",$C17:$Q17,AK$3)=0)*(COUNTIFS($C$3:$Q$3,"NOTTE",$C16:$Q16,AK$3)=0),"_g","")&amp;IF((AK17&lt;&gt;"Xn")*(COUNTIFS($C$3:$Q$3,"MAT",$C17:$Q17,AK$3)=0)*(COUNTIFS($C$3:$Q$3,"GIORNO",$C17:$Q17,AK$3)=0)*(COUNTIFS($C$3:$Q$3,"NOTTE",$C17:$Q17,AK$3)=0)*(COUNTIFS($C$3:$Q$3,"NOTTE",$C16:$Q16,AK$3)=0),"_n","")&amp;", ")))</f>
        <v xml:space="preserve">CONTI S, </v>
      </c>
      <c r="CO17" s="9" t="str">
        <f>IF(0+(AL17="X")&gt;0,"",IF(0+((AL17&lt;&gt;"Xm")*(AL17&lt;&gt;"Xg")*(COUNTIFS($C$3:$Q$3,"MAT",$C17:$Q17,AL$3)=0)*(COUNTIFS($C$3:$Q$3,"GIORNO",$C17:$Q17,AL$3)=0)*(COUNTIFS($C$3:$Q$3,"NOTTE",$C17:$Q17,AL$3)=0)*(COUNTIFS($C$3:$Q$3,"NOTTE",$C16:$Q16,AL$3)=0))+((AL17&lt;&gt;"Xm")*(AL17&lt;&gt;"Xp")*(AL17&lt;&gt;"Xg")*(COUNTIFS($C$3:$Q$3,"MAT",$C17:$Q17,AL$3)=0)*(COUNTIFS($C$3:$Q$3,"GIORNO",$C17:$Q17,AL$3)=0)*(COUNTIFS($C$3:$Q$3,"NOTTE",$C17:$Q17,AL$3)=0)*(COUNTIFS($C$3:$Q$3,"NOTTE",$C16:$Q16,AL$3)=0))+((AL17&lt;&gt;"Xn")*(COUNTIFS($C$3:$Q$3,"MAT",$C17:$Q17,AL$3)=0)*(COUNTIFS($C$3:$Q$3,"GIORNO",$C17:$Q17,AL$3)=0)*(COUNTIFS($C$3:$Q$3,"NOTTE",$C17:$Q17,AL$3)=0)*(COUNTIFS($C$3:$Q$3,"NOTTE",$C16:$Q16,AL$3)=0))=0,"",IF(0+((AL17&lt;&gt;"Xm")*(AL17&lt;&gt;"Xg")*(COUNTIFS($C$3:$Q$3,"MAT",$C17:$Q17,AL$3)=0)*(COUNTIFS($C$3:$Q$3,"GIORNO",$C17:$Q17,AL$3)=0)*(COUNTIFS($C$3:$Q$3,"NOTTE",$C17:$Q17,AL$3)=0)*(COUNTIFS($C$3:$Q$3,"NOTTE",$C16:$Q16,AL$3)=0))+((AL17&lt;&gt;"Xm")*(AL17&lt;&gt;"Xp")*(AL17&lt;&gt;"Xg")*(COUNTIFS($C$3:$Q$3,"MAT",$C17:$Q17,AL$3)=0)*(COUNTIFS($C$3:$Q$3,"GIORNO",$C17:$Q17,AL$3)=0)*(COUNTIFS($C$3:$Q$3,"NOTTE",$C17:$Q17,AL$3)=0)*(COUNTIFS($C$3:$Q$3,"NOTTE",$C16:$Q16,AL$3)=0))+((AL17&lt;&gt;"Xn")*(COUNTIFS($C$3:$Q$3,"MAT",$C17:$Q17,AL$3)=0)*(COUNTIFS($C$3:$Q$3,"GIORNO",$C17:$Q17,AL$3)=0)*(COUNTIFS($C$3:$Q$3,"NOTTE",$C17:$Q17,AL$3)=0)*(COUNTIFS($C$3:$Q$3,"NOTTE",$C16:$Q16,AL$3)=0))=3,AL$3&amp;", ",AL$3&amp;IF((AL17&lt;&gt;"Xm")*(AL17&lt;&gt;"Xg")*(COUNTIFS($C$3:$Q$3,"MAT",$C17:$Q17,AL$3)=0)*(COUNTIFS($C$3:$Q$3,"GIORNO",$C17:$Q17,AL$3)=0)*(COUNTIFS($C$3:$Q$3,"NOTTE",$C17:$Q17,AL$3)=0)*(COUNTIFS($C$3:$Q$3,"NOTTE",$C16:$Q16,AL$3)=0),"_m","")&amp;IF((AL17&lt;&gt;"Xm")*(AL17&lt;&gt;"Xp")*(AL17&lt;&gt;"Xg")*(COUNTIFS($C$3:$Q$3,"MAT",$C17:$Q17,AL$3)=0)*(COUNTIFS($C$3:$Q$3,"GIORNO",$C17:$Q17,AL$3)=0)*(COUNTIFS($C$3:$Q$3,"NOTTE",$C17:$Q17,AL$3)=0)*(COUNTIFS($C$3:$Q$3,"NOTTE",$C16:$Q16,AL$3)=0),"_g","")&amp;IF((AL17&lt;&gt;"Xn")*(COUNTIFS($C$3:$Q$3,"MAT",$C17:$Q17,AL$3)=0)*(COUNTIFS($C$3:$Q$3,"GIORNO",$C17:$Q17,AL$3)=0)*(COUNTIFS($C$3:$Q$3,"NOTTE",$C17:$Q17,AL$3)=0)*(COUNTIFS($C$3:$Q$3,"NOTTE",$C16:$Q16,AL$3)=0),"_n","")&amp;", ")))</f>
        <v xml:space="preserve">FERRARI, </v>
      </c>
      <c r="CP17" s="9" t="str">
        <f>IF(0+(AM17="X")&gt;0,"",IF(0+((AM17&lt;&gt;"Xm")*(AM17&lt;&gt;"Xg")*(COUNTIFS($C$3:$Q$3,"MAT",$C17:$Q17,AM$3)=0)*(COUNTIFS($C$3:$Q$3,"GIORNO",$C17:$Q17,AM$3)=0)*(COUNTIFS($C$3:$Q$3,"NOTTE",$C17:$Q17,AM$3)=0)*(COUNTIFS($C$3:$Q$3,"NOTTE",$C16:$Q16,AM$3)=0))+((AM17&lt;&gt;"Xm")*(AM17&lt;&gt;"Xp")*(AM17&lt;&gt;"Xg")*(COUNTIFS($C$3:$Q$3,"MAT",$C17:$Q17,AM$3)=0)*(COUNTIFS($C$3:$Q$3,"GIORNO",$C17:$Q17,AM$3)=0)*(COUNTIFS($C$3:$Q$3,"NOTTE",$C17:$Q17,AM$3)=0)*(COUNTIFS($C$3:$Q$3,"NOTTE",$C16:$Q16,AM$3)=0))+((AM17&lt;&gt;"Xn")*(COUNTIFS($C$3:$Q$3,"MAT",$C17:$Q17,AM$3)=0)*(COUNTIFS($C$3:$Q$3,"GIORNO",$C17:$Q17,AM$3)=0)*(COUNTIFS($C$3:$Q$3,"NOTTE",$C17:$Q17,AM$3)=0)*(COUNTIFS($C$3:$Q$3,"NOTTE",$C16:$Q16,AM$3)=0))=0,"",IF(0+((AM17&lt;&gt;"Xm")*(AM17&lt;&gt;"Xg")*(COUNTIFS($C$3:$Q$3,"MAT",$C17:$Q17,AM$3)=0)*(COUNTIFS($C$3:$Q$3,"GIORNO",$C17:$Q17,AM$3)=0)*(COUNTIFS($C$3:$Q$3,"NOTTE",$C17:$Q17,AM$3)=0)*(COUNTIFS($C$3:$Q$3,"NOTTE",$C16:$Q16,AM$3)=0))+((AM17&lt;&gt;"Xm")*(AM17&lt;&gt;"Xp")*(AM17&lt;&gt;"Xg")*(COUNTIFS($C$3:$Q$3,"MAT",$C17:$Q17,AM$3)=0)*(COUNTIFS($C$3:$Q$3,"GIORNO",$C17:$Q17,AM$3)=0)*(COUNTIFS($C$3:$Q$3,"NOTTE",$C17:$Q17,AM$3)=0)*(COUNTIFS($C$3:$Q$3,"NOTTE",$C16:$Q16,AM$3)=0))+((AM17&lt;&gt;"Xn")*(COUNTIFS($C$3:$Q$3,"MAT",$C17:$Q17,AM$3)=0)*(COUNTIFS($C$3:$Q$3,"GIORNO",$C17:$Q17,AM$3)=0)*(COUNTIFS($C$3:$Q$3,"NOTTE",$C17:$Q17,AM$3)=0)*(COUNTIFS($C$3:$Q$3,"NOTTE",$C16:$Q16,AM$3)=0))=3,AM$3&amp;", ",AM$3&amp;IF((AM17&lt;&gt;"Xm")*(AM17&lt;&gt;"Xg")*(COUNTIFS($C$3:$Q$3,"MAT",$C17:$Q17,AM$3)=0)*(COUNTIFS($C$3:$Q$3,"GIORNO",$C17:$Q17,AM$3)=0)*(COUNTIFS($C$3:$Q$3,"NOTTE",$C17:$Q17,AM$3)=0)*(COUNTIFS($C$3:$Q$3,"NOTTE",$C16:$Q16,AM$3)=0),"_m","")&amp;IF((AM17&lt;&gt;"Xm")*(AM17&lt;&gt;"Xp")*(AM17&lt;&gt;"Xg")*(COUNTIFS($C$3:$Q$3,"MAT",$C17:$Q17,AM$3)=0)*(COUNTIFS($C$3:$Q$3,"GIORNO",$C17:$Q17,AM$3)=0)*(COUNTIFS($C$3:$Q$3,"NOTTE",$C17:$Q17,AM$3)=0)*(COUNTIFS($C$3:$Q$3,"NOTTE",$C16:$Q16,AM$3)=0),"_g","")&amp;IF((AM17&lt;&gt;"Xn")*(COUNTIFS($C$3:$Q$3,"MAT",$C17:$Q17,AM$3)=0)*(COUNTIFS($C$3:$Q$3,"GIORNO",$C17:$Q17,AM$3)=0)*(COUNTIFS($C$3:$Q$3,"NOTTE",$C17:$Q17,AM$3)=0)*(COUNTIFS($C$3:$Q$3,"NOTTE",$C16:$Q16,AM$3)=0),"_n","")&amp;", ")))</f>
        <v xml:space="preserve">GRECO, </v>
      </c>
      <c r="CQ17" s="9" t="str">
        <f>IF(0+(AN17="X")&gt;0,"",IF(0+((AN17&lt;&gt;"Xm")*(AN17&lt;&gt;"Xg")*(COUNTIFS($C$3:$Q$3,"MAT",$C17:$Q17,AN$3)=0)*(COUNTIFS($C$3:$Q$3,"GIORNO",$C17:$Q17,AN$3)=0)*(COUNTIFS($C$3:$Q$3,"NOTTE",$C17:$Q17,AN$3)=0)*(COUNTIFS($C$3:$Q$3,"NOTTE",$C16:$Q16,AN$3)=0))+((AN17&lt;&gt;"Xm")*(AN17&lt;&gt;"Xp")*(AN17&lt;&gt;"Xg")*(COUNTIFS($C$3:$Q$3,"MAT",$C17:$Q17,AN$3)=0)*(COUNTIFS($C$3:$Q$3,"GIORNO",$C17:$Q17,AN$3)=0)*(COUNTIFS($C$3:$Q$3,"NOTTE",$C17:$Q17,AN$3)=0)*(COUNTIFS($C$3:$Q$3,"NOTTE",$C16:$Q16,AN$3)=0))+((AN17&lt;&gt;"Xn")*(COUNTIFS($C$3:$Q$3,"MAT",$C17:$Q17,AN$3)=0)*(COUNTIFS($C$3:$Q$3,"GIORNO",$C17:$Q17,AN$3)=0)*(COUNTIFS($C$3:$Q$3,"NOTTE",$C17:$Q17,AN$3)=0)*(COUNTIFS($C$3:$Q$3,"NOTTE",$C16:$Q16,AN$3)=0))=0,"",IF(0+((AN17&lt;&gt;"Xm")*(AN17&lt;&gt;"Xg")*(COUNTIFS($C$3:$Q$3,"MAT",$C17:$Q17,AN$3)=0)*(COUNTIFS($C$3:$Q$3,"GIORNO",$C17:$Q17,AN$3)=0)*(COUNTIFS($C$3:$Q$3,"NOTTE",$C17:$Q17,AN$3)=0)*(COUNTIFS($C$3:$Q$3,"NOTTE",$C16:$Q16,AN$3)=0))+((AN17&lt;&gt;"Xm")*(AN17&lt;&gt;"Xp")*(AN17&lt;&gt;"Xg")*(COUNTIFS($C$3:$Q$3,"MAT",$C17:$Q17,AN$3)=0)*(COUNTIFS($C$3:$Q$3,"GIORNO",$C17:$Q17,AN$3)=0)*(COUNTIFS($C$3:$Q$3,"NOTTE",$C17:$Q17,AN$3)=0)*(COUNTIFS($C$3:$Q$3,"NOTTE",$C16:$Q16,AN$3)=0))+((AN17&lt;&gt;"Xn")*(COUNTIFS($C$3:$Q$3,"MAT",$C17:$Q17,AN$3)=0)*(COUNTIFS($C$3:$Q$3,"GIORNO",$C17:$Q17,AN$3)=0)*(COUNTIFS($C$3:$Q$3,"NOTTE",$C17:$Q17,AN$3)=0)*(COUNTIFS($C$3:$Q$3,"NOTTE",$C16:$Q16,AN$3)=0))=3,AN$3&amp;", ",AN$3&amp;IF((AN17&lt;&gt;"Xm")*(AN17&lt;&gt;"Xg")*(COUNTIFS($C$3:$Q$3,"MAT",$C17:$Q17,AN$3)=0)*(COUNTIFS($C$3:$Q$3,"GIORNO",$C17:$Q17,AN$3)=0)*(COUNTIFS($C$3:$Q$3,"NOTTE",$C17:$Q17,AN$3)=0)*(COUNTIFS($C$3:$Q$3,"NOTTE",$C16:$Q16,AN$3)=0),"_m","")&amp;IF((AN17&lt;&gt;"Xm")*(AN17&lt;&gt;"Xp")*(AN17&lt;&gt;"Xg")*(COUNTIFS($C$3:$Q$3,"MAT",$C17:$Q17,AN$3)=0)*(COUNTIFS($C$3:$Q$3,"GIORNO",$C17:$Q17,AN$3)=0)*(COUNTIFS($C$3:$Q$3,"NOTTE",$C17:$Q17,AN$3)=0)*(COUNTIFS($C$3:$Q$3,"NOTTE",$C16:$Q16,AN$3)=0),"_g","")&amp;IF((AN17&lt;&gt;"Xn")*(COUNTIFS($C$3:$Q$3,"MAT",$C17:$Q17,AN$3)=0)*(COUNTIFS($C$3:$Q$3,"GIORNO",$C17:$Q17,AN$3)=0)*(COUNTIFS($C$3:$Q$3,"NOTTE",$C17:$Q17,AN$3)=0)*(COUNTIFS($C$3:$Q$3,"NOTTE",$C16:$Q16,AN$3)=0),"_n","")&amp;", ")))</f>
        <v xml:space="preserve">SANNA, </v>
      </c>
      <c r="CR17" s="9" t="str">
        <f>IF(0+(AO17="X")&gt;0,"",IF(0+((AO17&lt;&gt;"Xm")*(AO17&lt;&gt;"Xg")*(COUNTIFS($C$3:$Q$3,"MAT",$C17:$Q17,AO$3)=0)*(COUNTIFS($C$3:$Q$3,"GIORNO",$C17:$Q17,AO$3)=0)*(COUNTIFS($C$3:$Q$3,"NOTTE",$C17:$Q17,AO$3)=0)*(COUNTIFS($C$3:$Q$3,"NOTTE",$C16:$Q16,AO$3)=0))+((AO17&lt;&gt;"Xm")*(AO17&lt;&gt;"Xp")*(AO17&lt;&gt;"Xg")*(COUNTIFS($C$3:$Q$3,"MAT",$C17:$Q17,AO$3)=0)*(COUNTIFS($C$3:$Q$3,"GIORNO",$C17:$Q17,AO$3)=0)*(COUNTIFS($C$3:$Q$3,"NOTTE",$C17:$Q17,AO$3)=0)*(COUNTIFS($C$3:$Q$3,"NOTTE",$C16:$Q16,AO$3)=0))+((AO17&lt;&gt;"Xn")*(COUNTIFS($C$3:$Q$3,"MAT",$C17:$Q17,AO$3)=0)*(COUNTIFS($C$3:$Q$3,"GIORNO",$C17:$Q17,AO$3)=0)*(COUNTIFS($C$3:$Q$3,"NOTTE",$C17:$Q17,AO$3)=0)*(COUNTIFS($C$3:$Q$3,"NOTTE",$C16:$Q16,AO$3)=0))=0,"",IF(0+((AO17&lt;&gt;"Xm")*(AO17&lt;&gt;"Xg")*(COUNTIFS($C$3:$Q$3,"MAT",$C17:$Q17,AO$3)=0)*(COUNTIFS($C$3:$Q$3,"GIORNO",$C17:$Q17,AO$3)=0)*(COUNTIFS($C$3:$Q$3,"NOTTE",$C17:$Q17,AO$3)=0)*(COUNTIFS($C$3:$Q$3,"NOTTE",$C16:$Q16,AO$3)=0))+((AO17&lt;&gt;"Xm")*(AO17&lt;&gt;"Xp")*(AO17&lt;&gt;"Xg")*(COUNTIFS($C$3:$Q$3,"MAT",$C17:$Q17,AO$3)=0)*(COUNTIFS($C$3:$Q$3,"GIORNO",$C17:$Q17,AO$3)=0)*(COUNTIFS($C$3:$Q$3,"NOTTE",$C17:$Q17,AO$3)=0)*(COUNTIFS($C$3:$Q$3,"NOTTE",$C16:$Q16,AO$3)=0))+((AO17&lt;&gt;"Xn")*(COUNTIFS($C$3:$Q$3,"MAT",$C17:$Q17,AO$3)=0)*(COUNTIFS($C$3:$Q$3,"GIORNO",$C17:$Q17,AO$3)=0)*(COUNTIFS($C$3:$Q$3,"NOTTE",$C17:$Q17,AO$3)=0)*(COUNTIFS($C$3:$Q$3,"NOTTE",$C16:$Q16,AO$3)=0))=3,AO$3&amp;", ",AO$3&amp;IF((AO17&lt;&gt;"Xm")*(AO17&lt;&gt;"Xg")*(COUNTIFS($C$3:$Q$3,"MAT",$C17:$Q17,AO$3)=0)*(COUNTIFS($C$3:$Q$3,"GIORNO",$C17:$Q17,AO$3)=0)*(COUNTIFS($C$3:$Q$3,"NOTTE",$C17:$Q17,AO$3)=0)*(COUNTIFS($C$3:$Q$3,"NOTTE",$C16:$Q16,AO$3)=0),"_m","")&amp;IF((AO17&lt;&gt;"Xm")*(AO17&lt;&gt;"Xp")*(AO17&lt;&gt;"Xg")*(COUNTIFS($C$3:$Q$3,"MAT",$C17:$Q17,AO$3)=0)*(COUNTIFS($C$3:$Q$3,"GIORNO",$C17:$Q17,AO$3)=0)*(COUNTIFS($C$3:$Q$3,"NOTTE",$C17:$Q17,AO$3)=0)*(COUNTIFS($C$3:$Q$3,"NOTTE",$C16:$Q16,AO$3)=0),"_g","")&amp;IF((AO17&lt;&gt;"Xn")*(COUNTIFS($C$3:$Q$3,"MAT",$C17:$Q17,AO$3)=0)*(COUNTIFS($C$3:$Q$3,"GIORNO",$C17:$Q17,AO$3)=0)*(COUNTIFS($C$3:$Q$3,"NOTTE",$C17:$Q17,AO$3)=0)*(COUNTIFS($C$3:$Q$3,"NOTTE",$C16:$Q16,AO$3)=0),"_n","")&amp;", ")))</f>
        <v xml:space="preserve">LI, </v>
      </c>
    </row>
    <row r="18">
      <c r="A18" s="3" t="str">
        <f>CHOOSE(WEEKDAY(DATE($B$1,$A$2,B18),2),"lunedì","martedì","mercoledì","giovedì","venerdì","sabato","domenica")</f>
        <v>domenica</v>
      </c>
      <c r="B18" s="3" t="n">
        <v>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3" t="n"/>
      <c r="Q18" s="3" t="n"/>
      <c r="R18" s="3" t="n"/>
      <c r="S18" s="3">
        <f>IF(SUMPRODUCT(($C$3:$Q$3&lt;&gt;"")*($C18:$Q18&lt;&gt;"")*(LEFT($C18:$Q18,6)&lt;&gt;"chiuso")*(COUNTIFS($C18:$Q18,$C18:$Q18,$C$3:$Q$3,$C$3:$Q$3)&gt;1))&gt;0,"X","")</f>
      </c>
      <c r="T18" s="3" t="str">
        <f>IF(LEN(BP18&amp;BQ18&amp;BR18&amp;BS18&amp;BT18&amp;BU18&amp;BV18&amp;BW18&amp;BX18&amp;BY18&amp;BZ18&amp;CA18&amp;CB18&amp;CC18)=0,"",LEFT(BP18&amp;BQ18&amp;BR18&amp;BS18&amp;BT18&amp;BU18&amp;BV18&amp;BW18&amp;BX18&amp;BY18&amp;BZ18&amp;CA18&amp;CB18&amp;CC18,LEN(BP18&amp;BQ18&amp;BR18&amp;BS18&amp;BT18&amp;BU18&amp;BV18&amp;BW18&amp;BX18&amp;BY18&amp;BZ18&amp;CA18&amp;CB18&amp;CC18)-2))</f>
        <v>LEONI, ROSSI M, ROSSI L, GALLINA, RUSSO, VERDI, HU, MARINI, CONTI A, CONTI S, FERRARI, GRECO, SANNA, LI</v>
      </c>
      <c r="U18" s="3" t="str">
        <f>IF(LEN(CE18&amp;CF18&amp;CG18&amp;CH18&amp;CI18&amp;CJ18&amp;CK18&amp;CL18&amp;CM18&amp;CN18&amp;CO18&amp;CP18&amp;CQ18&amp;CR18)=0,"",LEFT(CE18&amp;CF18&amp;CG18&amp;CH18&amp;CI18&amp;CJ18&amp;CK18&amp;CL18&amp;CM18&amp;CN18&amp;CO18&amp;CP18&amp;CQ18&amp;CR18,LEN(CE18&amp;CF18&amp;CG18&amp;CH18&amp;CI18&amp;CJ18&amp;CK18&amp;CL18&amp;CM18&amp;CN18&amp;CO18&amp;CP18&amp;CQ18&amp;CR18)-2))</f>
        <v>LEONI, ROSSI M, ROSSI L, GALLINA, RUSSO, VERDI, HU, MARINI, CONTI A, CONTI S, FERRARI, GRECO, SANNA, LI</v>
      </c>
      <c r="Z18" s="3" t="str">
        <f>A18</f>
        <v>domenica</v>
      </c>
      <c r="AA18" s="3">
        <f>B18</f>
        <v>15</v>
      </c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T18" s="2" t="inlineStr">
        <is>
          <t>TOTALE COMPLESSIVO</t>
        </is>
      </c>
      <c r="AU18" s="2">
        <f>SUM(AU4:AU17)</f>
        <v>0</v>
      </c>
      <c r="AV18" s="2">
        <f>SUM(AV4:AV17)</f>
        <v>0</v>
      </c>
      <c r="AW18" s="2">
        <f>SUM(AW4:AW17)</f>
        <v>0</v>
      </c>
      <c r="AX18" s="2">
        <f>SUM(AX4:AX17)</f>
        <v>0</v>
      </c>
      <c r="AY18" s="2">
        <f>SUM(AY4:AY17)</f>
        <v>0</v>
      </c>
      <c r="AZ18" s="2">
        <f>SUM(AZ4:AZ17)</f>
        <v>0</v>
      </c>
      <c r="BA18" s="2">
        <f>SUM(BA4:BA17)</f>
        <v>0</v>
      </c>
      <c r="BB18" s="2">
        <f>SUM(BB4:BB17)</f>
        <v>0</v>
      </c>
      <c r="BC18" s="2">
        <f>SUM(BC4:BC17)</f>
        <v>0</v>
      </c>
      <c r="BE18" s="2" t="inlineStr">
        <is>
          <t>TOTALE COMPLESSIVO</t>
        </is>
      </c>
      <c r="BF18" s="2">
        <f>SUM(BF4:BF17)</f>
        <v>0</v>
      </c>
      <c r="BG18" s="2">
        <f>SUM(BG4:BG17)</f>
        <v>0</v>
      </c>
      <c r="BH18" s="2">
        <f>SUM(BH4:BH17)</f>
        <v>0</v>
      </c>
      <c r="BI18" s="2">
        <f>SUM(BI4:BI17)</f>
        <v>0</v>
      </c>
      <c r="BJ18" s="2">
        <f>SUM(BJ4:BJ17)</f>
        <v>0</v>
      </c>
      <c r="BK18" s="2">
        <f>SUM(BK4:BK17)</f>
        <v>0</v>
      </c>
      <c r="BL18" s="2">
        <f>SUM(BL4:BL17)</f>
        <v>0</v>
      </c>
      <c r="BM18" s="2">
        <f>SUM(BM4:BM17)</f>
        <v>0</v>
      </c>
      <c r="BN18" s="2">
        <f>SUM(BN4:BN17)</f>
        <v>0</v>
      </c>
      <c r="BP18" s="9" t="str">
        <f>IF(0+(AB18="X")&gt;0,"",IF(0+((AB18&lt;&gt;"Xm")*(AB18&lt;&gt;"Xp")*(AB18&lt;&gt;"Xg"))+((AB18&lt;&gt;"Xn"))=0,"",IF(0+((AB18&lt;&gt;"Xm")*(AB18&lt;&gt;"Xp")*(AB18&lt;&gt;"Xg"))+((AB18&lt;&gt;"Xn"))=2,AB$3&amp;", ",AB$3&amp;IF((AB18&lt;&gt;"Xm")*(AB18&lt;&gt;"Xp")*(AB18&lt;&gt;"Xg"),"_g","")&amp;IF((AB18&lt;&gt;"Xn"),"_n","")&amp;", ")))</f>
        <v xml:space="preserve">LEONI, </v>
      </c>
      <c r="BQ18" s="9" t="str">
        <f>IF(0+(AC18="X")&gt;0,"",IF(0+((AC18&lt;&gt;"Xm")*(AC18&lt;&gt;"Xp")*(AC18&lt;&gt;"Xg"))+((AC18&lt;&gt;"Xn"))=0,"",IF(0+((AC18&lt;&gt;"Xm")*(AC18&lt;&gt;"Xp")*(AC18&lt;&gt;"Xg"))+((AC18&lt;&gt;"Xn"))=2,AC$3&amp;", ",AC$3&amp;IF((AC18&lt;&gt;"Xm")*(AC18&lt;&gt;"Xp")*(AC18&lt;&gt;"Xg"),"_g","")&amp;IF((AC18&lt;&gt;"Xn"),"_n","")&amp;", ")))</f>
        <v xml:space="preserve">ROSSI M, </v>
      </c>
      <c r="BR18" s="9" t="str">
        <f>IF(0+(AD18="X")&gt;0,"",IF(0+((AD18&lt;&gt;"Xm")*(AD18&lt;&gt;"Xp")*(AD18&lt;&gt;"Xg"))+((AD18&lt;&gt;"Xn"))=0,"",IF(0+((AD18&lt;&gt;"Xm")*(AD18&lt;&gt;"Xp")*(AD18&lt;&gt;"Xg"))+((AD18&lt;&gt;"Xn"))=2,AD$3&amp;", ",AD$3&amp;IF((AD18&lt;&gt;"Xm")*(AD18&lt;&gt;"Xp")*(AD18&lt;&gt;"Xg"),"_g","")&amp;IF((AD18&lt;&gt;"Xn"),"_n","")&amp;", ")))</f>
        <v xml:space="preserve">ROSSI L, </v>
      </c>
      <c r="BS18" s="9" t="str">
        <f>IF(0+(AE18="X")&gt;0,"",IF(0+((AE18&lt;&gt;"Xm")*(AE18&lt;&gt;"Xp")*(AE18&lt;&gt;"Xg"))+((AE18&lt;&gt;"Xn"))=0,"",IF(0+((AE18&lt;&gt;"Xm")*(AE18&lt;&gt;"Xp")*(AE18&lt;&gt;"Xg"))+((AE18&lt;&gt;"Xn"))=2,AE$3&amp;", ",AE$3&amp;IF((AE18&lt;&gt;"Xm")*(AE18&lt;&gt;"Xp")*(AE18&lt;&gt;"Xg"),"_g","")&amp;IF((AE18&lt;&gt;"Xn"),"_n","")&amp;", ")))</f>
        <v xml:space="preserve">GALLINA, </v>
      </c>
      <c r="BT18" s="9" t="str">
        <f>IF(0+(AF18="X")&gt;0,"",IF(0+((AF18&lt;&gt;"Xm")*(AF18&lt;&gt;"Xp")*(AF18&lt;&gt;"Xg"))+((AF18&lt;&gt;"Xn"))=0,"",IF(0+((AF18&lt;&gt;"Xm")*(AF18&lt;&gt;"Xp")*(AF18&lt;&gt;"Xg"))+((AF18&lt;&gt;"Xn"))=2,AF$3&amp;", ",AF$3&amp;IF((AF18&lt;&gt;"Xm")*(AF18&lt;&gt;"Xp")*(AF18&lt;&gt;"Xg"),"_g","")&amp;IF((AF18&lt;&gt;"Xn"),"_n","")&amp;", ")))</f>
        <v xml:space="preserve">RUSSO, </v>
      </c>
      <c r="BU18" s="9" t="str">
        <f>IF(0+(AG18="X")&gt;0,"",IF(0+((AG18&lt;&gt;"Xm")*(AG18&lt;&gt;"Xp")*(AG18&lt;&gt;"Xg"))+((AG18&lt;&gt;"Xn"))=0,"",IF(0+((AG18&lt;&gt;"Xm")*(AG18&lt;&gt;"Xp")*(AG18&lt;&gt;"Xg"))+((AG18&lt;&gt;"Xn"))=2,AG$3&amp;", ",AG$3&amp;IF((AG18&lt;&gt;"Xm")*(AG18&lt;&gt;"Xp")*(AG18&lt;&gt;"Xg"),"_g","")&amp;IF((AG18&lt;&gt;"Xn"),"_n","")&amp;", ")))</f>
        <v xml:space="preserve">VERDI, </v>
      </c>
      <c r="BV18" s="9" t="str">
        <f>IF(0+(AH18="X")&gt;0,"",IF(0+((AH18&lt;&gt;"Xm")*(AH18&lt;&gt;"Xp")*(AH18&lt;&gt;"Xg"))+((AH18&lt;&gt;"Xn"))=0,"",IF(0+((AH18&lt;&gt;"Xm")*(AH18&lt;&gt;"Xp")*(AH18&lt;&gt;"Xg"))+((AH18&lt;&gt;"Xn"))=2,AH$3&amp;", ",AH$3&amp;IF((AH18&lt;&gt;"Xm")*(AH18&lt;&gt;"Xp")*(AH18&lt;&gt;"Xg"),"_g","")&amp;IF((AH18&lt;&gt;"Xn"),"_n","")&amp;", ")))</f>
        <v xml:space="preserve">HU, </v>
      </c>
      <c r="BW18" s="9" t="str">
        <f>IF(0+(AI18="X")&gt;0,"",IF(0+((AI18&lt;&gt;"Xm")*(AI18&lt;&gt;"Xp")*(AI18&lt;&gt;"Xg"))+((AI18&lt;&gt;"Xn"))=0,"",IF(0+((AI18&lt;&gt;"Xm")*(AI18&lt;&gt;"Xp")*(AI18&lt;&gt;"Xg"))+((AI18&lt;&gt;"Xn"))=2,AI$3&amp;", ",AI$3&amp;IF((AI18&lt;&gt;"Xm")*(AI18&lt;&gt;"Xp")*(AI18&lt;&gt;"Xg"),"_g","")&amp;IF((AI18&lt;&gt;"Xn"),"_n","")&amp;", ")))</f>
        <v xml:space="preserve">MARINI, </v>
      </c>
      <c r="BX18" s="9" t="str">
        <f>IF(0+(AJ18="X")&gt;0,"",IF(0+((AJ18&lt;&gt;"Xm")*(AJ18&lt;&gt;"Xp")*(AJ18&lt;&gt;"Xg"))+((AJ18&lt;&gt;"Xn"))=0,"",IF(0+((AJ18&lt;&gt;"Xm")*(AJ18&lt;&gt;"Xp")*(AJ18&lt;&gt;"Xg"))+((AJ18&lt;&gt;"Xn"))=2,AJ$3&amp;", ",AJ$3&amp;IF((AJ18&lt;&gt;"Xm")*(AJ18&lt;&gt;"Xp")*(AJ18&lt;&gt;"Xg"),"_g","")&amp;IF((AJ18&lt;&gt;"Xn"),"_n","")&amp;", ")))</f>
        <v xml:space="preserve">CONTI A, </v>
      </c>
      <c r="BY18" s="9" t="str">
        <f>IF(0+(AK18="X")&gt;0,"",IF(0+((AK18&lt;&gt;"Xm")*(AK18&lt;&gt;"Xp")*(AK18&lt;&gt;"Xg"))+((AK18&lt;&gt;"Xn"))=0,"",IF(0+((AK18&lt;&gt;"Xm")*(AK18&lt;&gt;"Xp")*(AK18&lt;&gt;"Xg"))+((AK18&lt;&gt;"Xn"))=2,AK$3&amp;", ",AK$3&amp;IF((AK18&lt;&gt;"Xm")*(AK18&lt;&gt;"Xp")*(AK18&lt;&gt;"Xg"),"_g","")&amp;IF((AK18&lt;&gt;"Xn"),"_n","")&amp;", ")))</f>
        <v xml:space="preserve">CONTI S, </v>
      </c>
      <c r="BZ18" s="9" t="str">
        <f>IF(0+(AL18="X")&gt;0,"",IF(0+((AL18&lt;&gt;"Xm")*(AL18&lt;&gt;"Xp")*(AL18&lt;&gt;"Xg"))+((AL18&lt;&gt;"Xn"))=0,"",IF(0+((AL18&lt;&gt;"Xm")*(AL18&lt;&gt;"Xp")*(AL18&lt;&gt;"Xg"))+((AL18&lt;&gt;"Xn"))=2,AL$3&amp;", ",AL$3&amp;IF((AL18&lt;&gt;"Xm")*(AL18&lt;&gt;"Xp")*(AL18&lt;&gt;"Xg"),"_g","")&amp;IF((AL18&lt;&gt;"Xn"),"_n","")&amp;", ")))</f>
        <v xml:space="preserve">FERRARI, </v>
      </c>
      <c r="CA18" s="9" t="str">
        <f>IF(0+(AM18="X")&gt;0,"",IF(0+((AM18&lt;&gt;"Xm")*(AM18&lt;&gt;"Xp")*(AM18&lt;&gt;"Xg"))+((AM18&lt;&gt;"Xn"))=0,"",IF(0+((AM18&lt;&gt;"Xm")*(AM18&lt;&gt;"Xp")*(AM18&lt;&gt;"Xg"))+((AM18&lt;&gt;"Xn"))=2,AM$3&amp;", ",AM$3&amp;IF((AM18&lt;&gt;"Xm")*(AM18&lt;&gt;"Xp")*(AM18&lt;&gt;"Xg"),"_g","")&amp;IF((AM18&lt;&gt;"Xn"),"_n","")&amp;", ")))</f>
        <v xml:space="preserve">GRECO, </v>
      </c>
      <c r="CB18" s="9" t="str">
        <f>IF(0+(AN18="X")&gt;0,"",IF(0+((AN18&lt;&gt;"Xm")*(AN18&lt;&gt;"Xp")*(AN18&lt;&gt;"Xg"))+((AN18&lt;&gt;"Xn"))=0,"",IF(0+((AN18&lt;&gt;"Xm")*(AN18&lt;&gt;"Xp")*(AN18&lt;&gt;"Xg"))+((AN18&lt;&gt;"Xn"))=2,AN$3&amp;", ",AN$3&amp;IF((AN18&lt;&gt;"Xm")*(AN18&lt;&gt;"Xp")*(AN18&lt;&gt;"Xg"),"_g","")&amp;IF((AN18&lt;&gt;"Xn"),"_n","")&amp;", ")))</f>
        <v xml:space="preserve">SANNA, </v>
      </c>
      <c r="CC18" s="9" t="str">
        <f>IF(0+(AO18="X")&gt;0,"",IF(0+((AO18&lt;&gt;"Xm")*(AO18&lt;&gt;"Xp")*(AO18&lt;&gt;"Xg"))+((AO18&lt;&gt;"Xn"))=0,"",IF(0+((AO18&lt;&gt;"Xm")*(AO18&lt;&gt;"Xp")*(AO18&lt;&gt;"Xg"))+((AO18&lt;&gt;"Xn"))=2,AO$3&amp;", ",AO$3&amp;IF((AO18&lt;&gt;"Xm")*(AO18&lt;&gt;"Xp")*(AO18&lt;&gt;"Xg"),"_g","")&amp;IF((AO18&lt;&gt;"Xn"),"_n","")&amp;", ")))</f>
        <v xml:space="preserve">LI, </v>
      </c>
      <c r="CD18" s="9" t="n"/>
      <c r="CE18" s="9" t="str">
        <f>IF(0+(AB18="X")&gt;0,"",IF(0+((AB18&lt;&gt;"Xm")*(AB18&lt;&gt;"Xp")*(AB18&lt;&gt;"Xg")*(COUNTIFS($C$3:$Q$3,"GIORNO",$C18:$Q18,AB$3)=0)*(COUNTIFS($C$3:$Q$3,"NOTTE",$C18:$Q18,AB$3)=0)*(COUNTIFS($C$3:$Q$3,"NOTTE",$C17:$Q17,AB$3)=0))+((AB18&lt;&gt;"Xn")*(COUNTIFS($C$3:$Q$3,"GIORNO",$C18:$Q18,AB$3)=0)*(COUNTIFS($C$3:$Q$3,"NOTTE",$C18:$Q18,AB$3)=0)*(COUNTIFS($C$3:$Q$3,"NOTTE",$C17:$Q17,AB$3)=0))=0,"",IF(0+((AB18&lt;&gt;"Xm")*(AB18&lt;&gt;"Xp")*(AB18&lt;&gt;"Xg")*(COUNTIFS($C$3:$Q$3,"GIORNO",$C18:$Q18,AB$3)=0)*(COUNTIFS($C$3:$Q$3,"NOTTE",$C18:$Q18,AB$3)=0)*(COUNTIFS($C$3:$Q$3,"NOTTE",$C17:$Q17,AB$3)=0))+((AB18&lt;&gt;"Xn")*(COUNTIFS($C$3:$Q$3,"GIORNO",$C18:$Q18,AB$3)=0)*(COUNTIFS($C$3:$Q$3,"NOTTE",$C18:$Q18,AB$3)=0)*(COUNTIFS($C$3:$Q$3,"NOTTE",$C17:$Q17,AB$3)=0))=2,AB$3&amp;", ",AB$3&amp;IF((AB18&lt;&gt;"Xm")*(AB18&lt;&gt;"Xp")*(AB18&lt;&gt;"Xg")*(COUNTIFS($C$3:$Q$3,"GIORNO",$C18:$Q18,AB$3)=0)*(COUNTIFS($C$3:$Q$3,"NOTTE",$C18:$Q18,AB$3)=0)*(COUNTIFS($C$3:$Q$3,"NOTTE",$C17:$Q17,AB$3)=0),"_g","")&amp;IF((AB18&lt;&gt;"Xn")*(COUNTIFS($C$3:$Q$3,"GIORNO",$C18:$Q18,AB$3)=0)*(COUNTIFS($C$3:$Q$3,"NOTTE",$C18:$Q18,AB$3)=0)*(COUNTIFS($C$3:$Q$3,"NOTTE",$C17:$Q17,AB$3)=0),"_n","")&amp;", ")))</f>
        <v xml:space="preserve">LEONI, </v>
      </c>
      <c r="CF18" s="9" t="str">
        <f>IF(0+(AC18="X")&gt;0,"",IF(0+((AC18&lt;&gt;"Xm")*(AC18&lt;&gt;"Xp")*(AC18&lt;&gt;"Xg")*(COUNTIFS($C$3:$Q$3,"GIORNO",$C18:$Q18,AC$3)=0)*(COUNTIFS($C$3:$Q$3,"NOTTE",$C18:$Q18,AC$3)=0)*(COUNTIFS($C$3:$Q$3,"NOTTE",$C17:$Q17,AC$3)=0))+((AC18&lt;&gt;"Xn")*(COUNTIFS($C$3:$Q$3,"GIORNO",$C18:$Q18,AC$3)=0)*(COUNTIFS($C$3:$Q$3,"NOTTE",$C18:$Q18,AC$3)=0)*(COUNTIFS($C$3:$Q$3,"NOTTE",$C17:$Q17,AC$3)=0))=0,"",IF(0+((AC18&lt;&gt;"Xm")*(AC18&lt;&gt;"Xp")*(AC18&lt;&gt;"Xg")*(COUNTIFS($C$3:$Q$3,"GIORNO",$C18:$Q18,AC$3)=0)*(COUNTIFS($C$3:$Q$3,"NOTTE",$C18:$Q18,AC$3)=0)*(COUNTIFS($C$3:$Q$3,"NOTTE",$C17:$Q17,AC$3)=0))+((AC18&lt;&gt;"Xn")*(COUNTIFS($C$3:$Q$3,"GIORNO",$C18:$Q18,AC$3)=0)*(COUNTIFS($C$3:$Q$3,"NOTTE",$C18:$Q18,AC$3)=0)*(COUNTIFS($C$3:$Q$3,"NOTTE",$C17:$Q17,AC$3)=0))=2,AC$3&amp;", ",AC$3&amp;IF((AC18&lt;&gt;"Xm")*(AC18&lt;&gt;"Xp")*(AC18&lt;&gt;"Xg")*(COUNTIFS($C$3:$Q$3,"GIORNO",$C18:$Q18,AC$3)=0)*(COUNTIFS($C$3:$Q$3,"NOTTE",$C18:$Q18,AC$3)=0)*(COUNTIFS($C$3:$Q$3,"NOTTE",$C17:$Q17,AC$3)=0),"_g","")&amp;IF((AC18&lt;&gt;"Xn")*(COUNTIFS($C$3:$Q$3,"GIORNO",$C18:$Q18,AC$3)=0)*(COUNTIFS($C$3:$Q$3,"NOTTE",$C18:$Q18,AC$3)=0)*(COUNTIFS($C$3:$Q$3,"NOTTE",$C17:$Q17,AC$3)=0),"_n","")&amp;", ")))</f>
        <v xml:space="preserve">ROSSI M, </v>
      </c>
      <c r="CG18" s="9" t="str">
        <f>IF(0+(AD18="X")&gt;0,"",IF(0+((AD18&lt;&gt;"Xm")*(AD18&lt;&gt;"Xp")*(AD18&lt;&gt;"Xg")*(COUNTIFS($C$3:$Q$3,"GIORNO",$C18:$Q18,AD$3)=0)*(COUNTIFS($C$3:$Q$3,"NOTTE",$C18:$Q18,AD$3)=0)*(COUNTIFS($C$3:$Q$3,"NOTTE",$C17:$Q17,AD$3)=0))+((AD18&lt;&gt;"Xn")*(COUNTIFS($C$3:$Q$3,"GIORNO",$C18:$Q18,AD$3)=0)*(COUNTIFS($C$3:$Q$3,"NOTTE",$C18:$Q18,AD$3)=0)*(COUNTIFS($C$3:$Q$3,"NOTTE",$C17:$Q17,AD$3)=0))=0,"",IF(0+((AD18&lt;&gt;"Xm")*(AD18&lt;&gt;"Xp")*(AD18&lt;&gt;"Xg")*(COUNTIFS($C$3:$Q$3,"GIORNO",$C18:$Q18,AD$3)=0)*(COUNTIFS($C$3:$Q$3,"NOTTE",$C18:$Q18,AD$3)=0)*(COUNTIFS($C$3:$Q$3,"NOTTE",$C17:$Q17,AD$3)=0))+((AD18&lt;&gt;"Xn")*(COUNTIFS($C$3:$Q$3,"GIORNO",$C18:$Q18,AD$3)=0)*(COUNTIFS($C$3:$Q$3,"NOTTE",$C18:$Q18,AD$3)=0)*(COUNTIFS($C$3:$Q$3,"NOTTE",$C17:$Q17,AD$3)=0))=2,AD$3&amp;", ",AD$3&amp;IF((AD18&lt;&gt;"Xm")*(AD18&lt;&gt;"Xp")*(AD18&lt;&gt;"Xg")*(COUNTIFS($C$3:$Q$3,"GIORNO",$C18:$Q18,AD$3)=0)*(COUNTIFS($C$3:$Q$3,"NOTTE",$C18:$Q18,AD$3)=0)*(COUNTIFS($C$3:$Q$3,"NOTTE",$C17:$Q17,AD$3)=0),"_g","")&amp;IF((AD18&lt;&gt;"Xn")*(COUNTIFS($C$3:$Q$3,"GIORNO",$C18:$Q18,AD$3)=0)*(COUNTIFS($C$3:$Q$3,"NOTTE",$C18:$Q18,AD$3)=0)*(COUNTIFS($C$3:$Q$3,"NOTTE",$C17:$Q17,AD$3)=0),"_n","")&amp;", ")))</f>
        <v xml:space="preserve">ROSSI L, </v>
      </c>
      <c r="CH18" s="9" t="str">
        <f>IF(0+(AE18="X")&gt;0,"",IF(0+((AE18&lt;&gt;"Xm")*(AE18&lt;&gt;"Xp")*(AE18&lt;&gt;"Xg")*(COUNTIFS($C$3:$Q$3,"GIORNO",$C18:$Q18,AE$3)=0)*(COUNTIFS($C$3:$Q$3,"NOTTE",$C18:$Q18,AE$3)=0)*(COUNTIFS($C$3:$Q$3,"NOTTE",$C17:$Q17,AE$3)=0))+((AE18&lt;&gt;"Xn")*(COUNTIFS($C$3:$Q$3,"GIORNO",$C18:$Q18,AE$3)=0)*(COUNTIFS($C$3:$Q$3,"NOTTE",$C18:$Q18,AE$3)=0)*(COUNTIFS($C$3:$Q$3,"NOTTE",$C17:$Q17,AE$3)=0))=0,"",IF(0+((AE18&lt;&gt;"Xm")*(AE18&lt;&gt;"Xp")*(AE18&lt;&gt;"Xg")*(COUNTIFS($C$3:$Q$3,"GIORNO",$C18:$Q18,AE$3)=0)*(COUNTIFS($C$3:$Q$3,"NOTTE",$C18:$Q18,AE$3)=0)*(COUNTIFS($C$3:$Q$3,"NOTTE",$C17:$Q17,AE$3)=0))+((AE18&lt;&gt;"Xn")*(COUNTIFS($C$3:$Q$3,"GIORNO",$C18:$Q18,AE$3)=0)*(COUNTIFS($C$3:$Q$3,"NOTTE",$C18:$Q18,AE$3)=0)*(COUNTIFS($C$3:$Q$3,"NOTTE",$C17:$Q17,AE$3)=0))=2,AE$3&amp;", ",AE$3&amp;IF((AE18&lt;&gt;"Xm")*(AE18&lt;&gt;"Xp")*(AE18&lt;&gt;"Xg")*(COUNTIFS($C$3:$Q$3,"GIORNO",$C18:$Q18,AE$3)=0)*(COUNTIFS($C$3:$Q$3,"NOTTE",$C18:$Q18,AE$3)=0)*(COUNTIFS($C$3:$Q$3,"NOTTE",$C17:$Q17,AE$3)=0),"_g","")&amp;IF((AE18&lt;&gt;"Xn")*(COUNTIFS($C$3:$Q$3,"GIORNO",$C18:$Q18,AE$3)=0)*(COUNTIFS($C$3:$Q$3,"NOTTE",$C18:$Q18,AE$3)=0)*(COUNTIFS($C$3:$Q$3,"NOTTE",$C17:$Q17,AE$3)=0),"_n","")&amp;", ")))</f>
        <v xml:space="preserve">GALLINA, </v>
      </c>
      <c r="CI18" s="9" t="str">
        <f>IF(0+(AF18="X")&gt;0,"",IF(0+((AF18&lt;&gt;"Xm")*(AF18&lt;&gt;"Xp")*(AF18&lt;&gt;"Xg")*(COUNTIFS($C$3:$Q$3,"GIORNO",$C18:$Q18,AF$3)=0)*(COUNTIFS($C$3:$Q$3,"NOTTE",$C18:$Q18,AF$3)=0)*(COUNTIFS($C$3:$Q$3,"NOTTE",$C17:$Q17,AF$3)=0))+((AF18&lt;&gt;"Xn")*(COUNTIFS($C$3:$Q$3,"GIORNO",$C18:$Q18,AF$3)=0)*(COUNTIFS($C$3:$Q$3,"NOTTE",$C18:$Q18,AF$3)=0)*(COUNTIFS($C$3:$Q$3,"NOTTE",$C17:$Q17,AF$3)=0))=0,"",IF(0+((AF18&lt;&gt;"Xm")*(AF18&lt;&gt;"Xp")*(AF18&lt;&gt;"Xg")*(COUNTIFS($C$3:$Q$3,"GIORNO",$C18:$Q18,AF$3)=0)*(COUNTIFS($C$3:$Q$3,"NOTTE",$C18:$Q18,AF$3)=0)*(COUNTIFS($C$3:$Q$3,"NOTTE",$C17:$Q17,AF$3)=0))+((AF18&lt;&gt;"Xn")*(COUNTIFS($C$3:$Q$3,"GIORNO",$C18:$Q18,AF$3)=0)*(COUNTIFS($C$3:$Q$3,"NOTTE",$C18:$Q18,AF$3)=0)*(COUNTIFS($C$3:$Q$3,"NOTTE",$C17:$Q17,AF$3)=0))=2,AF$3&amp;", ",AF$3&amp;IF((AF18&lt;&gt;"Xm")*(AF18&lt;&gt;"Xp")*(AF18&lt;&gt;"Xg")*(COUNTIFS($C$3:$Q$3,"GIORNO",$C18:$Q18,AF$3)=0)*(COUNTIFS($C$3:$Q$3,"NOTTE",$C18:$Q18,AF$3)=0)*(COUNTIFS($C$3:$Q$3,"NOTTE",$C17:$Q17,AF$3)=0),"_g","")&amp;IF((AF18&lt;&gt;"Xn")*(COUNTIFS($C$3:$Q$3,"GIORNO",$C18:$Q18,AF$3)=0)*(COUNTIFS($C$3:$Q$3,"NOTTE",$C18:$Q18,AF$3)=0)*(COUNTIFS($C$3:$Q$3,"NOTTE",$C17:$Q17,AF$3)=0),"_n","")&amp;", ")))</f>
        <v xml:space="preserve">RUSSO, </v>
      </c>
      <c r="CJ18" s="9" t="str">
        <f>IF(0+(AG18="X")&gt;0,"",IF(0+((AG18&lt;&gt;"Xm")*(AG18&lt;&gt;"Xp")*(AG18&lt;&gt;"Xg")*(COUNTIFS($C$3:$Q$3,"GIORNO",$C18:$Q18,AG$3)=0)*(COUNTIFS($C$3:$Q$3,"NOTTE",$C18:$Q18,AG$3)=0)*(COUNTIFS($C$3:$Q$3,"NOTTE",$C17:$Q17,AG$3)=0))+((AG18&lt;&gt;"Xn")*(COUNTIFS($C$3:$Q$3,"GIORNO",$C18:$Q18,AG$3)=0)*(COUNTIFS($C$3:$Q$3,"NOTTE",$C18:$Q18,AG$3)=0)*(COUNTIFS($C$3:$Q$3,"NOTTE",$C17:$Q17,AG$3)=0))=0,"",IF(0+((AG18&lt;&gt;"Xm")*(AG18&lt;&gt;"Xp")*(AG18&lt;&gt;"Xg")*(COUNTIFS($C$3:$Q$3,"GIORNO",$C18:$Q18,AG$3)=0)*(COUNTIFS($C$3:$Q$3,"NOTTE",$C18:$Q18,AG$3)=0)*(COUNTIFS($C$3:$Q$3,"NOTTE",$C17:$Q17,AG$3)=0))+((AG18&lt;&gt;"Xn")*(COUNTIFS($C$3:$Q$3,"GIORNO",$C18:$Q18,AG$3)=0)*(COUNTIFS($C$3:$Q$3,"NOTTE",$C18:$Q18,AG$3)=0)*(COUNTIFS($C$3:$Q$3,"NOTTE",$C17:$Q17,AG$3)=0))=2,AG$3&amp;", ",AG$3&amp;IF((AG18&lt;&gt;"Xm")*(AG18&lt;&gt;"Xp")*(AG18&lt;&gt;"Xg")*(COUNTIFS($C$3:$Q$3,"GIORNO",$C18:$Q18,AG$3)=0)*(COUNTIFS($C$3:$Q$3,"NOTTE",$C18:$Q18,AG$3)=0)*(COUNTIFS($C$3:$Q$3,"NOTTE",$C17:$Q17,AG$3)=0),"_g","")&amp;IF((AG18&lt;&gt;"Xn")*(COUNTIFS($C$3:$Q$3,"GIORNO",$C18:$Q18,AG$3)=0)*(COUNTIFS($C$3:$Q$3,"NOTTE",$C18:$Q18,AG$3)=0)*(COUNTIFS($C$3:$Q$3,"NOTTE",$C17:$Q17,AG$3)=0),"_n","")&amp;", ")))</f>
        <v xml:space="preserve">VERDI, </v>
      </c>
      <c r="CK18" s="9" t="str">
        <f>IF(0+(AH18="X")&gt;0,"",IF(0+((AH18&lt;&gt;"Xm")*(AH18&lt;&gt;"Xp")*(AH18&lt;&gt;"Xg")*(COUNTIFS($C$3:$Q$3,"GIORNO",$C18:$Q18,AH$3)=0)*(COUNTIFS($C$3:$Q$3,"NOTTE",$C18:$Q18,AH$3)=0)*(COUNTIFS($C$3:$Q$3,"NOTTE",$C17:$Q17,AH$3)=0))+((AH18&lt;&gt;"Xn")*(COUNTIFS($C$3:$Q$3,"GIORNO",$C18:$Q18,AH$3)=0)*(COUNTIFS($C$3:$Q$3,"NOTTE",$C18:$Q18,AH$3)=0)*(COUNTIFS($C$3:$Q$3,"NOTTE",$C17:$Q17,AH$3)=0))=0,"",IF(0+((AH18&lt;&gt;"Xm")*(AH18&lt;&gt;"Xp")*(AH18&lt;&gt;"Xg")*(COUNTIFS($C$3:$Q$3,"GIORNO",$C18:$Q18,AH$3)=0)*(COUNTIFS($C$3:$Q$3,"NOTTE",$C18:$Q18,AH$3)=0)*(COUNTIFS($C$3:$Q$3,"NOTTE",$C17:$Q17,AH$3)=0))+((AH18&lt;&gt;"Xn")*(COUNTIFS($C$3:$Q$3,"GIORNO",$C18:$Q18,AH$3)=0)*(COUNTIFS($C$3:$Q$3,"NOTTE",$C18:$Q18,AH$3)=0)*(COUNTIFS($C$3:$Q$3,"NOTTE",$C17:$Q17,AH$3)=0))=2,AH$3&amp;", ",AH$3&amp;IF((AH18&lt;&gt;"Xm")*(AH18&lt;&gt;"Xp")*(AH18&lt;&gt;"Xg")*(COUNTIFS($C$3:$Q$3,"GIORNO",$C18:$Q18,AH$3)=0)*(COUNTIFS($C$3:$Q$3,"NOTTE",$C18:$Q18,AH$3)=0)*(COUNTIFS($C$3:$Q$3,"NOTTE",$C17:$Q17,AH$3)=0),"_g","")&amp;IF((AH18&lt;&gt;"Xn")*(COUNTIFS($C$3:$Q$3,"GIORNO",$C18:$Q18,AH$3)=0)*(COUNTIFS($C$3:$Q$3,"NOTTE",$C18:$Q18,AH$3)=0)*(COUNTIFS($C$3:$Q$3,"NOTTE",$C17:$Q17,AH$3)=0),"_n","")&amp;", ")))</f>
        <v xml:space="preserve">HU, </v>
      </c>
      <c r="CL18" s="9" t="str">
        <f>IF(0+(AI18="X")&gt;0,"",IF(0+((AI18&lt;&gt;"Xm")*(AI18&lt;&gt;"Xp")*(AI18&lt;&gt;"Xg")*(COUNTIFS($C$3:$Q$3,"GIORNO",$C18:$Q18,AI$3)=0)*(COUNTIFS($C$3:$Q$3,"NOTTE",$C18:$Q18,AI$3)=0)*(COUNTIFS($C$3:$Q$3,"NOTTE",$C17:$Q17,AI$3)=0))+((AI18&lt;&gt;"Xn")*(COUNTIFS($C$3:$Q$3,"GIORNO",$C18:$Q18,AI$3)=0)*(COUNTIFS($C$3:$Q$3,"NOTTE",$C18:$Q18,AI$3)=0)*(COUNTIFS($C$3:$Q$3,"NOTTE",$C17:$Q17,AI$3)=0))=0,"",IF(0+((AI18&lt;&gt;"Xm")*(AI18&lt;&gt;"Xp")*(AI18&lt;&gt;"Xg")*(COUNTIFS($C$3:$Q$3,"GIORNO",$C18:$Q18,AI$3)=0)*(COUNTIFS($C$3:$Q$3,"NOTTE",$C18:$Q18,AI$3)=0)*(COUNTIFS($C$3:$Q$3,"NOTTE",$C17:$Q17,AI$3)=0))+((AI18&lt;&gt;"Xn")*(COUNTIFS($C$3:$Q$3,"GIORNO",$C18:$Q18,AI$3)=0)*(COUNTIFS($C$3:$Q$3,"NOTTE",$C18:$Q18,AI$3)=0)*(COUNTIFS($C$3:$Q$3,"NOTTE",$C17:$Q17,AI$3)=0))=2,AI$3&amp;", ",AI$3&amp;IF((AI18&lt;&gt;"Xm")*(AI18&lt;&gt;"Xp")*(AI18&lt;&gt;"Xg")*(COUNTIFS($C$3:$Q$3,"GIORNO",$C18:$Q18,AI$3)=0)*(COUNTIFS($C$3:$Q$3,"NOTTE",$C18:$Q18,AI$3)=0)*(COUNTIFS($C$3:$Q$3,"NOTTE",$C17:$Q17,AI$3)=0),"_g","")&amp;IF((AI18&lt;&gt;"Xn")*(COUNTIFS($C$3:$Q$3,"GIORNO",$C18:$Q18,AI$3)=0)*(COUNTIFS($C$3:$Q$3,"NOTTE",$C18:$Q18,AI$3)=0)*(COUNTIFS($C$3:$Q$3,"NOTTE",$C17:$Q17,AI$3)=0),"_n","")&amp;", ")))</f>
        <v xml:space="preserve">MARINI, </v>
      </c>
      <c r="CM18" s="9" t="str">
        <f>IF(0+(AJ18="X")&gt;0,"",IF(0+((AJ18&lt;&gt;"Xm")*(AJ18&lt;&gt;"Xp")*(AJ18&lt;&gt;"Xg")*(COUNTIFS($C$3:$Q$3,"GIORNO",$C18:$Q18,AJ$3)=0)*(COUNTIFS($C$3:$Q$3,"NOTTE",$C18:$Q18,AJ$3)=0)*(COUNTIFS($C$3:$Q$3,"NOTTE",$C17:$Q17,AJ$3)=0))+((AJ18&lt;&gt;"Xn")*(COUNTIFS($C$3:$Q$3,"GIORNO",$C18:$Q18,AJ$3)=0)*(COUNTIFS($C$3:$Q$3,"NOTTE",$C18:$Q18,AJ$3)=0)*(COUNTIFS($C$3:$Q$3,"NOTTE",$C17:$Q17,AJ$3)=0))=0,"",IF(0+((AJ18&lt;&gt;"Xm")*(AJ18&lt;&gt;"Xp")*(AJ18&lt;&gt;"Xg")*(COUNTIFS($C$3:$Q$3,"GIORNO",$C18:$Q18,AJ$3)=0)*(COUNTIFS($C$3:$Q$3,"NOTTE",$C18:$Q18,AJ$3)=0)*(COUNTIFS($C$3:$Q$3,"NOTTE",$C17:$Q17,AJ$3)=0))+((AJ18&lt;&gt;"Xn")*(COUNTIFS($C$3:$Q$3,"GIORNO",$C18:$Q18,AJ$3)=0)*(COUNTIFS($C$3:$Q$3,"NOTTE",$C18:$Q18,AJ$3)=0)*(COUNTIFS($C$3:$Q$3,"NOTTE",$C17:$Q17,AJ$3)=0))=2,AJ$3&amp;", ",AJ$3&amp;IF((AJ18&lt;&gt;"Xm")*(AJ18&lt;&gt;"Xp")*(AJ18&lt;&gt;"Xg")*(COUNTIFS($C$3:$Q$3,"GIORNO",$C18:$Q18,AJ$3)=0)*(COUNTIFS($C$3:$Q$3,"NOTTE",$C18:$Q18,AJ$3)=0)*(COUNTIFS($C$3:$Q$3,"NOTTE",$C17:$Q17,AJ$3)=0),"_g","")&amp;IF((AJ18&lt;&gt;"Xn")*(COUNTIFS($C$3:$Q$3,"GIORNO",$C18:$Q18,AJ$3)=0)*(COUNTIFS($C$3:$Q$3,"NOTTE",$C18:$Q18,AJ$3)=0)*(COUNTIFS($C$3:$Q$3,"NOTTE",$C17:$Q17,AJ$3)=0),"_n","")&amp;", ")))</f>
        <v xml:space="preserve">CONTI A, </v>
      </c>
      <c r="CN18" s="9" t="str">
        <f>IF(0+(AK18="X")&gt;0,"",IF(0+((AK18&lt;&gt;"Xm")*(AK18&lt;&gt;"Xp")*(AK18&lt;&gt;"Xg")*(COUNTIFS($C$3:$Q$3,"GIORNO",$C18:$Q18,AK$3)=0)*(COUNTIFS($C$3:$Q$3,"NOTTE",$C18:$Q18,AK$3)=0)*(COUNTIFS($C$3:$Q$3,"NOTTE",$C17:$Q17,AK$3)=0))+((AK18&lt;&gt;"Xn")*(COUNTIFS($C$3:$Q$3,"GIORNO",$C18:$Q18,AK$3)=0)*(COUNTIFS($C$3:$Q$3,"NOTTE",$C18:$Q18,AK$3)=0)*(COUNTIFS($C$3:$Q$3,"NOTTE",$C17:$Q17,AK$3)=0))=0,"",IF(0+((AK18&lt;&gt;"Xm")*(AK18&lt;&gt;"Xp")*(AK18&lt;&gt;"Xg")*(COUNTIFS($C$3:$Q$3,"GIORNO",$C18:$Q18,AK$3)=0)*(COUNTIFS($C$3:$Q$3,"NOTTE",$C18:$Q18,AK$3)=0)*(COUNTIFS($C$3:$Q$3,"NOTTE",$C17:$Q17,AK$3)=0))+((AK18&lt;&gt;"Xn")*(COUNTIFS($C$3:$Q$3,"GIORNO",$C18:$Q18,AK$3)=0)*(COUNTIFS($C$3:$Q$3,"NOTTE",$C18:$Q18,AK$3)=0)*(COUNTIFS($C$3:$Q$3,"NOTTE",$C17:$Q17,AK$3)=0))=2,AK$3&amp;", ",AK$3&amp;IF((AK18&lt;&gt;"Xm")*(AK18&lt;&gt;"Xp")*(AK18&lt;&gt;"Xg")*(COUNTIFS($C$3:$Q$3,"GIORNO",$C18:$Q18,AK$3)=0)*(COUNTIFS($C$3:$Q$3,"NOTTE",$C18:$Q18,AK$3)=0)*(COUNTIFS($C$3:$Q$3,"NOTTE",$C17:$Q17,AK$3)=0),"_g","")&amp;IF((AK18&lt;&gt;"Xn")*(COUNTIFS($C$3:$Q$3,"GIORNO",$C18:$Q18,AK$3)=0)*(COUNTIFS($C$3:$Q$3,"NOTTE",$C18:$Q18,AK$3)=0)*(COUNTIFS($C$3:$Q$3,"NOTTE",$C17:$Q17,AK$3)=0),"_n","")&amp;", ")))</f>
        <v xml:space="preserve">CONTI S, </v>
      </c>
      <c r="CO18" s="9" t="str">
        <f>IF(0+(AL18="X")&gt;0,"",IF(0+((AL18&lt;&gt;"Xm")*(AL18&lt;&gt;"Xp")*(AL18&lt;&gt;"Xg")*(COUNTIFS($C$3:$Q$3,"GIORNO",$C18:$Q18,AL$3)=0)*(COUNTIFS($C$3:$Q$3,"NOTTE",$C18:$Q18,AL$3)=0)*(COUNTIFS($C$3:$Q$3,"NOTTE",$C17:$Q17,AL$3)=0))+((AL18&lt;&gt;"Xn")*(COUNTIFS($C$3:$Q$3,"GIORNO",$C18:$Q18,AL$3)=0)*(COUNTIFS($C$3:$Q$3,"NOTTE",$C18:$Q18,AL$3)=0)*(COUNTIFS($C$3:$Q$3,"NOTTE",$C17:$Q17,AL$3)=0))=0,"",IF(0+((AL18&lt;&gt;"Xm")*(AL18&lt;&gt;"Xp")*(AL18&lt;&gt;"Xg")*(COUNTIFS($C$3:$Q$3,"GIORNO",$C18:$Q18,AL$3)=0)*(COUNTIFS($C$3:$Q$3,"NOTTE",$C18:$Q18,AL$3)=0)*(COUNTIFS($C$3:$Q$3,"NOTTE",$C17:$Q17,AL$3)=0))+((AL18&lt;&gt;"Xn")*(COUNTIFS($C$3:$Q$3,"GIORNO",$C18:$Q18,AL$3)=0)*(COUNTIFS($C$3:$Q$3,"NOTTE",$C18:$Q18,AL$3)=0)*(COUNTIFS($C$3:$Q$3,"NOTTE",$C17:$Q17,AL$3)=0))=2,AL$3&amp;", ",AL$3&amp;IF((AL18&lt;&gt;"Xm")*(AL18&lt;&gt;"Xp")*(AL18&lt;&gt;"Xg")*(COUNTIFS($C$3:$Q$3,"GIORNO",$C18:$Q18,AL$3)=0)*(COUNTIFS($C$3:$Q$3,"NOTTE",$C18:$Q18,AL$3)=0)*(COUNTIFS($C$3:$Q$3,"NOTTE",$C17:$Q17,AL$3)=0),"_g","")&amp;IF((AL18&lt;&gt;"Xn")*(COUNTIFS($C$3:$Q$3,"GIORNO",$C18:$Q18,AL$3)=0)*(COUNTIFS($C$3:$Q$3,"NOTTE",$C18:$Q18,AL$3)=0)*(COUNTIFS($C$3:$Q$3,"NOTTE",$C17:$Q17,AL$3)=0),"_n","")&amp;", ")))</f>
        <v xml:space="preserve">FERRARI, </v>
      </c>
      <c r="CP18" s="9" t="str">
        <f>IF(0+(AM18="X")&gt;0,"",IF(0+((AM18&lt;&gt;"Xm")*(AM18&lt;&gt;"Xp")*(AM18&lt;&gt;"Xg")*(COUNTIFS($C$3:$Q$3,"GIORNO",$C18:$Q18,AM$3)=0)*(COUNTIFS($C$3:$Q$3,"NOTTE",$C18:$Q18,AM$3)=0)*(COUNTIFS($C$3:$Q$3,"NOTTE",$C17:$Q17,AM$3)=0))+((AM18&lt;&gt;"Xn")*(COUNTIFS($C$3:$Q$3,"GIORNO",$C18:$Q18,AM$3)=0)*(COUNTIFS($C$3:$Q$3,"NOTTE",$C18:$Q18,AM$3)=0)*(COUNTIFS($C$3:$Q$3,"NOTTE",$C17:$Q17,AM$3)=0))=0,"",IF(0+((AM18&lt;&gt;"Xm")*(AM18&lt;&gt;"Xp")*(AM18&lt;&gt;"Xg")*(COUNTIFS($C$3:$Q$3,"GIORNO",$C18:$Q18,AM$3)=0)*(COUNTIFS($C$3:$Q$3,"NOTTE",$C18:$Q18,AM$3)=0)*(COUNTIFS($C$3:$Q$3,"NOTTE",$C17:$Q17,AM$3)=0))+((AM18&lt;&gt;"Xn")*(COUNTIFS($C$3:$Q$3,"GIORNO",$C18:$Q18,AM$3)=0)*(COUNTIFS($C$3:$Q$3,"NOTTE",$C18:$Q18,AM$3)=0)*(COUNTIFS($C$3:$Q$3,"NOTTE",$C17:$Q17,AM$3)=0))=2,AM$3&amp;", ",AM$3&amp;IF((AM18&lt;&gt;"Xm")*(AM18&lt;&gt;"Xp")*(AM18&lt;&gt;"Xg")*(COUNTIFS($C$3:$Q$3,"GIORNO",$C18:$Q18,AM$3)=0)*(COUNTIFS($C$3:$Q$3,"NOTTE",$C18:$Q18,AM$3)=0)*(COUNTIFS($C$3:$Q$3,"NOTTE",$C17:$Q17,AM$3)=0),"_g","")&amp;IF((AM18&lt;&gt;"Xn")*(COUNTIFS($C$3:$Q$3,"GIORNO",$C18:$Q18,AM$3)=0)*(COUNTIFS($C$3:$Q$3,"NOTTE",$C18:$Q18,AM$3)=0)*(COUNTIFS($C$3:$Q$3,"NOTTE",$C17:$Q17,AM$3)=0),"_n","")&amp;", ")))</f>
        <v xml:space="preserve">GRECO, </v>
      </c>
      <c r="CQ18" s="9" t="str">
        <f>IF(0+(AN18="X")&gt;0,"",IF(0+((AN18&lt;&gt;"Xm")*(AN18&lt;&gt;"Xp")*(AN18&lt;&gt;"Xg")*(COUNTIFS($C$3:$Q$3,"GIORNO",$C18:$Q18,AN$3)=0)*(COUNTIFS($C$3:$Q$3,"NOTTE",$C18:$Q18,AN$3)=0)*(COUNTIFS($C$3:$Q$3,"NOTTE",$C17:$Q17,AN$3)=0))+((AN18&lt;&gt;"Xn")*(COUNTIFS($C$3:$Q$3,"GIORNO",$C18:$Q18,AN$3)=0)*(COUNTIFS($C$3:$Q$3,"NOTTE",$C18:$Q18,AN$3)=0)*(COUNTIFS($C$3:$Q$3,"NOTTE",$C17:$Q17,AN$3)=0))=0,"",IF(0+((AN18&lt;&gt;"Xm")*(AN18&lt;&gt;"Xp")*(AN18&lt;&gt;"Xg")*(COUNTIFS($C$3:$Q$3,"GIORNO",$C18:$Q18,AN$3)=0)*(COUNTIFS($C$3:$Q$3,"NOTTE",$C18:$Q18,AN$3)=0)*(COUNTIFS($C$3:$Q$3,"NOTTE",$C17:$Q17,AN$3)=0))+((AN18&lt;&gt;"Xn")*(COUNTIFS($C$3:$Q$3,"GIORNO",$C18:$Q18,AN$3)=0)*(COUNTIFS($C$3:$Q$3,"NOTTE",$C18:$Q18,AN$3)=0)*(COUNTIFS($C$3:$Q$3,"NOTTE",$C17:$Q17,AN$3)=0))=2,AN$3&amp;", ",AN$3&amp;IF((AN18&lt;&gt;"Xm")*(AN18&lt;&gt;"Xp")*(AN18&lt;&gt;"Xg")*(COUNTIFS($C$3:$Q$3,"GIORNO",$C18:$Q18,AN$3)=0)*(COUNTIFS($C$3:$Q$3,"NOTTE",$C18:$Q18,AN$3)=0)*(COUNTIFS($C$3:$Q$3,"NOTTE",$C17:$Q17,AN$3)=0),"_g","")&amp;IF((AN18&lt;&gt;"Xn")*(COUNTIFS($C$3:$Q$3,"GIORNO",$C18:$Q18,AN$3)=0)*(COUNTIFS($C$3:$Q$3,"NOTTE",$C18:$Q18,AN$3)=0)*(COUNTIFS($C$3:$Q$3,"NOTTE",$C17:$Q17,AN$3)=0),"_n","")&amp;", ")))</f>
        <v xml:space="preserve">SANNA, </v>
      </c>
      <c r="CR18" s="9" t="str">
        <f>IF(0+(AO18="X")&gt;0,"",IF(0+((AO18&lt;&gt;"Xm")*(AO18&lt;&gt;"Xp")*(AO18&lt;&gt;"Xg")*(COUNTIFS($C$3:$Q$3,"GIORNO",$C18:$Q18,AO$3)=0)*(COUNTIFS($C$3:$Q$3,"NOTTE",$C18:$Q18,AO$3)=0)*(COUNTIFS($C$3:$Q$3,"NOTTE",$C17:$Q17,AO$3)=0))+((AO18&lt;&gt;"Xn")*(COUNTIFS($C$3:$Q$3,"GIORNO",$C18:$Q18,AO$3)=0)*(COUNTIFS($C$3:$Q$3,"NOTTE",$C18:$Q18,AO$3)=0)*(COUNTIFS($C$3:$Q$3,"NOTTE",$C17:$Q17,AO$3)=0))=0,"",IF(0+((AO18&lt;&gt;"Xm")*(AO18&lt;&gt;"Xp")*(AO18&lt;&gt;"Xg")*(COUNTIFS($C$3:$Q$3,"GIORNO",$C18:$Q18,AO$3)=0)*(COUNTIFS($C$3:$Q$3,"NOTTE",$C18:$Q18,AO$3)=0)*(COUNTIFS($C$3:$Q$3,"NOTTE",$C17:$Q17,AO$3)=0))+((AO18&lt;&gt;"Xn")*(COUNTIFS($C$3:$Q$3,"GIORNO",$C18:$Q18,AO$3)=0)*(COUNTIFS($C$3:$Q$3,"NOTTE",$C18:$Q18,AO$3)=0)*(COUNTIFS($C$3:$Q$3,"NOTTE",$C17:$Q17,AO$3)=0))=2,AO$3&amp;", ",AO$3&amp;IF((AO18&lt;&gt;"Xm")*(AO18&lt;&gt;"Xp")*(AO18&lt;&gt;"Xg")*(COUNTIFS($C$3:$Q$3,"GIORNO",$C18:$Q18,AO$3)=0)*(COUNTIFS($C$3:$Q$3,"NOTTE",$C18:$Q18,AO$3)=0)*(COUNTIFS($C$3:$Q$3,"NOTTE",$C17:$Q17,AO$3)=0),"_g","")&amp;IF((AO18&lt;&gt;"Xn")*(COUNTIFS($C$3:$Q$3,"GIORNO",$C18:$Q18,AO$3)=0)*(COUNTIFS($C$3:$Q$3,"NOTTE",$C18:$Q18,AO$3)=0)*(COUNTIFS($C$3:$Q$3,"NOTTE",$C17:$Q17,AO$3)=0),"_n","")&amp;", ")))</f>
        <v xml:space="preserve">LI, </v>
      </c>
    </row>
    <row r="19">
      <c r="A19" s="10" t="str">
        <f>CHOOSE(WEEKDAY(DATE($B$1,$A$2,B19),2),"lunedì","martedì","mercoledì","giovedì","venerdì","sabato","domenica")</f>
        <v>lunedì</v>
      </c>
      <c r="B19" s="10" t="n">
        <v>16</v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4" t="n"/>
      <c r="M19" s="11" t="n"/>
      <c r="N19" s="11" t="n"/>
      <c r="O19" s="11" t="n"/>
      <c r="P19" s="4" t="n"/>
      <c r="Q19" s="11" t="n"/>
      <c r="R19" s="11" t="n"/>
      <c r="S19" s="11">
        <f>IF(SUMPRODUCT(($C$3:$Q$3&lt;&gt;"")*($C19:$Q19&lt;&gt;"")*(LEFT($C19:$Q19,6)&lt;&gt;"chiuso")*(COUNTIFS($C19:$Q19,$C19:$Q19,$C$3:$Q$3,$C$3:$Q$3)&gt;1))&gt;0,"X","")</f>
      </c>
      <c r="T19" s="11" t="str">
        <f>IF(LEN(BP19&amp;BQ19&amp;BR19&amp;BS19&amp;BT19&amp;BU19&amp;BV19&amp;BW19&amp;BX19&amp;BY19&amp;BZ19&amp;CA19&amp;CB19&amp;CC19)=0,"",LEFT(BP19&amp;BQ19&amp;BR19&amp;BS19&amp;BT19&amp;BU19&amp;BV19&amp;BW19&amp;BX19&amp;BY19&amp;BZ19&amp;CA19&amp;CB19&amp;CC19,LEN(BP19&amp;BQ19&amp;BR19&amp;BS19&amp;BT19&amp;BU19&amp;BV19&amp;BW19&amp;BX19&amp;BY19&amp;BZ19&amp;CA19&amp;CB19&amp;CC19)-2))</f>
        <v>LEONI, ROSSI M, ROSSI L, GALLINA, RUSSO, VERDI, HU, MARINI, CONTI A, CONTI S, FERRARI, GRECO, SANNA, LI</v>
      </c>
      <c r="U19" s="11" t="str">
        <f>IF(LEN(CE19&amp;CF19&amp;CG19&amp;CH19&amp;CI19&amp;CJ19&amp;CK19&amp;CL19&amp;CM19&amp;CN19&amp;CO19&amp;CP19&amp;CQ19&amp;CR19)=0,"",LEFT(CE19&amp;CF19&amp;CG19&amp;CH19&amp;CI19&amp;CJ19&amp;CK19&amp;CL19&amp;CM19&amp;CN19&amp;CO19&amp;CP19&amp;CQ19&amp;CR19,LEN(CE19&amp;CF19&amp;CG19&amp;CH19&amp;CI19&amp;CJ19&amp;CK19&amp;CL19&amp;CM19&amp;CN19&amp;CO19&amp;CP19&amp;CQ19&amp;CR19)-2))</f>
        <v>LEONI, ROSSI M, ROSSI L, GALLINA, RUSSO, VERDI, HU, MARINI, CONTI A, CONTI S, FERRARI, GRECO, SANNA, LI</v>
      </c>
      <c r="Z19" s="10" t="str">
        <f>A19</f>
        <v>lunedì</v>
      </c>
      <c r="AA19" s="10">
        <f>B19</f>
        <v>16</v>
      </c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BP19" s="9" t="str">
        <f>IF(0+(AB19="X")&gt;0,"",IF(0+((AB19&lt;&gt;"Xm")*(AB19&lt;&gt;"Xg"))+((AB19&lt;&gt;"Xp")*(AB19&lt;&gt;"Xg"))+((AB19&lt;&gt;"Xn"))=0,"",IF(0+((AB19&lt;&gt;"Xm")*(AB19&lt;&gt;"Xg"))+((AB19&lt;&gt;"Xp")*(AB19&lt;&gt;"Xg"))+((AB19&lt;&gt;"Xn"))=3,AB$3&amp;", ",AB$3&amp;IF((AB19&lt;&gt;"Xm")*(AB19&lt;&gt;"Xg"),"_m","")&amp;IF((AB19&lt;&gt;"Xp")*(AB19&lt;&gt;"Xg"),"_p","")&amp;IF((AB19&lt;&gt;"Xn"),"_n","")&amp;", ")))</f>
        <v xml:space="preserve">LEONI, </v>
      </c>
      <c r="BQ19" s="9" t="str">
        <f>IF(0+(AC19="X")&gt;0,"",IF(0+((AC19&lt;&gt;"Xm")*(AC19&lt;&gt;"Xg"))+((AC19&lt;&gt;"Xp")*(AC19&lt;&gt;"Xg"))+((AC19&lt;&gt;"Xn"))=0,"",IF(0+((AC19&lt;&gt;"Xm")*(AC19&lt;&gt;"Xg"))+((AC19&lt;&gt;"Xp")*(AC19&lt;&gt;"Xg"))+((AC19&lt;&gt;"Xn"))=3,AC$3&amp;", ",AC$3&amp;IF((AC19&lt;&gt;"Xm")*(AC19&lt;&gt;"Xg"),"_m","")&amp;IF((AC19&lt;&gt;"Xp")*(AC19&lt;&gt;"Xg"),"_p","")&amp;IF((AC19&lt;&gt;"Xn"),"_n","")&amp;", ")))</f>
        <v xml:space="preserve">ROSSI M, </v>
      </c>
      <c r="BR19" s="9" t="str">
        <f>IF(0+(AD19="X")&gt;0,"",IF(0+((AD19&lt;&gt;"Xm")*(AD19&lt;&gt;"Xg"))+((AD19&lt;&gt;"Xp")*(AD19&lt;&gt;"Xg"))+((AD19&lt;&gt;"Xn"))=0,"",IF(0+((AD19&lt;&gt;"Xm")*(AD19&lt;&gt;"Xg"))+((AD19&lt;&gt;"Xp")*(AD19&lt;&gt;"Xg"))+((AD19&lt;&gt;"Xn"))=3,AD$3&amp;", ",AD$3&amp;IF((AD19&lt;&gt;"Xm")*(AD19&lt;&gt;"Xg"),"_m","")&amp;IF((AD19&lt;&gt;"Xp")*(AD19&lt;&gt;"Xg"),"_p","")&amp;IF((AD19&lt;&gt;"Xn"),"_n","")&amp;", ")))</f>
        <v xml:space="preserve">ROSSI L, </v>
      </c>
      <c r="BS19" s="9" t="str">
        <f>IF(0+(AE19="X")&gt;0,"",IF(0+((AE19&lt;&gt;"Xm")*(AE19&lt;&gt;"Xg"))+((AE19&lt;&gt;"Xp")*(AE19&lt;&gt;"Xg"))+((AE19&lt;&gt;"Xn"))=0,"",IF(0+((AE19&lt;&gt;"Xm")*(AE19&lt;&gt;"Xg"))+((AE19&lt;&gt;"Xp")*(AE19&lt;&gt;"Xg"))+((AE19&lt;&gt;"Xn"))=3,AE$3&amp;", ",AE$3&amp;IF((AE19&lt;&gt;"Xm")*(AE19&lt;&gt;"Xg"),"_m","")&amp;IF((AE19&lt;&gt;"Xp")*(AE19&lt;&gt;"Xg"),"_p","")&amp;IF((AE19&lt;&gt;"Xn"),"_n","")&amp;", ")))</f>
        <v xml:space="preserve">GALLINA, </v>
      </c>
      <c r="BT19" s="9" t="str">
        <f>IF(0+(AF19="X")&gt;0,"",IF(0+((AF19&lt;&gt;"Xm")*(AF19&lt;&gt;"Xg"))+((AF19&lt;&gt;"Xp")*(AF19&lt;&gt;"Xg"))+((AF19&lt;&gt;"Xn"))=0,"",IF(0+((AF19&lt;&gt;"Xm")*(AF19&lt;&gt;"Xg"))+((AF19&lt;&gt;"Xp")*(AF19&lt;&gt;"Xg"))+((AF19&lt;&gt;"Xn"))=3,AF$3&amp;", ",AF$3&amp;IF((AF19&lt;&gt;"Xm")*(AF19&lt;&gt;"Xg"),"_m","")&amp;IF((AF19&lt;&gt;"Xp")*(AF19&lt;&gt;"Xg"),"_p","")&amp;IF((AF19&lt;&gt;"Xn"),"_n","")&amp;", ")))</f>
        <v xml:space="preserve">RUSSO, </v>
      </c>
      <c r="BU19" s="9" t="str">
        <f>IF(0+(AG19="X")&gt;0,"",IF(0+((AG19&lt;&gt;"Xm")*(AG19&lt;&gt;"Xg"))+((AG19&lt;&gt;"Xp")*(AG19&lt;&gt;"Xg"))+((AG19&lt;&gt;"Xn"))=0,"",IF(0+((AG19&lt;&gt;"Xm")*(AG19&lt;&gt;"Xg"))+((AG19&lt;&gt;"Xp")*(AG19&lt;&gt;"Xg"))+((AG19&lt;&gt;"Xn"))=3,AG$3&amp;", ",AG$3&amp;IF((AG19&lt;&gt;"Xm")*(AG19&lt;&gt;"Xg"),"_m","")&amp;IF((AG19&lt;&gt;"Xp")*(AG19&lt;&gt;"Xg"),"_p","")&amp;IF((AG19&lt;&gt;"Xn"),"_n","")&amp;", ")))</f>
        <v xml:space="preserve">VERDI, </v>
      </c>
      <c r="BV19" s="9" t="str">
        <f>IF(0+(AH19="X")&gt;0,"",IF(0+((AH19&lt;&gt;"Xm")*(AH19&lt;&gt;"Xg"))+((AH19&lt;&gt;"Xp")*(AH19&lt;&gt;"Xg"))+((AH19&lt;&gt;"Xn"))=0,"",IF(0+((AH19&lt;&gt;"Xm")*(AH19&lt;&gt;"Xg"))+((AH19&lt;&gt;"Xp")*(AH19&lt;&gt;"Xg"))+((AH19&lt;&gt;"Xn"))=3,AH$3&amp;", ",AH$3&amp;IF((AH19&lt;&gt;"Xm")*(AH19&lt;&gt;"Xg"),"_m","")&amp;IF((AH19&lt;&gt;"Xp")*(AH19&lt;&gt;"Xg"),"_p","")&amp;IF((AH19&lt;&gt;"Xn"),"_n","")&amp;", ")))</f>
        <v xml:space="preserve">HU, </v>
      </c>
      <c r="BW19" s="9" t="str">
        <f>IF(0+(AI19="X")&gt;0,"",IF(0+((AI19&lt;&gt;"Xm")*(AI19&lt;&gt;"Xg"))+((AI19&lt;&gt;"Xp")*(AI19&lt;&gt;"Xg"))+((AI19&lt;&gt;"Xn"))=0,"",IF(0+((AI19&lt;&gt;"Xm")*(AI19&lt;&gt;"Xg"))+((AI19&lt;&gt;"Xp")*(AI19&lt;&gt;"Xg"))+((AI19&lt;&gt;"Xn"))=3,AI$3&amp;", ",AI$3&amp;IF((AI19&lt;&gt;"Xm")*(AI19&lt;&gt;"Xg"),"_m","")&amp;IF((AI19&lt;&gt;"Xp")*(AI19&lt;&gt;"Xg"),"_p","")&amp;IF((AI19&lt;&gt;"Xn"),"_n","")&amp;", ")))</f>
        <v xml:space="preserve">MARINI, </v>
      </c>
      <c r="BX19" s="9" t="str">
        <f>IF(0+(AJ19="X")&gt;0,"",IF(0+((AJ19&lt;&gt;"Xm")*(AJ19&lt;&gt;"Xg"))+((AJ19&lt;&gt;"Xp")*(AJ19&lt;&gt;"Xg"))+((AJ19&lt;&gt;"Xn"))=0,"",IF(0+((AJ19&lt;&gt;"Xm")*(AJ19&lt;&gt;"Xg"))+((AJ19&lt;&gt;"Xp")*(AJ19&lt;&gt;"Xg"))+((AJ19&lt;&gt;"Xn"))=3,AJ$3&amp;", ",AJ$3&amp;IF((AJ19&lt;&gt;"Xm")*(AJ19&lt;&gt;"Xg"),"_m","")&amp;IF((AJ19&lt;&gt;"Xp")*(AJ19&lt;&gt;"Xg"),"_p","")&amp;IF((AJ19&lt;&gt;"Xn"),"_n","")&amp;", ")))</f>
        <v xml:space="preserve">CONTI A, </v>
      </c>
      <c r="BY19" s="9" t="str">
        <f>IF(0+(AK19="X")&gt;0,"",IF(0+((AK19&lt;&gt;"Xm")*(AK19&lt;&gt;"Xg"))+((AK19&lt;&gt;"Xp")*(AK19&lt;&gt;"Xg"))+((AK19&lt;&gt;"Xn"))=0,"",IF(0+((AK19&lt;&gt;"Xm")*(AK19&lt;&gt;"Xg"))+((AK19&lt;&gt;"Xp")*(AK19&lt;&gt;"Xg"))+((AK19&lt;&gt;"Xn"))=3,AK$3&amp;", ",AK$3&amp;IF((AK19&lt;&gt;"Xm")*(AK19&lt;&gt;"Xg"),"_m","")&amp;IF((AK19&lt;&gt;"Xp")*(AK19&lt;&gt;"Xg"),"_p","")&amp;IF((AK19&lt;&gt;"Xn"),"_n","")&amp;", ")))</f>
        <v xml:space="preserve">CONTI S, </v>
      </c>
      <c r="BZ19" s="9" t="str">
        <f>IF(0+(AL19="X")&gt;0,"",IF(0+((AL19&lt;&gt;"Xm")*(AL19&lt;&gt;"Xg"))+((AL19&lt;&gt;"Xp")*(AL19&lt;&gt;"Xg"))+((AL19&lt;&gt;"Xn"))=0,"",IF(0+((AL19&lt;&gt;"Xm")*(AL19&lt;&gt;"Xg"))+((AL19&lt;&gt;"Xp")*(AL19&lt;&gt;"Xg"))+((AL19&lt;&gt;"Xn"))=3,AL$3&amp;", ",AL$3&amp;IF((AL19&lt;&gt;"Xm")*(AL19&lt;&gt;"Xg"),"_m","")&amp;IF((AL19&lt;&gt;"Xp")*(AL19&lt;&gt;"Xg"),"_p","")&amp;IF((AL19&lt;&gt;"Xn"),"_n","")&amp;", ")))</f>
        <v xml:space="preserve">FERRARI, </v>
      </c>
      <c r="CA19" s="9" t="str">
        <f>IF(0+(AM19="X")&gt;0,"",IF(0+((AM19&lt;&gt;"Xm")*(AM19&lt;&gt;"Xg"))+((AM19&lt;&gt;"Xp")*(AM19&lt;&gt;"Xg"))+((AM19&lt;&gt;"Xn"))=0,"",IF(0+((AM19&lt;&gt;"Xm")*(AM19&lt;&gt;"Xg"))+((AM19&lt;&gt;"Xp")*(AM19&lt;&gt;"Xg"))+((AM19&lt;&gt;"Xn"))=3,AM$3&amp;", ",AM$3&amp;IF((AM19&lt;&gt;"Xm")*(AM19&lt;&gt;"Xg"),"_m","")&amp;IF((AM19&lt;&gt;"Xp")*(AM19&lt;&gt;"Xg"),"_p","")&amp;IF((AM19&lt;&gt;"Xn"),"_n","")&amp;", ")))</f>
        <v xml:space="preserve">GRECO, </v>
      </c>
      <c r="CB19" s="9" t="str">
        <f>IF(0+(AN19="X")&gt;0,"",IF(0+((AN19&lt;&gt;"Xm")*(AN19&lt;&gt;"Xg"))+((AN19&lt;&gt;"Xp")*(AN19&lt;&gt;"Xg"))+((AN19&lt;&gt;"Xn"))=0,"",IF(0+((AN19&lt;&gt;"Xm")*(AN19&lt;&gt;"Xg"))+((AN19&lt;&gt;"Xp")*(AN19&lt;&gt;"Xg"))+((AN19&lt;&gt;"Xn"))=3,AN$3&amp;", ",AN$3&amp;IF((AN19&lt;&gt;"Xm")*(AN19&lt;&gt;"Xg"),"_m","")&amp;IF((AN19&lt;&gt;"Xp")*(AN19&lt;&gt;"Xg"),"_p","")&amp;IF((AN19&lt;&gt;"Xn"),"_n","")&amp;", ")))</f>
        <v xml:space="preserve">SANNA, </v>
      </c>
      <c r="CC19" s="9" t="str">
        <f>IF(0+(AO19="X")&gt;0,"",IF(0+((AO19&lt;&gt;"Xm")*(AO19&lt;&gt;"Xg"))+((AO19&lt;&gt;"Xp")*(AO19&lt;&gt;"Xg"))+((AO19&lt;&gt;"Xn"))=0,"",IF(0+((AO19&lt;&gt;"Xm")*(AO19&lt;&gt;"Xg"))+((AO19&lt;&gt;"Xp")*(AO19&lt;&gt;"Xg"))+((AO19&lt;&gt;"Xn"))=3,AO$3&amp;", ",AO$3&amp;IF((AO19&lt;&gt;"Xm")*(AO19&lt;&gt;"Xg"),"_m","")&amp;IF((AO19&lt;&gt;"Xp")*(AO19&lt;&gt;"Xg"),"_p","")&amp;IF((AO19&lt;&gt;"Xn"),"_n","")&amp;", ")))</f>
        <v xml:space="preserve">LI, </v>
      </c>
      <c r="CD19" s="9" t="n"/>
      <c r="CE19" s="9" t="str">
        <f>IF(0+(AB19="X")&gt;0,"",IF(0+((AB19&lt;&gt;"Xm")*(AB19&lt;&gt;"Xg")*(COUNTIFS($C$3:$Q$3,"MAT",$C19:$Q19,AB$3)=0)*(COUNTIFS($C$3:$Q$3,"NOTTE",$C19:$Q19,AB$3)=0)*(COUNTIFS($C$3:$Q$3,"NOTTE",$C18:$Q18,AB$3)=0))+((AB19&lt;&gt;"Xp")*(AB19&lt;&gt;"Xg")*(COUNTIFS($C$3:$Q$3,"POM",$C19:$Q19,AB$3)=0)*(COUNTIFS($C$3:$Q$3,"NOTTE",$C19:$Q19,AB$3)=0)*(COUNTIFS($C$3:$Q$3,"NOTTE",$C18:$Q18,AB$3)=0))+((AB19&lt;&gt;"Xn")*(COUNTIFS($C$3:$Q$3,"MAT",$C19:$Q19,AB$3)=0)*(COUNTIFS($C$3:$Q$3,"POM",$C19:$Q19,AB$3)=0)*(COUNTIFS($C$3:$Q$3,"NOTTE",$C19:$Q19,AB$3)=0)*(COUNTIFS($C$3:$Q$3,"NOTTE",$C18:$Q18,AB$3)=0))=0,"",IF(0+((AB19&lt;&gt;"Xm")*(AB19&lt;&gt;"Xg")*(COUNTIFS($C$3:$Q$3,"MAT",$C19:$Q19,AB$3)=0)*(COUNTIFS($C$3:$Q$3,"NOTTE",$C19:$Q19,AB$3)=0)*(COUNTIFS($C$3:$Q$3,"NOTTE",$C18:$Q18,AB$3)=0))+((AB19&lt;&gt;"Xp")*(AB19&lt;&gt;"Xg")*(COUNTIFS($C$3:$Q$3,"POM",$C19:$Q19,AB$3)=0)*(COUNTIFS($C$3:$Q$3,"NOTTE",$C19:$Q19,AB$3)=0)*(COUNTIFS($C$3:$Q$3,"NOTTE",$C18:$Q18,AB$3)=0))+((AB19&lt;&gt;"Xn")*(COUNTIFS($C$3:$Q$3,"MAT",$C19:$Q19,AB$3)=0)*(COUNTIFS($C$3:$Q$3,"POM",$C19:$Q19,AB$3)=0)*(COUNTIFS($C$3:$Q$3,"NOTTE",$C19:$Q19,AB$3)=0)*(COUNTIFS($C$3:$Q$3,"NOTTE",$C18:$Q18,AB$3)=0))=3,AB$3&amp;", ",AB$3&amp;IF((AB19&lt;&gt;"Xm")*(AB19&lt;&gt;"Xg")*(COUNTIFS($C$3:$Q$3,"MAT",$C19:$Q19,AB$3)=0)*(COUNTIFS($C$3:$Q$3,"NOTTE",$C19:$Q19,AB$3)=0)*(COUNTIFS($C$3:$Q$3,"NOTTE",$C18:$Q18,AB$3)=0),"_m","")&amp;IF((AB19&lt;&gt;"Xp")*(AB19&lt;&gt;"Xg")*(COUNTIFS($C$3:$Q$3,"POM",$C19:$Q19,AB$3)=0)*(COUNTIFS($C$3:$Q$3,"NOTTE",$C19:$Q19,AB$3)=0)*(COUNTIFS($C$3:$Q$3,"NOTTE",$C18:$Q18,AB$3)=0),"_p","")&amp;IF((AB19&lt;&gt;"Xn")*(COUNTIFS($C$3:$Q$3,"MAT",$C19:$Q19,AB$3)=0)*(COUNTIFS($C$3:$Q$3,"POM",$C19:$Q19,AB$3)=0)*(COUNTIFS($C$3:$Q$3,"NOTTE",$C19:$Q19,AB$3)=0)*(COUNTIFS($C$3:$Q$3,"NOTTE",$C18:$Q18,AB$3)=0),"_n","")&amp;", ")))</f>
        <v xml:space="preserve">LEONI, </v>
      </c>
      <c r="CF19" s="9" t="str">
        <f>IF(0+(AC19="X")&gt;0,"",IF(0+((AC19&lt;&gt;"Xm")*(AC19&lt;&gt;"Xg")*(COUNTIFS($C$3:$Q$3,"MAT",$C19:$Q19,AC$3)=0)*(COUNTIFS($C$3:$Q$3,"NOTTE",$C19:$Q19,AC$3)=0)*(COUNTIFS($C$3:$Q$3,"NOTTE",$C18:$Q18,AC$3)=0))+((AC19&lt;&gt;"Xp")*(AC19&lt;&gt;"Xg")*(COUNTIFS($C$3:$Q$3,"POM",$C19:$Q19,AC$3)=0)*(COUNTIFS($C$3:$Q$3,"NOTTE",$C19:$Q19,AC$3)=0)*(COUNTIFS($C$3:$Q$3,"NOTTE",$C18:$Q18,AC$3)=0))+((AC19&lt;&gt;"Xn")*(COUNTIFS($C$3:$Q$3,"MAT",$C19:$Q19,AC$3)=0)*(COUNTIFS($C$3:$Q$3,"POM",$C19:$Q19,AC$3)=0)*(COUNTIFS($C$3:$Q$3,"NOTTE",$C19:$Q19,AC$3)=0)*(COUNTIFS($C$3:$Q$3,"NOTTE",$C18:$Q18,AC$3)=0))=0,"",IF(0+((AC19&lt;&gt;"Xm")*(AC19&lt;&gt;"Xg")*(COUNTIFS($C$3:$Q$3,"MAT",$C19:$Q19,AC$3)=0)*(COUNTIFS($C$3:$Q$3,"NOTTE",$C19:$Q19,AC$3)=0)*(COUNTIFS($C$3:$Q$3,"NOTTE",$C18:$Q18,AC$3)=0))+((AC19&lt;&gt;"Xp")*(AC19&lt;&gt;"Xg")*(COUNTIFS($C$3:$Q$3,"POM",$C19:$Q19,AC$3)=0)*(COUNTIFS($C$3:$Q$3,"NOTTE",$C19:$Q19,AC$3)=0)*(COUNTIFS($C$3:$Q$3,"NOTTE",$C18:$Q18,AC$3)=0))+((AC19&lt;&gt;"Xn")*(COUNTIFS($C$3:$Q$3,"MAT",$C19:$Q19,AC$3)=0)*(COUNTIFS($C$3:$Q$3,"POM",$C19:$Q19,AC$3)=0)*(COUNTIFS($C$3:$Q$3,"NOTTE",$C19:$Q19,AC$3)=0)*(COUNTIFS($C$3:$Q$3,"NOTTE",$C18:$Q18,AC$3)=0))=3,AC$3&amp;", ",AC$3&amp;IF((AC19&lt;&gt;"Xm")*(AC19&lt;&gt;"Xg")*(COUNTIFS($C$3:$Q$3,"MAT",$C19:$Q19,AC$3)=0)*(COUNTIFS($C$3:$Q$3,"NOTTE",$C19:$Q19,AC$3)=0)*(COUNTIFS($C$3:$Q$3,"NOTTE",$C18:$Q18,AC$3)=0),"_m","")&amp;IF((AC19&lt;&gt;"Xp")*(AC19&lt;&gt;"Xg")*(COUNTIFS($C$3:$Q$3,"POM",$C19:$Q19,AC$3)=0)*(COUNTIFS($C$3:$Q$3,"NOTTE",$C19:$Q19,AC$3)=0)*(COUNTIFS($C$3:$Q$3,"NOTTE",$C18:$Q18,AC$3)=0),"_p","")&amp;IF((AC19&lt;&gt;"Xn")*(COUNTIFS($C$3:$Q$3,"MAT",$C19:$Q19,AC$3)=0)*(COUNTIFS($C$3:$Q$3,"POM",$C19:$Q19,AC$3)=0)*(COUNTIFS($C$3:$Q$3,"NOTTE",$C19:$Q19,AC$3)=0)*(COUNTIFS($C$3:$Q$3,"NOTTE",$C18:$Q18,AC$3)=0),"_n","")&amp;", ")))</f>
        <v xml:space="preserve">ROSSI M, </v>
      </c>
      <c r="CG19" s="9" t="str">
        <f>IF(0+(AD19="X")&gt;0,"",IF(0+((AD19&lt;&gt;"Xm")*(AD19&lt;&gt;"Xg")*(COUNTIFS($C$3:$Q$3,"MAT",$C19:$Q19,AD$3)=0)*(COUNTIFS($C$3:$Q$3,"NOTTE",$C19:$Q19,AD$3)=0)*(COUNTIFS($C$3:$Q$3,"NOTTE",$C18:$Q18,AD$3)=0))+((AD19&lt;&gt;"Xp")*(AD19&lt;&gt;"Xg")*(COUNTIFS($C$3:$Q$3,"POM",$C19:$Q19,AD$3)=0)*(COUNTIFS($C$3:$Q$3,"NOTTE",$C19:$Q19,AD$3)=0)*(COUNTIFS($C$3:$Q$3,"NOTTE",$C18:$Q18,AD$3)=0))+((AD19&lt;&gt;"Xn")*(COUNTIFS($C$3:$Q$3,"MAT",$C19:$Q19,AD$3)=0)*(COUNTIFS($C$3:$Q$3,"POM",$C19:$Q19,AD$3)=0)*(COUNTIFS($C$3:$Q$3,"NOTTE",$C19:$Q19,AD$3)=0)*(COUNTIFS($C$3:$Q$3,"NOTTE",$C18:$Q18,AD$3)=0))=0,"",IF(0+((AD19&lt;&gt;"Xm")*(AD19&lt;&gt;"Xg")*(COUNTIFS($C$3:$Q$3,"MAT",$C19:$Q19,AD$3)=0)*(COUNTIFS($C$3:$Q$3,"NOTTE",$C19:$Q19,AD$3)=0)*(COUNTIFS($C$3:$Q$3,"NOTTE",$C18:$Q18,AD$3)=0))+((AD19&lt;&gt;"Xp")*(AD19&lt;&gt;"Xg")*(COUNTIFS($C$3:$Q$3,"POM",$C19:$Q19,AD$3)=0)*(COUNTIFS($C$3:$Q$3,"NOTTE",$C19:$Q19,AD$3)=0)*(COUNTIFS($C$3:$Q$3,"NOTTE",$C18:$Q18,AD$3)=0))+((AD19&lt;&gt;"Xn")*(COUNTIFS($C$3:$Q$3,"MAT",$C19:$Q19,AD$3)=0)*(COUNTIFS($C$3:$Q$3,"POM",$C19:$Q19,AD$3)=0)*(COUNTIFS($C$3:$Q$3,"NOTTE",$C19:$Q19,AD$3)=0)*(COUNTIFS($C$3:$Q$3,"NOTTE",$C18:$Q18,AD$3)=0))=3,AD$3&amp;", ",AD$3&amp;IF((AD19&lt;&gt;"Xm")*(AD19&lt;&gt;"Xg")*(COUNTIFS($C$3:$Q$3,"MAT",$C19:$Q19,AD$3)=0)*(COUNTIFS($C$3:$Q$3,"NOTTE",$C19:$Q19,AD$3)=0)*(COUNTIFS($C$3:$Q$3,"NOTTE",$C18:$Q18,AD$3)=0),"_m","")&amp;IF((AD19&lt;&gt;"Xp")*(AD19&lt;&gt;"Xg")*(COUNTIFS($C$3:$Q$3,"POM",$C19:$Q19,AD$3)=0)*(COUNTIFS($C$3:$Q$3,"NOTTE",$C19:$Q19,AD$3)=0)*(COUNTIFS($C$3:$Q$3,"NOTTE",$C18:$Q18,AD$3)=0),"_p","")&amp;IF((AD19&lt;&gt;"Xn")*(COUNTIFS($C$3:$Q$3,"MAT",$C19:$Q19,AD$3)=0)*(COUNTIFS($C$3:$Q$3,"POM",$C19:$Q19,AD$3)=0)*(COUNTIFS($C$3:$Q$3,"NOTTE",$C19:$Q19,AD$3)=0)*(COUNTIFS($C$3:$Q$3,"NOTTE",$C18:$Q18,AD$3)=0),"_n","")&amp;", ")))</f>
        <v xml:space="preserve">ROSSI L, </v>
      </c>
      <c r="CH19" s="9" t="str">
        <f>IF(0+(AE19="X")&gt;0,"",IF(0+((AE19&lt;&gt;"Xm")*(AE19&lt;&gt;"Xg")*(COUNTIFS($C$3:$Q$3,"MAT",$C19:$Q19,AE$3)=0)*(COUNTIFS($C$3:$Q$3,"NOTTE",$C19:$Q19,AE$3)=0)*(COUNTIFS($C$3:$Q$3,"NOTTE",$C18:$Q18,AE$3)=0))+((AE19&lt;&gt;"Xp")*(AE19&lt;&gt;"Xg")*(COUNTIFS($C$3:$Q$3,"POM",$C19:$Q19,AE$3)=0)*(COUNTIFS($C$3:$Q$3,"NOTTE",$C19:$Q19,AE$3)=0)*(COUNTIFS($C$3:$Q$3,"NOTTE",$C18:$Q18,AE$3)=0))+((AE19&lt;&gt;"Xn")*(COUNTIFS($C$3:$Q$3,"MAT",$C19:$Q19,AE$3)=0)*(COUNTIFS($C$3:$Q$3,"POM",$C19:$Q19,AE$3)=0)*(COUNTIFS($C$3:$Q$3,"NOTTE",$C19:$Q19,AE$3)=0)*(COUNTIFS($C$3:$Q$3,"NOTTE",$C18:$Q18,AE$3)=0))=0,"",IF(0+((AE19&lt;&gt;"Xm")*(AE19&lt;&gt;"Xg")*(COUNTIFS($C$3:$Q$3,"MAT",$C19:$Q19,AE$3)=0)*(COUNTIFS($C$3:$Q$3,"NOTTE",$C19:$Q19,AE$3)=0)*(COUNTIFS($C$3:$Q$3,"NOTTE",$C18:$Q18,AE$3)=0))+((AE19&lt;&gt;"Xp")*(AE19&lt;&gt;"Xg")*(COUNTIFS($C$3:$Q$3,"POM",$C19:$Q19,AE$3)=0)*(COUNTIFS($C$3:$Q$3,"NOTTE",$C19:$Q19,AE$3)=0)*(COUNTIFS($C$3:$Q$3,"NOTTE",$C18:$Q18,AE$3)=0))+((AE19&lt;&gt;"Xn")*(COUNTIFS($C$3:$Q$3,"MAT",$C19:$Q19,AE$3)=0)*(COUNTIFS($C$3:$Q$3,"POM",$C19:$Q19,AE$3)=0)*(COUNTIFS($C$3:$Q$3,"NOTTE",$C19:$Q19,AE$3)=0)*(COUNTIFS($C$3:$Q$3,"NOTTE",$C18:$Q18,AE$3)=0))=3,AE$3&amp;", ",AE$3&amp;IF((AE19&lt;&gt;"Xm")*(AE19&lt;&gt;"Xg")*(COUNTIFS($C$3:$Q$3,"MAT",$C19:$Q19,AE$3)=0)*(COUNTIFS($C$3:$Q$3,"NOTTE",$C19:$Q19,AE$3)=0)*(COUNTIFS($C$3:$Q$3,"NOTTE",$C18:$Q18,AE$3)=0),"_m","")&amp;IF((AE19&lt;&gt;"Xp")*(AE19&lt;&gt;"Xg")*(COUNTIFS($C$3:$Q$3,"POM",$C19:$Q19,AE$3)=0)*(COUNTIFS($C$3:$Q$3,"NOTTE",$C19:$Q19,AE$3)=0)*(COUNTIFS($C$3:$Q$3,"NOTTE",$C18:$Q18,AE$3)=0),"_p","")&amp;IF((AE19&lt;&gt;"Xn")*(COUNTIFS($C$3:$Q$3,"MAT",$C19:$Q19,AE$3)=0)*(COUNTIFS($C$3:$Q$3,"POM",$C19:$Q19,AE$3)=0)*(COUNTIFS($C$3:$Q$3,"NOTTE",$C19:$Q19,AE$3)=0)*(COUNTIFS($C$3:$Q$3,"NOTTE",$C18:$Q18,AE$3)=0),"_n","")&amp;", ")))</f>
        <v xml:space="preserve">GALLINA, </v>
      </c>
      <c r="CI19" s="9" t="str">
        <f>IF(0+(AF19="X")&gt;0,"",IF(0+((AF19&lt;&gt;"Xm")*(AF19&lt;&gt;"Xg")*(COUNTIFS($C$3:$Q$3,"MAT",$C19:$Q19,AF$3)=0)*(COUNTIFS($C$3:$Q$3,"NOTTE",$C19:$Q19,AF$3)=0)*(COUNTIFS($C$3:$Q$3,"NOTTE",$C18:$Q18,AF$3)=0))+((AF19&lt;&gt;"Xp")*(AF19&lt;&gt;"Xg")*(COUNTIFS($C$3:$Q$3,"POM",$C19:$Q19,AF$3)=0)*(COUNTIFS($C$3:$Q$3,"NOTTE",$C19:$Q19,AF$3)=0)*(COUNTIFS($C$3:$Q$3,"NOTTE",$C18:$Q18,AF$3)=0))+((AF19&lt;&gt;"Xn")*(COUNTIFS($C$3:$Q$3,"MAT",$C19:$Q19,AF$3)=0)*(COUNTIFS($C$3:$Q$3,"POM",$C19:$Q19,AF$3)=0)*(COUNTIFS($C$3:$Q$3,"NOTTE",$C19:$Q19,AF$3)=0)*(COUNTIFS($C$3:$Q$3,"NOTTE",$C18:$Q18,AF$3)=0))=0,"",IF(0+((AF19&lt;&gt;"Xm")*(AF19&lt;&gt;"Xg")*(COUNTIFS($C$3:$Q$3,"MAT",$C19:$Q19,AF$3)=0)*(COUNTIFS($C$3:$Q$3,"NOTTE",$C19:$Q19,AF$3)=0)*(COUNTIFS($C$3:$Q$3,"NOTTE",$C18:$Q18,AF$3)=0))+((AF19&lt;&gt;"Xp")*(AF19&lt;&gt;"Xg")*(COUNTIFS($C$3:$Q$3,"POM",$C19:$Q19,AF$3)=0)*(COUNTIFS($C$3:$Q$3,"NOTTE",$C19:$Q19,AF$3)=0)*(COUNTIFS($C$3:$Q$3,"NOTTE",$C18:$Q18,AF$3)=0))+((AF19&lt;&gt;"Xn")*(COUNTIFS($C$3:$Q$3,"MAT",$C19:$Q19,AF$3)=0)*(COUNTIFS($C$3:$Q$3,"POM",$C19:$Q19,AF$3)=0)*(COUNTIFS($C$3:$Q$3,"NOTTE",$C19:$Q19,AF$3)=0)*(COUNTIFS($C$3:$Q$3,"NOTTE",$C18:$Q18,AF$3)=0))=3,AF$3&amp;", ",AF$3&amp;IF((AF19&lt;&gt;"Xm")*(AF19&lt;&gt;"Xg")*(COUNTIFS($C$3:$Q$3,"MAT",$C19:$Q19,AF$3)=0)*(COUNTIFS($C$3:$Q$3,"NOTTE",$C19:$Q19,AF$3)=0)*(COUNTIFS($C$3:$Q$3,"NOTTE",$C18:$Q18,AF$3)=0),"_m","")&amp;IF((AF19&lt;&gt;"Xp")*(AF19&lt;&gt;"Xg")*(COUNTIFS($C$3:$Q$3,"POM",$C19:$Q19,AF$3)=0)*(COUNTIFS($C$3:$Q$3,"NOTTE",$C19:$Q19,AF$3)=0)*(COUNTIFS($C$3:$Q$3,"NOTTE",$C18:$Q18,AF$3)=0),"_p","")&amp;IF((AF19&lt;&gt;"Xn")*(COUNTIFS($C$3:$Q$3,"MAT",$C19:$Q19,AF$3)=0)*(COUNTIFS($C$3:$Q$3,"POM",$C19:$Q19,AF$3)=0)*(COUNTIFS($C$3:$Q$3,"NOTTE",$C19:$Q19,AF$3)=0)*(COUNTIFS($C$3:$Q$3,"NOTTE",$C18:$Q18,AF$3)=0),"_n","")&amp;", ")))</f>
        <v xml:space="preserve">RUSSO, </v>
      </c>
      <c r="CJ19" s="9" t="str">
        <f>IF(0+(AG19="X")&gt;0,"",IF(0+((AG19&lt;&gt;"Xm")*(AG19&lt;&gt;"Xg")*(COUNTIFS($C$3:$Q$3,"MAT",$C19:$Q19,AG$3)=0)*(COUNTIFS($C$3:$Q$3,"NOTTE",$C19:$Q19,AG$3)=0)*(COUNTIFS($C$3:$Q$3,"NOTTE",$C18:$Q18,AG$3)=0))+((AG19&lt;&gt;"Xp")*(AG19&lt;&gt;"Xg")*(COUNTIFS($C$3:$Q$3,"POM",$C19:$Q19,AG$3)=0)*(COUNTIFS($C$3:$Q$3,"NOTTE",$C19:$Q19,AG$3)=0)*(COUNTIFS($C$3:$Q$3,"NOTTE",$C18:$Q18,AG$3)=0))+((AG19&lt;&gt;"Xn")*(COUNTIFS($C$3:$Q$3,"MAT",$C19:$Q19,AG$3)=0)*(COUNTIFS($C$3:$Q$3,"POM",$C19:$Q19,AG$3)=0)*(COUNTIFS($C$3:$Q$3,"NOTTE",$C19:$Q19,AG$3)=0)*(COUNTIFS($C$3:$Q$3,"NOTTE",$C18:$Q18,AG$3)=0))=0,"",IF(0+((AG19&lt;&gt;"Xm")*(AG19&lt;&gt;"Xg")*(COUNTIFS($C$3:$Q$3,"MAT",$C19:$Q19,AG$3)=0)*(COUNTIFS($C$3:$Q$3,"NOTTE",$C19:$Q19,AG$3)=0)*(COUNTIFS($C$3:$Q$3,"NOTTE",$C18:$Q18,AG$3)=0))+((AG19&lt;&gt;"Xp")*(AG19&lt;&gt;"Xg")*(COUNTIFS($C$3:$Q$3,"POM",$C19:$Q19,AG$3)=0)*(COUNTIFS($C$3:$Q$3,"NOTTE",$C19:$Q19,AG$3)=0)*(COUNTIFS($C$3:$Q$3,"NOTTE",$C18:$Q18,AG$3)=0))+((AG19&lt;&gt;"Xn")*(COUNTIFS($C$3:$Q$3,"MAT",$C19:$Q19,AG$3)=0)*(COUNTIFS($C$3:$Q$3,"POM",$C19:$Q19,AG$3)=0)*(COUNTIFS($C$3:$Q$3,"NOTTE",$C19:$Q19,AG$3)=0)*(COUNTIFS($C$3:$Q$3,"NOTTE",$C18:$Q18,AG$3)=0))=3,AG$3&amp;", ",AG$3&amp;IF((AG19&lt;&gt;"Xm")*(AG19&lt;&gt;"Xg")*(COUNTIFS($C$3:$Q$3,"MAT",$C19:$Q19,AG$3)=0)*(COUNTIFS($C$3:$Q$3,"NOTTE",$C19:$Q19,AG$3)=0)*(COUNTIFS($C$3:$Q$3,"NOTTE",$C18:$Q18,AG$3)=0),"_m","")&amp;IF((AG19&lt;&gt;"Xp")*(AG19&lt;&gt;"Xg")*(COUNTIFS($C$3:$Q$3,"POM",$C19:$Q19,AG$3)=0)*(COUNTIFS($C$3:$Q$3,"NOTTE",$C19:$Q19,AG$3)=0)*(COUNTIFS($C$3:$Q$3,"NOTTE",$C18:$Q18,AG$3)=0),"_p","")&amp;IF((AG19&lt;&gt;"Xn")*(COUNTIFS($C$3:$Q$3,"MAT",$C19:$Q19,AG$3)=0)*(COUNTIFS($C$3:$Q$3,"POM",$C19:$Q19,AG$3)=0)*(COUNTIFS($C$3:$Q$3,"NOTTE",$C19:$Q19,AG$3)=0)*(COUNTIFS($C$3:$Q$3,"NOTTE",$C18:$Q18,AG$3)=0),"_n","")&amp;", ")))</f>
        <v xml:space="preserve">VERDI, </v>
      </c>
      <c r="CK19" s="9" t="str">
        <f>IF(0+(AH19="X")&gt;0,"",IF(0+((AH19&lt;&gt;"Xm")*(AH19&lt;&gt;"Xg")*(COUNTIFS($C$3:$Q$3,"MAT",$C19:$Q19,AH$3)=0)*(COUNTIFS($C$3:$Q$3,"NOTTE",$C19:$Q19,AH$3)=0)*(COUNTIFS($C$3:$Q$3,"NOTTE",$C18:$Q18,AH$3)=0))+((AH19&lt;&gt;"Xp")*(AH19&lt;&gt;"Xg")*(COUNTIFS($C$3:$Q$3,"POM",$C19:$Q19,AH$3)=0)*(COUNTIFS($C$3:$Q$3,"NOTTE",$C19:$Q19,AH$3)=0)*(COUNTIFS($C$3:$Q$3,"NOTTE",$C18:$Q18,AH$3)=0))+((AH19&lt;&gt;"Xn")*(COUNTIFS($C$3:$Q$3,"MAT",$C19:$Q19,AH$3)=0)*(COUNTIFS($C$3:$Q$3,"POM",$C19:$Q19,AH$3)=0)*(COUNTIFS($C$3:$Q$3,"NOTTE",$C19:$Q19,AH$3)=0)*(COUNTIFS($C$3:$Q$3,"NOTTE",$C18:$Q18,AH$3)=0))=0,"",IF(0+((AH19&lt;&gt;"Xm")*(AH19&lt;&gt;"Xg")*(COUNTIFS($C$3:$Q$3,"MAT",$C19:$Q19,AH$3)=0)*(COUNTIFS($C$3:$Q$3,"NOTTE",$C19:$Q19,AH$3)=0)*(COUNTIFS($C$3:$Q$3,"NOTTE",$C18:$Q18,AH$3)=0))+((AH19&lt;&gt;"Xp")*(AH19&lt;&gt;"Xg")*(COUNTIFS($C$3:$Q$3,"POM",$C19:$Q19,AH$3)=0)*(COUNTIFS($C$3:$Q$3,"NOTTE",$C19:$Q19,AH$3)=0)*(COUNTIFS($C$3:$Q$3,"NOTTE",$C18:$Q18,AH$3)=0))+((AH19&lt;&gt;"Xn")*(COUNTIFS($C$3:$Q$3,"MAT",$C19:$Q19,AH$3)=0)*(COUNTIFS($C$3:$Q$3,"POM",$C19:$Q19,AH$3)=0)*(COUNTIFS($C$3:$Q$3,"NOTTE",$C19:$Q19,AH$3)=0)*(COUNTIFS($C$3:$Q$3,"NOTTE",$C18:$Q18,AH$3)=0))=3,AH$3&amp;", ",AH$3&amp;IF((AH19&lt;&gt;"Xm")*(AH19&lt;&gt;"Xg")*(COUNTIFS($C$3:$Q$3,"MAT",$C19:$Q19,AH$3)=0)*(COUNTIFS($C$3:$Q$3,"NOTTE",$C19:$Q19,AH$3)=0)*(COUNTIFS($C$3:$Q$3,"NOTTE",$C18:$Q18,AH$3)=0),"_m","")&amp;IF((AH19&lt;&gt;"Xp")*(AH19&lt;&gt;"Xg")*(COUNTIFS($C$3:$Q$3,"POM",$C19:$Q19,AH$3)=0)*(COUNTIFS($C$3:$Q$3,"NOTTE",$C19:$Q19,AH$3)=0)*(COUNTIFS($C$3:$Q$3,"NOTTE",$C18:$Q18,AH$3)=0),"_p","")&amp;IF((AH19&lt;&gt;"Xn")*(COUNTIFS($C$3:$Q$3,"MAT",$C19:$Q19,AH$3)=0)*(COUNTIFS($C$3:$Q$3,"POM",$C19:$Q19,AH$3)=0)*(COUNTIFS($C$3:$Q$3,"NOTTE",$C19:$Q19,AH$3)=0)*(COUNTIFS($C$3:$Q$3,"NOTTE",$C18:$Q18,AH$3)=0),"_n","")&amp;", ")))</f>
        <v xml:space="preserve">HU, </v>
      </c>
      <c r="CL19" s="9" t="str">
        <f>IF(0+(AI19="X")&gt;0,"",IF(0+((AI19&lt;&gt;"Xm")*(AI19&lt;&gt;"Xg")*(COUNTIFS($C$3:$Q$3,"MAT",$C19:$Q19,AI$3)=0)*(COUNTIFS($C$3:$Q$3,"NOTTE",$C19:$Q19,AI$3)=0)*(COUNTIFS($C$3:$Q$3,"NOTTE",$C18:$Q18,AI$3)=0))+((AI19&lt;&gt;"Xp")*(AI19&lt;&gt;"Xg")*(COUNTIFS($C$3:$Q$3,"POM",$C19:$Q19,AI$3)=0)*(COUNTIFS($C$3:$Q$3,"NOTTE",$C19:$Q19,AI$3)=0)*(COUNTIFS($C$3:$Q$3,"NOTTE",$C18:$Q18,AI$3)=0))+((AI19&lt;&gt;"Xn")*(COUNTIFS($C$3:$Q$3,"MAT",$C19:$Q19,AI$3)=0)*(COUNTIFS($C$3:$Q$3,"POM",$C19:$Q19,AI$3)=0)*(COUNTIFS($C$3:$Q$3,"NOTTE",$C19:$Q19,AI$3)=0)*(COUNTIFS($C$3:$Q$3,"NOTTE",$C18:$Q18,AI$3)=0))=0,"",IF(0+((AI19&lt;&gt;"Xm")*(AI19&lt;&gt;"Xg")*(COUNTIFS($C$3:$Q$3,"MAT",$C19:$Q19,AI$3)=0)*(COUNTIFS($C$3:$Q$3,"NOTTE",$C19:$Q19,AI$3)=0)*(COUNTIFS($C$3:$Q$3,"NOTTE",$C18:$Q18,AI$3)=0))+((AI19&lt;&gt;"Xp")*(AI19&lt;&gt;"Xg")*(COUNTIFS($C$3:$Q$3,"POM",$C19:$Q19,AI$3)=0)*(COUNTIFS($C$3:$Q$3,"NOTTE",$C19:$Q19,AI$3)=0)*(COUNTIFS($C$3:$Q$3,"NOTTE",$C18:$Q18,AI$3)=0))+((AI19&lt;&gt;"Xn")*(COUNTIFS($C$3:$Q$3,"MAT",$C19:$Q19,AI$3)=0)*(COUNTIFS($C$3:$Q$3,"POM",$C19:$Q19,AI$3)=0)*(COUNTIFS($C$3:$Q$3,"NOTTE",$C19:$Q19,AI$3)=0)*(COUNTIFS($C$3:$Q$3,"NOTTE",$C18:$Q18,AI$3)=0))=3,AI$3&amp;", ",AI$3&amp;IF((AI19&lt;&gt;"Xm")*(AI19&lt;&gt;"Xg")*(COUNTIFS($C$3:$Q$3,"MAT",$C19:$Q19,AI$3)=0)*(COUNTIFS($C$3:$Q$3,"NOTTE",$C19:$Q19,AI$3)=0)*(COUNTIFS($C$3:$Q$3,"NOTTE",$C18:$Q18,AI$3)=0),"_m","")&amp;IF((AI19&lt;&gt;"Xp")*(AI19&lt;&gt;"Xg")*(COUNTIFS($C$3:$Q$3,"POM",$C19:$Q19,AI$3)=0)*(COUNTIFS($C$3:$Q$3,"NOTTE",$C19:$Q19,AI$3)=0)*(COUNTIFS($C$3:$Q$3,"NOTTE",$C18:$Q18,AI$3)=0),"_p","")&amp;IF((AI19&lt;&gt;"Xn")*(COUNTIFS($C$3:$Q$3,"MAT",$C19:$Q19,AI$3)=0)*(COUNTIFS($C$3:$Q$3,"POM",$C19:$Q19,AI$3)=0)*(COUNTIFS($C$3:$Q$3,"NOTTE",$C19:$Q19,AI$3)=0)*(COUNTIFS($C$3:$Q$3,"NOTTE",$C18:$Q18,AI$3)=0),"_n","")&amp;", ")))</f>
        <v xml:space="preserve">MARINI, </v>
      </c>
      <c r="CM19" s="9" t="str">
        <f>IF(0+(AJ19="X")&gt;0,"",IF(0+((AJ19&lt;&gt;"Xm")*(AJ19&lt;&gt;"Xg")*(COUNTIFS($C$3:$Q$3,"MAT",$C19:$Q19,AJ$3)=0)*(COUNTIFS($C$3:$Q$3,"NOTTE",$C19:$Q19,AJ$3)=0)*(COUNTIFS($C$3:$Q$3,"NOTTE",$C18:$Q18,AJ$3)=0))+((AJ19&lt;&gt;"Xp")*(AJ19&lt;&gt;"Xg")*(COUNTIFS($C$3:$Q$3,"POM",$C19:$Q19,AJ$3)=0)*(COUNTIFS($C$3:$Q$3,"NOTTE",$C19:$Q19,AJ$3)=0)*(COUNTIFS($C$3:$Q$3,"NOTTE",$C18:$Q18,AJ$3)=0))+((AJ19&lt;&gt;"Xn")*(COUNTIFS($C$3:$Q$3,"MAT",$C19:$Q19,AJ$3)=0)*(COUNTIFS($C$3:$Q$3,"POM",$C19:$Q19,AJ$3)=0)*(COUNTIFS($C$3:$Q$3,"NOTTE",$C19:$Q19,AJ$3)=0)*(COUNTIFS($C$3:$Q$3,"NOTTE",$C18:$Q18,AJ$3)=0))=0,"",IF(0+((AJ19&lt;&gt;"Xm")*(AJ19&lt;&gt;"Xg")*(COUNTIFS($C$3:$Q$3,"MAT",$C19:$Q19,AJ$3)=0)*(COUNTIFS($C$3:$Q$3,"NOTTE",$C19:$Q19,AJ$3)=0)*(COUNTIFS($C$3:$Q$3,"NOTTE",$C18:$Q18,AJ$3)=0))+((AJ19&lt;&gt;"Xp")*(AJ19&lt;&gt;"Xg")*(COUNTIFS($C$3:$Q$3,"POM",$C19:$Q19,AJ$3)=0)*(COUNTIFS($C$3:$Q$3,"NOTTE",$C19:$Q19,AJ$3)=0)*(COUNTIFS($C$3:$Q$3,"NOTTE",$C18:$Q18,AJ$3)=0))+((AJ19&lt;&gt;"Xn")*(COUNTIFS($C$3:$Q$3,"MAT",$C19:$Q19,AJ$3)=0)*(COUNTIFS($C$3:$Q$3,"POM",$C19:$Q19,AJ$3)=0)*(COUNTIFS($C$3:$Q$3,"NOTTE",$C19:$Q19,AJ$3)=0)*(COUNTIFS($C$3:$Q$3,"NOTTE",$C18:$Q18,AJ$3)=0))=3,AJ$3&amp;", ",AJ$3&amp;IF((AJ19&lt;&gt;"Xm")*(AJ19&lt;&gt;"Xg")*(COUNTIFS($C$3:$Q$3,"MAT",$C19:$Q19,AJ$3)=0)*(COUNTIFS($C$3:$Q$3,"NOTTE",$C19:$Q19,AJ$3)=0)*(COUNTIFS($C$3:$Q$3,"NOTTE",$C18:$Q18,AJ$3)=0),"_m","")&amp;IF((AJ19&lt;&gt;"Xp")*(AJ19&lt;&gt;"Xg")*(COUNTIFS($C$3:$Q$3,"POM",$C19:$Q19,AJ$3)=0)*(COUNTIFS($C$3:$Q$3,"NOTTE",$C19:$Q19,AJ$3)=0)*(COUNTIFS($C$3:$Q$3,"NOTTE",$C18:$Q18,AJ$3)=0),"_p","")&amp;IF((AJ19&lt;&gt;"Xn")*(COUNTIFS($C$3:$Q$3,"MAT",$C19:$Q19,AJ$3)=0)*(COUNTIFS($C$3:$Q$3,"POM",$C19:$Q19,AJ$3)=0)*(COUNTIFS($C$3:$Q$3,"NOTTE",$C19:$Q19,AJ$3)=0)*(COUNTIFS($C$3:$Q$3,"NOTTE",$C18:$Q18,AJ$3)=0),"_n","")&amp;", ")))</f>
        <v xml:space="preserve">CONTI A, </v>
      </c>
      <c r="CN19" s="9" t="str">
        <f>IF(0+(AK19="X")&gt;0,"",IF(0+((AK19&lt;&gt;"Xm")*(AK19&lt;&gt;"Xg")*(COUNTIFS($C$3:$Q$3,"MAT",$C19:$Q19,AK$3)=0)*(COUNTIFS($C$3:$Q$3,"NOTTE",$C19:$Q19,AK$3)=0)*(COUNTIFS($C$3:$Q$3,"NOTTE",$C18:$Q18,AK$3)=0))+((AK19&lt;&gt;"Xp")*(AK19&lt;&gt;"Xg")*(COUNTIFS($C$3:$Q$3,"POM",$C19:$Q19,AK$3)=0)*(COUNTIFS($C$3:$Q$3,"NOTTE",$C19:$Q19,AK$3)=0)*(COUNTIFS($C$3:$Q$3,"NOTTE",$C18:$Q18,AK$3)=0))+((AK19&lt;&gt;"Xn")*(COUNTIFS($C$3:$Q$3,"MAT",$C19:$Q19,AK$3)=0)*(COUNTIFS($C$3:$Q$3,"POM",$C19:$Q19,AK$3)=0)*(COUNTIFS($C$3:$Q$3,"NOTTE",$C19:$Q19,AK$3)=0)*(COUNTIFS($C$3:$Q$3,"NOTTE",$C18:$Q18,AK$3)=0))=0,"",IF(0+((AK19&lt;&gt;"Xm")*(AK19&lt;&gt;"Xg")*(COUNTIFS($C$3:$Q$3,"MAT",$C19:$Q19,AK$3)=0)*(COUNTIFS($C$3:$Q$3,"NOTTE",$C19:$Q19,AK$3)=0)*(COUNTIFS($C$3:$Q$3,"NOTTE",$C18:$Q18,AK$3)=0))+((AK19&lt;&gt;"Xp")*(AK19&lt;&gt;"Xg")*(COUNTIFS($C$3:$Q$3,"POM",$C19:$Q19,AK$3)=0)*(COUNTIFS($C$3:$Q$3,"NOTTE",$C19:$Q19,AK$3)=0)*(COUNTIFS($C$3:$Q$3,"NOTTE",$C18:$Q18,AK$3)=0))+((AK19&lt;&gt;"Xn")*(COUNTIFS($C$3:$Q$3,"MAT",$C19:$Q19,AK$3)=0)*(COUNTIFS($C$3:$Q$3,"POM",$C19:$Q19,AK$3)=0)*(COUNTIFS($C$3:$Q$3,"NOTTE",$C19:$Q19,AK$3)=0)*(COUNTIFS($C$3:$Q$3,"NOTTE",$C18:$Q18,AK$3)=0))=3,AK$3&amp;", ",AK$3&amp;IF((AK19&lt;&gt;"Xm")*(AK19&lt;&gt;"Xg")*(COUNTIFS($C$3:$Q$3,"MAT",$C19:$Q19,AK$3)=0)*(COUNTIFS($C$3:$Q$3,"NOTTE",$C19:$Q19,AK$3)=0)*(COUNTIFS($C$3:$Q$3,"NOTTE",$C18:$Q18,AK$3)=0),"_m","")&amp;IF((AK19&lt;&gt;"Xp")*(AK19&lt;&gt;"Xg")*(COUNTIFS($C$3:$Q$3,"POM",$C19:$Q19,AK$3)=0)*(COUNTIFS($C$3:$Q$3,"NOTTE",$C19:$Q19,AK$3)=0)*(COUNTIFS($C$3:$Q$3,"NOTTE",$C18:$Q18,AK$3)=0),"_p","")&amp;IF((AK19&lt;&gt;"Xn")*(COUNTIFS($C$3:$Q$3,"MAT",$C19:$Q19,AK$3)=0)*(COUNTIFS($C$3:$Q$3,"POM",$C19:$Q19,AK$3)=0)*(COUNTIFS($C$3:$Q$3,"NOTTE",$C19:$Q19,AK$3)=0)*(COUNTIFS($C$3:$Q$3,"NOTTE",$C18:$Q18,AK$3)=0),"_n","")&amp;", ")))</f>
        <v xml:space="preserve">CONTI S, </v>
      </c>
      <c r="CO19" s="9" t="str">
        <f>IF(0+(AL19="X")&gt;0,"",IF(0+((AL19&lt;&gt;"Xm")*(AL19&lt;&gt;"Xg")*(COUNTIFS($C$3:$Q$3,"MAT",$C19:$Q19,AL$3)=0)*(COUNTIFS($C$3:$Q$3,"NOTTE",$C19:$Q19,AL$3)=0)*(COUNTIFS($C$3:$Q$3,"NOTTE",$C18:$Q18,AL$3)=0))+((AL19&lt;&gt;"Xp")*(AL19&lt;&gt;"Xg")*(COUNTIFS($C$3:$Q$3,"POM",$C19:$Q19,AL$3)=0)*(COUNTIFS($C$3:$Q$3,"NOTTE",$C19:$Q19,AL$3)=0)*(COUNTIFS($C$3:$Q$3,"NOTTE",$C18:$Q18,AL$3)=0))+((AL19&lt;&gt;"Xn")*(COUNTIFS($C$3:$Q$3,"MAT",$C19:$Q19,AL$3)=0)*(COUNTIFS($C$3:$Q$3,"POM",$C19:$Q19,AL$3)=0)*(COUNTIFS($C$3:$Q$3,"NOTTE",$C19:$Q19,AL$3)=0)*(COUNTIFS($C$3:$Q$3,"NOTTE",$C18:$Q18,AL$3)=0))=0,"",IF(0+((AL19&lt;&gt;"Xm")*(AL19&lt;&gt;"Xg")*(COUNTIFS($C$3:$Q$3,"MAT",$C19:$Q19,AL$3)=0)*(COUNTIFS($C$3:$Q$3,"NOTTE",$C19:$Q19,AL$3)=0)*(COUNTIFS($C$3:$Q$3,"NOTTE",$C18:$Q18,AL$3)=0))+((AL19&lt;&gt;"Xp")*(AL19&lt;&gt;"Xg")*(COUNTIFS($C$3:$Q$3,"POM",$C19:$Q19,AL$3)=0)*(COUNTIFS($C$3:$Q$3,"NOTTE",$C19:$Q19,AL$3)=0)*(COUNTIFS($C$3:$Q$3,"NOTTE",$C18:$Q18,AL$3)=0))+((AL19&lt;&gt;"Xn")*(COUNTIFS($C$3:$Q$3,"MAT",$C19:$Q19,AL$3)=0)*(COUNTIFS($C$3:$Q$3,"POM",$C19:$Q19,AL$3)=0)*(COUNTIFS($C$3:$Q$3,"NOTTE",$C19:$Q19,AL$3)=0)*(COUNTIFS($C$3:$Q$3,"NOTTE",$C18:$Q18,AL$3)=0))=3,AL$3&amp;", ",AL$3&amp;IF((AL19&lt;&gt;"Xm")*(AL19&lt;&gt;"Xg")*(COUNTIFS($C$3:$Q$3,"MAT",$C19:$Q19,AL$3)=0)*(COUNTIFS($C$3:$Q$3,"NOTTE",$C19:$Q19,AL$3)=0)*(COUNTIFS($C$3:$Q$3,"NOTTE",$C18:$Q18,AL$3)=0),"_m","")&amp;IF((AL19&lt;&gt;"Xp")*(AL19&lt;&gt;"Xg")*(COUNTIFS($C$3:$Q$3,"POM",$C19:$Q19,AL$3)=0)*(COUNTIFS($C$3:$Q$3,"NOTTE",$C19:$Q19,AL$3)=0)*(COUNTIFS($C$3:$Q$3,"NOTTE",$C18:$Q18,AL$3)=0),"_p","")&amp;IF((AL19&lt;&gt;"Xn")*(COUNTIFS($C$3:$Q$3,"MAT",$C19:$Q19,AL$3)=0)*(COUNTIFS($C$3:$Q$3,"POM",$C19:$Q19,AL$3)=0)*(COUNTIFS($C$3:$Q$3,"NOTTE",$C19:$Q19,AL$3)=0)*(COUNTIFS($C$3:$Q$3,"NOTTE",$C18:$Q18,AL$3)=0),"_n","")&amp;", ")))</f>
        <v xml:space="preserve">FERRARI, </v>
      </c>
      <c r="CP19" s="9" t="str">
        <f>IF(0+(AM19="X")&gt;0,"",IF(0+((AM19&lt;&gt;"Xm")*(AM19&lt;&gt;"Xg")*(COUNTIFS($C$3:$Q$3,"MAT",$C19:$Q19,AM$3)=0)*(COUNTIFS($C$3:$Q$3,"NOTTE",$C19:$Q19,AM$3)=0)*(COUNTIFS($C$3:$Q$3,"NOTTE",$C18:$Q18,AM$3)=0))+((AM19&lt;&gt;"Xp")*(AM19&lt;&gt;"Xg")*(COUNTIFS($C$3:$Q$3,"POM",$C19:$Q19,AM$3)=0)*(COUNTIFS($C$3:$Q$3,"NOTTE",$C19:$Q19,AM$3)=0)*(COUNTIFS($C$3:$Q$3,"NOTTE",$C18:$Q18,AM$3)=0))+((AM19&lt;&gt;"Xn")*(COUNTIFS($C$3:$Q$3,"MAT",$C19:$Q19,AM$3)=0)*(COUNTIFS($C$3:$Q$3,"POM",$C19:$Q19,AM$3)=0)*(COUNTIFS($C$3:$Q$3,"NOTTE",$C19:$Q19,AM$3)=0)*(COUNTIFS($C$3:$Q$3,"NOTTE",$C18:$Q18,AM$3)=0))=0,"",IF(0+((AM19&lt;&gt;"Xm")*(AM19&lt;&gt;"Xg")*(COUNTIFS($C$3:$Q$3,"MAT",$C19:$Q19,AM$3)=0)*(COUNTIFS($C$3:$Q$3,"NOTTE",$C19:$Q19,AM$3)=0)*(COUNTIFS($C$3:$Q$3,"NOTTE",$C18:$Q18,AM$3)=0))+((AM19&lt;&gt;"Xp")*(AM19&lt;&gt;"Xg")*(COUNTIFS($C$3:$Q$3,"POM",$C19:$Q19,AM$3)=0)*(COUNTIFS($C$3:$Q$3,"NOTTE",$C19:$Q19,AM$3)=0)*(COUNTIFS($C$3:$Q$3,"NOTTE",$C18:$Q18,AM$3)=0))+((AM19&lt;&gt;"Xn")*(COUNTIFS($C$3:$Q$3,"MAT",$C19:$Q19,AM$3)=0)*(COUNTIFS($C$3:$Q$3,"POM",$C19:$Q19,AM$3)=0)*(COUNTIFS($C$3:$Q$3,"NOTTE",$C19:$Q19,AM$3)=0)*(COUNTIFS($C$3:$Q$3,"NOTTE",$C18:$Q18,AM$3)=0))=3,AM$3&amp;", ",AM$3&amp;IF((AM19&lt;&gt;"Xm")*(AM19&lt;&gt;"Xg")*(COUNTIFS($C$3:$Q$3,"MAT",$C19:$Q19,AM$3)=0)*(COUNTIFS($C$3:$Q$3,"NOTTE",$C19:$Q19,AM$3)=0)*(COUNTIFS($C$3:$Q$3,"NOTTE",$C18:$Q18,AM$3)=0),"_m","")&amp;IF((AM19&lt;&gt;"Xp")*(AM19&lt;&gt;"Xg")*(COUNTIFS($C$3:$Q$3,"POM",$C19:$Q19,AM$3)=0)*(COUNTIFS($C$3:$Q$3,"NOTTE",$C19:$Q19,AM$3)=0)*(COUNTIFS($C$3:$Q$3,"NOTTE",$C18:$Q18,AM$3)=0),"_p","")&amp;IF((AM19&lt;&gt;"Xn")*(COUNTIFS($C$3:$Q$3,"MAT",$C19:$Q19,AM$3)=0)*(COUNTIFS($C$3:$Q$3,"POM",$C19:$Q19,AM$3)=0)*(COUNTIFS($C$3:$Q$3,"NOTTE",$C19:$Q19,AM$3)=0)*(COUNTIFS($C$3:$Q$3,"NOTTE",$C18:$Q18,AM$3)=0),"_n","")&amp;", ")))</f>
        <v xml:space="preserve">GRECO, </v>
      </c>
      <c r="CQ19" s="9" t="str">
        <f>IF(0+(AN19="X")&gt;0,"",IF(0+((AN19&lt;&gt;"Xm")*(AN19&lt;&gt;"Xg")*(COUNTIFS($C$3:$Q$3,"MAT",$C19:$Q19,AN$3)=0)*(COUNTIFS($C$3:$Q$3,"NOTTE",$C19:$Q19,AN$3)=0)*(COUNTIFS($C$3:$Q$3,"NOTTE",$C18:$Q18,AN$3)=0))+((AN19&lt;&gt;"Xp")*(AN19&lt;&gt;"Xg")*(COUNTIFS($C$3:$Q$3,"POM",$C19:$Q19,AN$3)=0)*(COUNTIFS($C$3:$Q$3,"NOTTE",$C19:$Q19,AN$3)=0)*(COUNTIFS($C$3:$Q$3,"NOTTE",$C18:$Q18,AN$3)=0))+((AN19&lt;&gt;"Xn")*(COUNTIFS($C$3:$Q$3,"MAT",$C19:$Q19,AN$3)=0)*(COUNTIFS($C$3:$Q$3,"POM",$C19:$Q19,AN$3)=0)*(COUNTIFS($C$3:$Q$3,"NOTTE",$C19:$Q19,AN$3)=0)*(COUNTIFS($C$3:$Q$3,"NOTTE",$C18:$Q18,AN$3)=0))=0,"",IF(0+((AN19&lt;&gt;"Xm")*(AN19&lt;&gt;"Xg")*(COUNTIFS($C$3:$Q$3,"MAT",$C19:$Q19,AN$3)=0)*(COUNTIFS($C$3:$Q$3,"NOTTE",$C19:$Q19,AN$3)=0)*(COUNTIFS($C$3:$Q$3,"NOTTE",$C18:$Q18,AN$3)=0))+((AN19&lt;&gt;"Xp")*(AN19&lt;&gt;"Xg")*(COUNTIFS($C$3:$Q$3,"POM",$C19:$Q19,AN$3)=0)*(COUNTIFS($C$3:$Q$3,"NOTTE",$C19:$Q19,AN$3)=0)*(COUNTIFS($C$3:$Q$3,"NOTTE",$C18:$Q18,AN$3)=0))+((AN19&lt;&gt;"Xn")*(COUNTIFS($C$3:$Q$3,"MAT",$C19:$Q19,AN$3)=0)*(COUNTIFS($C$3:$Q$3,"POM",$C19:$Q19,AN$3)=0)*(COUNTIFS($C$3:$Q$3,"NOTTE",$C19:$Q19,AN$3)=0)*(COUNTIFS($C$3:$Q$3,"NOTTE",$C18:$Q18,AN$3)=0))=3,AN$3&amp;", ",AN$3&amp;IF((AN19&lt;&gt;"Xm")*(AN19&lt;&gt;"Xg")*(COUNTIFS($C$3:$Q$3,"MAT",$C19:$Q19,AN$3)=0)*(COUNTIFS($C$3:$Q$3,"NOTTE",$C19:$Q19,AN$3)=0)*(COUNTIFS($C$3:$Q$3,"NOTTE",$C18:$Q18,AN$3)=0),"_m","")&amp;IF((AN19&lt;&gt;"Xp")*(AN19&lt;&gt;"Xg")*(COUNTIFS($C$3:$Q$3,"POM",$C19:$Q19,AN$3)=0)*(COUNTIFS($C$3:$Q$3,"NOTTE",$C19:$Q19,AN$3)=0)*(COUNTIFS($C$3:$Q$3,"NOTTE",$C18:$Q18,AN$3)=0),"_p","")&amp;IF((AN19&lt;&gt;"Xn")*(COUNTIFS($C$3:$Q$3,"MAT",$C19:$Q19,AN$3)=0)*(COUNTIFS($C$3:$Q$3,"POM",$C19:$Q19,AN$3)=0)*(COUNTIFS($C$3:$Q$3,"NOTTE",$C19:$Q19,AN$3)=0)*(COUNTIFS($C$3:$Q$3,"NOTTE",$C18:$Q18,AN$3)=0),"_n","")&amp;", ")))</f>
        <v xml:space="preserve">SANNA, </v>
      </c>
      <c r="CR19" s="9" t="str">
        <f>IF(0+(AO19="X")&gt;0,"",IF(0+((AO19&lt;&gt;"Xm")*(AO19&lt;&gt;"Xg")*(COUNTIFS($C$3:$Q$3,"MAT",$C19:$Q19,AO$3)=0)*(COUNTIFS($C$3:$Q$3,"NOTTE",$C19:$Q19,AO$3)=0)*(COUNTIFS($C$3:$Q$3,"NOTTE",$C18:$Q18,AO$3)=0))+((AO19&lt;&gt;"Xp")*(AO19&lt;&gt;"Xg")*(COUNTIFS($C$3:$Q$3,"POM",$C19:$Q19,AO$3)=0)*(COUNTIFS($C$3:$Q$3,"NOTTE",$C19:$Q19,AO$3)=0)*(COUNTIFS($C$3:$Q$3,"NOTTE",$C18:$Q18,AO$3)=0))+((AO19&lt;&gt;"Xn")*(COUNTIFS($C$3:$Q$3,"MAT",$C19:$Q19,AO$3)=0)*(COUNTIFS($C$3:$Q$3,"POM",$C19:$Q19,AO$3)=0)*(COUNTIFS($C$3:$Q$3,"NOTTE",$C19:$Q19,AO$3)=0)*(COUNTIFS($C$3:$Q$3,"NOTTE",$C18:$Q18,AO$3)=0))=0,"",IF(0+((AO19&lt;&gt;"Xm")*(AO19&lt;&gt;"Xg")*(COUNTIFS($C$3:$Q$3,"MAT",$C19:$Q19,AO$3)=0)*(COUNTIFS($C$3:$Q$3,"NOTTE",$C19:$Q19,AO$3)=0)*(COUNTIFS($C$3:$Q$3,"NOTTE",$C18:$Q18,AO$3)=0))+((AO19&lt;&gt;"Xp")*(AO19&lt;&gt;"Xg")*(COUNTIFS($C$3:$Q$3,"POM",$C19:$Q19,AO$3)=0)*(COUNTIFS($C$3:$Q$3,"NOTTE",$C19:$Q19,AO$3)=0)*(COUNTIFS($C$3:$Q$3,"NOTTE",$C18:$Q18,AO$3)=0))+((AO19&lt;&gt;"Xn")*(COUNTIFS($C$3:$Q$3,"MAT",$C19:$Q19,AO$3)=0)*(COUNTIFS($C$3:$Q$3,"POM",$C19:$Q19,AO$3)=0)*(COUNTIFS($C$3:$Q$3,"NOTTE",$C19:$Q19,AO$3)=0)*(COUNTIFS($C$3:$Q$3,"NOTTE",$C18:$Q18,AO$3)=0))=3,AO$3&amp;", ",AO$3&amp;IF((AO19&lt;&gt;"Xm")*(AO19&lt;&gt;"Xg")*(COUNTIFS($C$3:$Q$3,"MAT",$C19:$Q19,AO$3)=0)*(COUNTIFS($C$3:$Q$3,"NOTTE",$C19:$Q19,AO$3)=0)*(COUNTIFS($C$3:$Q$3,"NOTTE",$C18:$Q18,AO$3)=0),"_m","")&amp;IF((AO19&lt;&gt;"Xp")*(AO19&lt;&gt;"Xg")*(COUNTIFS($C$3:$Q$3,"POM",$C19:$Q19,AO$3)=0)*(COUNTIFS($C$3:$Q$3,"NOTTE",$C19:$Q19,AO$3)=0)*(COUNTIFS($C$3:$Q$3,"NOTTE",$C18:$Q18,AO$3)=0),"_p","")&amp;IF((AO19&lt;&gt;"Xn")*(COUNTIFS($C$3:$Q$3,"MAT",$C19:$Q19,AO$3)=0)*(COUNTIFS($C$3:$Q$3,"POM",$C19:$Q19,AO$3)=0)*(COUNTIFS($C$3:$Q$3,"NOTTE",$C19:$Q19,AO$3)=0)*(COUNTIFS($C$3:$Q$3,"NOTTE",$C18:$Q18,AO$3)=0),"_n","")&amp;", ")))</f>
        <v xml:space="preserve">LI, </v>
      </c>
    </row>
    <row r="20">
      <c r="A20" s="10" t="str">
        <f>CHOOSE(WEEKDAY(DATE($B$1,$A$2,B20),2),"lunedì","martedì","mercoledì","giovedì","venerdì","sabato","domenica")</f>
        <v>martedì</v>
      </c>
      <c r="B20" s="10" t="n">
        <v>17</v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4" t="n"/>
      <c r="Q20" s="11" t="n"/>
      <c r="R20" s="11" t="n"/>
      <c r="S20" s="11">
        <f>IF(SUMPRODUCT(($C$3:$Q$3&lt;&gt;"")*($C20:$Q20&lt;&gt;"")*(LEFT($C20:$Q20,6)&lt;&gt;"chiuso")*(COUNTIFS($C20:$Q20,$C20:$Q20,$C$3:$Q$3,$C$3:$Q$3)&gt;1))&gt;0,"X","")</f>
      </c>
      <c r="T20" s="11" t="str">
        <f>IF(LEN(BP20&amp;BQ20&amp;BR20&amp;BS20&amp;BT20&amp;BU20&amp;BV20&amp;BW20&amp;BX20&amp;BY20&amp;BZ20&amp;CA20&amp;CB20&amp;CC20)=0,"",LEFT(BP20&amp;BQ20&amp;BR20&amp;BS20&amp;BT20&amp;BU20&amp;BV20&amp;BW20&amp;BX20&amp;BY20&amp;BZ20&amp;CA20&amp;CB20&amp;CC20,LEN(BP20&amp;BQ20&amp;BR20&amp;BS20&amp;BT20&amp;BU20&amp;BV20&amp;BW20&amp;BX20&amp;BY20&amp;BZ20&amp;CA20&amp;CB20&amp;CC20)-2))</f>
        <v>LEONI, ROSSI M, ROSSI L, GALLINA, RUSSO, VERDI, HU, MARINI, CONTI A, CONTI S, FERRARI, GRECO, SANNA, LI</v>
      </c>
      <c r="U20" s="11" t="str">
        <f>IF(LEN(CE20&amp;CF20&amp;CG20&amp;CH20&amp;CI20&amp;CJ20&amp;CK20&amp;CL20&amp;CM20&amp;CN20&amp;CO20&amp;CP20&amp;CQ20&amp;CR20)=0,"",LEFT(CE20&amp;CF20&amp;CG20&amp;CH20&amp;CI20&amp;CJ20&amp;CK20&amp;CL20&amp;CM20&amp;CN20&amp;CO20&amp;CP20&amp;CQ20&amp;CR20,LEN(CE20&amp;CF20&amp;CG20&amp;CH20&amp;CI20&amp;CJ20&amp;CK20&amp;CL20&amp;CM20&amp;CN20&amp;CO20&amp;CP20&amp;CQ20&amp;CR20)-2))</f>
        <v>LEONI, ROSSI M, ROSSI L, GALLINA, RUSSO, VERDI, HU, MARINI, CONTI A, CONTI S, FERRARI, GRECO, SANNA, LI</v>
      </c>
      <c r="Z20" s="10" t="str">
        <f>A20</f>
        <v>martedì</v>
      </c>
      <c r="AA20" s="10">
        <f>B20</f>
        <v>17</v>
      </c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BE20" s="12" t="inlineStr">
        <is>
          <t>Incollare qui SOLO VALORI (incolla speciale &gt; valori) il blocco TURNI MESE CORRENTE del file del mese precedente</t>
        </is>
      </c>
      <c r="BP20" s="9" t="str">
        <f>IF(0+(AB20="X")&gt;0,"",IF(0+((AB20&lt;&gt;"Xm")*(AB20&lt;&gt;"Xg"))+((AB20&lt;&gt;"Xp")*(AB20&lt;&gt;"Xg"))+((AB20&lt;&gt;"Xn"))=0,"",IF(0+((AB20&lt;&gt;"Xm")*(AB20&lt;&gt;"Xg"))+((AB20&lt;&gt;"Xp")*(AB20&lt;&gt;"Xg"))+((AB20&lt;&gt;"Xn"))=3,AB$3&amp;", ",AB$3&amp;IF((AB20&lt;&gt;"Xm")*(AB20&lt;&gt;"Xg"),"_m","")&amp;IF((AB20&lt;&gt;"Xp")*(AB20&lt;&gt;"Xg"),"_p","")&amp;IF((AB20&lt;&gt;"Xn"),"_n","")&amp;", ")))</f>
        <v xml:space="preserve">LEONI, </v>
      </c>
      <c r="BQ20" s="9" t="str">
        <f>IF(0+(AC20="X")&gt;0,"",IF(0+((AC20&lt;&gt;"Xm")*(AC20&lt;&gt;"Xg"))+((AC20&lt;&gt;"Xp")*(AC20&lt;&gt;"Xg"))+((AC20&lt;&gt;"Xn"))=0,"",IF(0+((AC20&lt;&gt;"Xm")*(AC20&lt;&gt;"Xg"))+((AC20&lt;&gt;"Xp")*(AC20&lt;&gt;"Xg"))+((AC20&lt;&gt;"Xn"))=3,AC$3&amp;", ",AC$3&amp;IF((AC20&lt;&gt;"Xm")*(AC20&lt;&gt;"Xg"),"_m","")&amp;IF((AC20&lt;&gt;"Xp")*(AC20&lt;&gt;"Xg"),"_p","")&amp;IF((AC20&lt;&gt;"Xn"),"_n","")&amp;", ")))</f>
        <v xml:space="preserve">ROSSI M, </v>
      </c>
      <c r="BR20" s="9" t="str">
        <f>IF(0+(AD20="X")&gt;0,"",IF(0+((AD20&lt;&gt;"Xm")*(AD20&lt;&gt;"Xg"))+((AD20&lt;&gt;"Xp")*(AD20&lt;&gt;"Xg"))+((AD20&lt;&gt;"Xn"))=0,"",IF(0+((AD20&lt;&gt;"Xm")*(AD20&lt;&gt;"Xg"))+((AD20&lt;&gt;"Xp")*(AD20&lt;&gt;"Xg"))+((AD20&lt;&gt;"Xn"))=3,AD$3&amp;", ",AD$3&amp;IF((AD20&lt;&gt;"Xm")*(AD20&lt;&gt;"Xg"),"_m","")&amp;IF((AD20&lt;&gt;"Xp")*(AD20&lt;&gt;"Xg"),"_p","")&amp;IF((AD20&lt;&gt;"Xn"),"_n","")&amp;", ")))</f>
        <v xml:space="preserve">ROSSI L, </v>
      </c>
      <c r="BS20" s="9" t="str">
        <f>IF(0+(AE20="X")&gt;0,"",IF(0+((AE20&lt;&gt;"Xm")*(AE20&lt;&gt;"Xg"))+((AE20&lt;&gt;"Xp")*(AE20&lt;&gt;"Xg"))+((AE20&lt;&gt;"Xn"))=0,"",IF(0+((AE20&lt;&gt;"Xm")*(AE20&lt;&gt;"Xg"))+((AE20&lt;&gt;"Xp")*(AE20&lt;&gt;"Xg"))+((AE20&lt;&gt;"Xn"))=3,AE$3&amp;", ",AE$3&amp;IF((AE20&lt;&gt;"Xm")*(AE20&lt;&gt;"Xg"),"_m","")&amp;IF((AE20&lt;&gt;"Xp")*(AE20&lt;&gt;"Xg"),"_p","")&amp;IF((AE20&lt;&gt;"Xn"),"_n","")&amp;", ")))</f>
        <v xml:space="preserve">GALLINA, </v>
      </c>
      <c r="BT20" s="9" t="str">
        <f>IF(0+(AF20="X")&gt;0,"",IF(0+((AF20&lt;&gt;"Xm")*(AF20&lt;&gt;"Xg"))+((AF20&lt;&gt;"Xp")*(AF20&lt;&gt;"Xg"))+((AF20&lt;&gt;"Xn"))=0,"",IF(0+((AF20&lt;&gt;"Xm")*(AF20&lt;&gt;"Xg"))+((AF20&lt;&gt;"Xp")*(AF20&lt;&gt;"Xg"))+((AF20&lt;&gt;"Xn"))=3,AF$3&amp;", ",AF$3&amp;IF((AF20&lt;&gt;"Xm")*(AF20&lt;&gt;"Xg"),"_m","")&amp;IF((AF20&lt;&gt;"Xp")*(AF20&lt;&gt;"Xg"),"_p","")&amp;IF((AF20&lt;&gt;"Xn"),"_n","")&amp;", ")))</f>
        <v xml:space="preserve">RUSSO, </v>
      </c>
      <c r="BU20" s="9" t="str">
        <f>IF(0+(AG20="X")&gt;0,"",IF(0+((AG20&lt;&gt;"Xm")*(AG20&lt;&gt;"Xg"))+((AG20&lt;&gt;"Xp")*(AG20&lt;&gt;"Xg"))+((AG20&lt;&gt;"Xn"))=0,"",IF(0+((AG20&lt;&gt;"Xm")*(AG20&lt;&gt;"Xg"))+((AG20&lt;&gt;"Xp")*(AG20&lt;&gt;"Xg"))+((AG20&lt;&gt;"Xn"))=3,AG$3&amp;", ",AG$3&amp;IF((AG20&lt;&gt;"Xm")*(AG20&lt;&gt;"Xg"),"_m","")&amp;IF((AG20&lt;&gt;"Xp")*(AG20&lt;&gt;"Xg"),"_p","")&amp;IF((AG20&lt;&gt;"Xn"),"_n","")&amp;", ")))</f>
        <v xml:space="preserve">VERDI, </v>
      </c>
      <c r="BV20" s="9" t="str">
        <f>IF(0+(AH20="X")&gt;0,"",IF(0+((AH20&lt;&gt;"Xm")*(AH20&lt;&gt;"Xg"))+((AH20&lt;&gt;"Xp")*(AH20&lt;&gt;"Xg"))+((AH20&lt;&gt;"Xn"))=0,"",IF(0+((AH20&lt;&gt;"Xm")*(AH20&lt;&gt;"Xg"))+((AH20&lt;&gt;"Xp")*(AH20&lt;&gt;"Xg"))+((AH20&lt;&gt;"Xn"))=3,AH$3&amp;", ",AH$3&amp;IF((AH20&lt;&gt;"Xm")*(AH20&lt;&gt;"Xg"),"_m","")&amp;IF((AH20&lt;&gt;"Xp")*(AH20&lt;&gt;"Xg"),"_p","")&amp;IF((AH20&lt;&gt;"Xn"),"_n","")&amp;", ")))</f>
        <v xml:space="preserve">HU, </v>
      </c>
      <c r="BW20" s="9" t="str">
        <f>IF(0+(AI20="X")&gt;0,"",IF(0+((AI20&lt;&gt;"Xm")*(AI20&lt;&gt;"Xg"))+((AI20&lt;&gt;"Xp")*(AI20&lt;&gt;"Xg"))+((AI20&lt;&gt;"Xn"))=0,"",IF(0+((AI20&lt;&gt;"Xm")*(AI20&lt;&gt;"Xg"))+((AI20&lt;&gt;"Xp")*(AI20&lt;&gt;"Xg"))+((AI20&lt;&gt;"Xn"))=3,AI$3&amp;", ",AI$3&amp;IF((AI20&lt;&gt;"Xm")*(AI20&lt;&gt;"Xg"),"_m","")&amp;IF((AI20&lt;&gt;"Xp")*(AI20&lt;&gt;"Xg"),"_p","")&amp;IF((AI20&lt;&gt;"Xn"),"_n","")&amp;", ")))</f>
        <v xml:space="preserve">MARINI, </v>
      </c>
      <c r="BX20" s="9" t="str">
        <f>IF(0+(AJ20="X")&gt;0,"",IF(0+((AJ20&lt;&gt;"Xm")*(AJ20&lt;&gt;"Xg"))+((AJ20&lt;&gt;"Xp")*(AJ20&lt;&gt;"Xg"))+((AJ20&lt;&gt;"Xn"))=0,"",IF(0+((AJ20&lt;&gt;"Xm")*(AJ20&lt;&gt;"Xg"))+((AJ20&lt;&gt;"Xp")*(AJ20&lt;&gt;"Xg"))+((AJ20&lt;&gt;"Xn"))=3,AJ$3&amp;", ",AJ$3&amp;IF((AJ20&lt;&gt;"Xm")*(AJ20&lt;&gt;"Xg"),"_m","")&amp;IF((AJ20&lt;&gt;"Xp")*(AJ20&lt;&gt;"Xg"),"_p","")&amp;IF((AJ20&lt;&gt;"Xn"),"_n","")&amp;", ")))</f>
        <v xml:space="preserve">CONTI A, </v>
      </c>
      <c r="BY20" s="9" t="str">
        <f>IF(0+(AK20="X")&gt;0,"",IF(0+((AK20&lt;&gt;"Xm")*(AK20&lt;&gt;"Xg"))+((AK20&lt;&gt;"Xp")*(AK20&lt;&gt;"Xg"))+((AK20&lt;&gt;"Xn"))=0,"",IF(0+((AK20&lt;&gt;"Xm")*(AK20&lt;&gt;"Xg"))+((AK20&lt;&gt;"Xp")*(AK20&lt;&gt;"Xg"))+((AK20&lt;&gt;"Xn"))=3,AK$3&amp;", ",AK$3&amp;IF((AK20&lt;&gt;"Xm")*(AK20&lt;&gt;"Xg"),"_m","")&amp;IF((AK20&lt;&gt;"Xp")*(AK20&lt;&gt;"Xg"),"_p","")&amp;IF((AK20&lt;&gt;"Xn"),"_n","")&amp;", ")))</f>
        <v xml:space="preserve">CONTI S, </v>
      </c>
      <c r="BZ20" s="9" t="str">
        <f>IF(0+(AL20="X")&gt;0,"",IF(0+((AL20&lt;&gt;"Xm")*(AL20&lt;&gt;"Xg"))+((AL20&lt;&gt;"Xp")*(AL20&lt;&gt;"Xg"))+((AL20&lt;&gt;"Xn"))=0,"",IF(0+((AL20&lt;&gt;"Xm")*(AL20&lt;&gt;"Xg"))+((AL20&lt;&gt;"Xp")*(AL20&lt;&gt;"Xg"))+((AL20&lt;&gt;"Xn"))=3,AL$3&amp;", ",AL$3&amp;IF((AL20&lt;&gt;"Xm")*(AL20&lt;&gt;"Xg"),"_m","")&amp;IF((AL20&lt;&gt;"Xp")*(AL20&lt;&gt;"Xg"),"_p","")&amp;IF((AL20&lt;&gt;"Xn"),"_n","")&amp;", ")))</f>
        <v xml:space="preserve">FERRARI, </v>
      </c>
      <c r="CA20" s="9" t="str">
        <f>IF(0+(AM20="X")&gt;0,"",IF(0+((AM20&lt;&gt;"Xm")*(AM20&lt;&gt;"Xg"))+((AM20&lt;&gt;"Xp")*(AM20&lt;&gt;"Xg"))+((AM20&lt;&gt;"Xn"))=0,"",IF(0+((AM20&lt;&gt;"Xm")*(AM20&lt;&gt;"Xg"))+((AM20&lt;&gt;"Xp")*(AM20&lt;&gt;"Xg"))+((AM20&lt;&gt;"Xn"))=3,AM$3&amp;", ",AM$3&amp;IF((AM20&lt;&gt;"Xm")*(AM20&lt;&gt;"Xg"),"_m","")&amp;IF((AM20&lt;&gt;"Xp")*(AM20&lt;&gt;"Xg"),"_p","")&amp;IF((AM20&lt;&gt;"Xn"),"_n","")&amp;", ")))</f>
        <v xml:space="preserve">GRECO, </v>
      </c>
      <c r="CB20" s="9" t="str">
        <f>IF(0+(AN20="X")&gt;0,"",IF(0+((AN20&lt;&gt;"Xm")*(AN20&lt;&gt;"Xg"))+((AN20&lt;&gt;"Xp")*(AN20&lt;&gt;"Xg"))+((AN20&lt;&gt;"Xn"))=0,"",IF(0+((AN20&lt;&gt;"Xm")*(AN20&lt;&gt;"Xg"))+((AN20&lt;&gt;"Xp")*(AN20&lt;&gt;"Xg"))+((AN20&lt;&gt;"Xn"))=3,AN$3&amp;", ",AN$3&amp;IF((AN20&lt;&gt;"Xm")*(AN20&lt;&gt;"Xg"),"_m","")&amp;IF((AN20&lt;&gt;"Xp")*(AN20&lt;&gt;"Xg"),"_p","")&amp;IF((AN20&lt;&gt;"Xn"),"_n","")&amp;", ")))</f>
        <v xml:space="preserve">SANNA, </v>
      </c>
      <c r="CC20" s="9" t="str">
        <f>IF(0+(AO20="X")&gt;0,"",IF(0+((AO20&lt;&gt;"Xm")*(AO20&lt;&gt;"Xg"))+((AO20&lt;&gt;"Xp")*(AO20&lt;&gt;"Xg"))+((AO20&lt;&gt;"Xn"))=0,"",IF(0+((AO20&lt;&gt;"Xm")*(AO20&lt;&gt;"Xg"))+((AO20&lt;&gt;"Xp")*(AO20&lt;&gt;"Xg"))+((AO20&lt;&gt;"Xn"))=3,AO$3&amp;", ",AO$3&amp;IF((AO20&lt;&gt;"Xm")*(AO20&lt;&gt;"Xg"),"_m","")&amp;IF((AO20&lt;&gt;"Xp")*(AO20&lt;&gt;"Xg"),"_p","")&amp;IF((AO20&lt;&gt;"Xn"),"_n","")&amp;", ")))</f>
        <v xml:space="preserve">LI, </v>
      </c>
      <c r="CD20" s="9" t="n"/>
      <c r="CE20" s="9" t="str">
        <f>IF(0+(AB20="X")&gt;0,"",IF(0+((AB20&lt;&gt;"Xm")*(AB20&lt;&gt;"Xg")*(COUNTIFS($C$3:$Q$3,"MAT",$C20:$Q20,AB$3)=0)*(COUNTIFS($C$3:$Q$3,"NOTTE",$C20:$Q20,AB$3)=0)*(COUNTIFS($C$3:$Q$3,"NOTTE",$C19:$Q19,AB$3)=0))+((AB20&lt;&gt;"Xp")*(AB20&lt;&gt;"Xg")*(COUNTIFS($C$3:$Q$3,"POM",$C20:$Q20,AB$3)=0)*(COUNTIFS($C$3:$Q$3,"NOTTE",$C20:$Q20,AB$3)=0)*(COUNTIFS($C$3:$Q$3,"NOTTE",$C19:$Q19,AB$3)=0))+((AB20&lt;&gt;"Xn")*(COUNTIFS($C$3:$Q$3,"MAT",$C20:$Q20,AB$3)=0)*(COUNTIFS($C$3:$Q$3,"POM",$C20:$Q20,AB$3)=0)*(COUNTIFS($C$3:$Q$3,"NOTTE",$C20:$Q20,AB$3)=0)*(COUNTIFS($C$3:$Q$3,"NOTTE",$C19:$Q19,AB$3)=0))=0,"",IF(0+((AB20&lt;&gt;"Xm")*(AB20&lt;&gt;"Xg")*(COUNTIFS($C$3:$Q$3,"MAT",$C20:$Q20,AB$3)=0)*(COUNTIFS($C$3:$Q$3,"NOTTE",$C20:$Q20,AB$3)=0)*(COUNTIFS($C$3:$Q$3,"NOTTE",$C19:$Q19,AB$3)=0))+((AB20&lt;&gt;"Xp")*(AB20&lt;&gt;"Xg")*(COUNTIFS($C$3:$Q$3,"POM",$C20:$Q20,AB$3)=0)*(COUNTIFS($C$3:$Q$3,"NOTTE",$C20:$Q20,AB$3)=0)*(COUNTIFS($C$3:$Q$3,"NOTTE",$C19:$Q19,AB$3)=0))+((AB20&lt;&gt;"Xn")*(COUNTIFS($C$3:$Q$3,"MAT",$C20:$Q20,AB$3)=0)*(COUNTIFS($C$3:$Q$3,"POM",$C20:$Q20,AB$3)=0)*(COUNTIFS($C$3:$Q$3,"NOTTE",$C20:$Q20,AB$3)=0)*(COUNTIFS($C$3:$Q$3,"NOTTE",$C19:$Q19,AB$3)=0))=3,AB$3&amp;", ",AB$3&amp;IF((AB20&lt;&gt;"Xm")*(AB20&lt;&gt;"Xg")*(COUNTIFS($C$3:$Q$3,"MAT",$C20:$Q20,AB$3)=0)*(COUNTIFS($C$3:$Q$3,"NOTTE",$C20:$Q20,AB$3)=0)*(COUNTIFS($C$3:$Q$3,"NOTTE",$C19:$Q19,AB$3)=0),"_m","")&amp;IF((AB20&lt;&gt;"Xp")*(AB20&lt;&gt;"Xg")*(COUNTIFS($C$3:$Q$3,"POM",$C20:$Q20,AB$3)=0)*(COUNTIFS($C$3:$Q$3,"NOTTE",$C20:$Q20,AB$3)=0)*(COUNTIFS($C$3:$Q$3,"NOTTE",$C19:$Q19,AB$3)=0),"_p","")&amp;IF((AB20&lt;&gt;"Xn")*(COUNTIFS($C$3:$Q$3,"MAT",$C20:$Q20,AB$3)=0)*(COUNTIFS($C$3:$Q$3,"POM",$C20:$Q20,AB$3)=0)*(COUNTIFS($C$3:$Q$3,"NOTTE",$C20:$Q20,AB$3)=0)*(COUNTIFS($C$3:$Q$3,"NOTTE",$C19:$Q19,AB$3)=0),"_n","")&amp;", ")))</f>
        <v xml:space="preserve">LEONI, </v>
      </c>
      <c r="CF20" s="9" t="str">
        <f>IF(0+(AC20="X")&gt;0,"",IF(0+((AC20&lt;&gt;"Xm")*(AC20&lt;&gt;"Xg")*(COUNTIFS($C$3:$Q$3,"MAT",$C20:$Q20,AC$3)=0)*(COUNTIFS($C$3:$Q$3,"NOTTE",$C20:$Q20,AC$3)=0)*(COUNTIFS($C$3:$Q$3,"NOTTE",$C19:$Q19,AC$3)=0))+((AC20&lt;&gt;"Xp")*(AC20&lt;&gt;"Xg")*(COUNTIFS($C$3:$Q$3,"POM",$C20:$Q20,AC$3)=0)*(COUNTIFS($C$3:$Q$3,"NOTTE",$C20:$Q20,AC$3)=0)*(COUNTIFS($C$3:$Q$3,"NOTTE",$C19:$Q19,AC$3)=0))+((AC20&lt;&gt;"Xn")*(COUNTIFS($C$3:$Q$3,"MAT",$C20:$Q20,AC$3)=0)*(COUNTIFS($C$3:$Q$3,"POM",$C20:$Q20,AC$3)=0)*(COUNTIFS($C$3:$Q$3,"NOTTE",$C20:$Q20,AC$3)=0)*(COUNTIFS($C$3:$Q$3,"NOTTE",$C19:$Q19,AC$3)=0))=0,"",IF(0+((AC20&lt;&gt;"Xm")*(AC20&lt;&gt;"Xg")*(COUNTIFS($C$3:$Q$3,"MAT",$C20:$Q20,AC$3)=0)*(COUNTIFS($C$3:$Q$3,"NOTTE",$C20:$Q20,AC$3)=0)*(COUNTIFS($C$3:$Q$3,"NOTTE",$C19:$Q19,AC$3)=0))+((AC20&lt;&gt;"Xp")*(AC20&lt;&gt;"Xg")*(COUNTIFS($C$3:$Q$3,"POM",$C20:$Q20,AC$3)=0)*(COUNTIFS($C$3:$Q$3,"NOTTE",$C20:$Q20,AC$3)=0)*(COUNTIFS($C$3:$Q$3,"NOTTE",$C19:$Q19,AC$3)=0))+((AC20&lt;&gt;"Xn")*(COUNTIFS($C$3:$Q$3,"MAT",$C20:$Q20,AC$3)=0)*(COUNTIFS($C$3:$Q$3,"POM",$C20:$Q20,AC$3)=0)*(COUNTIFS($C$3:$Q$3,"NOTTE",$C20:$Q20,AC$3)=0)*(COUNTIFS($C$3:$Q$3,"NOTTE",$C19:$Q19,AC$3)=0))=3,AC$3&amp;", ",AC$3&amp;IF((AC20&lt;&gt;"Xm")*(AC20&lt;&gt;"Xg")*(COUNTIFS($C$3:$Q$3,"MAT",$C20:$Q20,AC$3)=0)*(COUNTIFS($C$3:$Q$3,"NOTTE",$C20:$Q20,AC$3)=0)*(COUNTIFS($C$3:$Q$3,"NOTTE",$C19:$Q19,AC$3)=0),"_m","")&amp;IF((AC20&lt;&gt;"Xp")*(AC20&lt;&gt;"Xg")*(COUNTIFS($C$3:$Q$3,"POM",$C20:$Q20,AC$3)=0)*(COUNTIFS($C$3:$Q$3,"NOTTE",$C20:$Q20,AC$3)=0)*(COUNTIFS($C$3:$Q$3,"NOTTE",$C19:$Q19,AC$3)=0),"_p","")&amp;IF((AC20&lt;&gt;"Xn")*(COUNTIFS($C$3:$Q$3,"MAT",$C20:$Q20,AC$3)=0)*(COUNTIFS($C$3:$Q$3,"POM",$C20:$Q20,AC$3)=0)*(COUNTIFS($C$3:$Q$3,"NOTTE",$C20:$Q20,AC$3)=0)*(COUNTIFS($C$3:$Q$3,"NOTTE",$C19:$Q19,AC$3)=0),"_n","")&amp;", ")))</f>
        <v xml:space="preserve">ROSSI M, </v>
      </c>
      <c r="CG20" s="9" t="str">
        <f>IF(0+(AD20="X")&gt;0,"",IF(0+((AD20&lt;&gt;"Xm")*(AD20&lt;&gt;"Xg")*(COUNTIFS($C$3:$Q$3,"MAT",$C20:$Q20,AD$3)=0)*(COUNTIFS($C$3:$Q$3,"NOTTE",$C20:$Q20,AD$3)=0)*(COUNTIFS($C$3:$Q$3,"NOTTE",$C19:$Q19,AD$3)=0))+((AD20&lt;&gt;"Xp")*(AD20&lt;&gt;"Xg")*(COUNTIFS($C$3:$Q$3,"POM",$C20:$Q20,AD$3)=0)*(COUNTIFS($C$3:$Q$3,"NOTTE",$C20:$Q20,AD$3)=0)*(COUNTIFS($C$3:$Q$3,"NOTTE",$C19:$Q19,AD$3)=0))+((AD20&lt;&gt;"Xn")*(COUNTIFS($C$3:$Q$3,"MAT",$C20:$Q20,AD$3)=0)*(COUNTIFS($C$3:$Q$3,"POM",$C20:$Q20,AD$3)=0)*(COUNTIFS($C$3:$Q$3,"NOTTE",$C20:$Q20,AD$3)=0)*(COUNTIFS($C$3:$Q$3,"NOTTE",$C19:$Q19,AD$3)=0))=0,"",IF(0+((AD20&lt;&gt;"Xm")*(AD20&lt;&gt;"Xg")*(COUNTIFS($C$3:$Q$3,"MAT",$C20:$Q20,AD$3)=0)*(COUNTIFS($C$3:$Q$3,"NOTTE",$C20:$Q20,AD$3)=0)*(COUNTIFS($C$3:$Q$3,"NOTTE",$C19:$Q19,AD$3)=0))+((AD20&lt;&gt;"Xp")*(AD20&lt;&gt;"Xg")*(COUNTIFS($C$3:$Q$3,"POM",$C20:$Q20,AD$3)=0)*(COUNTIFS($C$3:$Q$3,"NOTTE",$C20:$Q20,AD$3)=0)*(COUNTIFS($C$3:$Q$3,"NOTTE",$C19:$Q19,AD$3)=0))+((AD20&lt;&gt;"Xn")*(COUNTIFS($C$3:$Q$3,"MAT",$C20:$Q20,AD$3)=0)*(COUNTIFS($C$3:$Q$3,"POM",$C20:$Q20,AD$3)=0)*(COUNTIFS($C$3:$Q$3,"NOTTE",$C20:$Q20,AD$3)=0)*(COUNTIFS($C$3:$Q$3,"NOTTE",$C19:$Q19,AD$3)=0))=3,AD$3&amp;", ",AD$3&amp;IF((AD20&lt;&gt;"Xm")*(AD20&lt;&gt;"Xg")*(COUNTIFS($C$3:$Q$3,"MAT",$C20:$Q20,AD$3)=0)*(COUNTIFS($C$3:$Q$3,"NOTTE",$C20:$Q20,AD$3)=0)*(COUNTIFS($C$3:$Q$3,"NOTTE",$C19:$Q19,AD$3)=0),"_m","")&amp;IF((AD20&lt;&gt;"Xp")*(AD20&lt;&gt;"Xg")*(COUNTIFS($C$3:$Q$3,"POM",$C20:$Q20,AD$3)=0)*(COUNTIFS($C$3:$Q$3,"NOTTE",$C20:$Q20,AD$3)=0)*(COUNTIFS($C$3:$Q$3,"NOTTE",$C19:$Q19,AD$3)=0),"_p","")&amp;IF((AD20&lt;&gt;"Xn")*(COUNTIFS($C$3:$Q$3,"MAT",$C20:$Q20,AD$3)=0)*(COUNTIFS($C$3:$Q$3,"POM",$C20:$Q20,AD$3)=0)*(COUNTIFS($C$3:$Q$3,"NOTTE",$C20:$Q20,AD$3)=0)*(COUNTIFS($C$3:$Q$3,"NOTTE",$C19:$Q19,AD$3)=0),"_n","")&amp;", ")))</f>
        <v xml:space="preserve">ROSSI L, </v>
      </c>
      <c r="CH20" s="9" t="str">
        <f>IF(0+(AE20="X")&gt;0,"",IF(0+((AE20&lt;&gt;"Xm")*(AE20&lt;&gt;"Xg")*(COUNTIFS($C$3:$Q$3,"MAT",$C20:$Q20,AE$3)=0)*(COUNTIFS($C$3:$Q$3,"NOTTE",$C20:$Q20,AE$3)=0)*(COUNTIFS($C$3:$Q$3,"NOTTE",$C19:$Q19,AE$3)=0))+((AE20&lt;&gt;"Xp")*(AE20&lt;&gt;"Xg")*(COUNTIFS($C$3:$Q$3,"POM",$C20:$Q20,AE$3)=0)*(COUNTIFS($C$3:$Q$3,"NOTTE",$C20:$Q20,AE$3)=0)*(COUNTIFS($C$3:$Q$3,"NOTTE",$C19:$Q19,AE$3)=0))+((AE20&lt;&gt;"Xn")*(COUNTIFS($C$3:$Q$3,"MAT",$C20:$Q20,AE$3)=0)*(COUNTIFS($C$3:$Q$3,"POM",$C20:$Q20,AE$3)=0)*(COUNTIFS($C$3:$Q$3,"NOTTE",$C20:$Q20,AE$3)=0)*(COUNTIFS($C$3:$Q$3,"NOTTE",$C19:$Q19,AE$3)=0))=0,"",IF(0+((AE20&lt;&gt;"Xm")*(AE20&lt;&gt;"Xg")*(COUNTIFS($C$3:$Q$3,"MAT",$C20:$Q20,AE$3)=0)*(COUNTIFS($C$3:$Q$3,"NOTTE",$C20:$Q20,AE$3)=0)*(COUNTIFS($C$3:$Q$3,"NOTTE",$C19:$Q19,AE$3)=0))+((AE20&lt;&gt;"Xp")*(AE20&lt;&gt;"Xg")*(COUNTIFS($C$3:$Q$3,"POM",$C20:$Q20,AE$3)=0)*(COUNTIFS($C$3:$Q$3,"NOTTE",$C20:$Q20,AE$3)=0)*(COUNTIFS($C$3:$Q$3,"NOTTE",$C19:$Q19,AE$3)=0))+((AE20&lt;&gt;"Xn")*(COUNTIFS($C$3:$Q$3,"MAT",$C20:$Q20,AE$3)=0)*(COUNTIFS($C$3:$Q$3,"POM",$C20:$Q20,AE$3)=0)*(COUNTIFS($C$3:$Q$3,"NOTTE",$C20:$Q20,AE$3)=0)*(COUNTIFS($C$3:$Q$3,"NOTTE",$C19:$Q19,AE$3)=0))=3,AE$3&amp;", ",AE$3&amp;IF((AE20&lt;&gt;"Xm")*(AE20&lt;&gt;"Xg")*(COUNTIFS($C$3:$Q$3,"MAT",$C20:$Q20,AE$3)=0)*(COUNTIFS($C$3:$Q$3,"NOTTE",$C20:$Q20,AE$3)=0)*(COUNTIFS($C$3:$Q$3,"NOTTE",$C19:$Q19,AE$3)=0),"_m","")&amp;IF((AE20&lt;&gt;"Xp")*(AE20&lt;&gt;"Xg")*(COUNTIFS($C$3:$Q$3,"POM",$C20:$Q20,AE$3)=0)*(COUNTIFS($C$3:$Q$3,"NOTTE",$C20:$Q20,AE$3)=0)*(COUNTIFS($C$3:$Q$3,"NOTTE",$C19:$Q19,AE$3)=0),"_p","")&amp;IF((AE20&lt;&gt;"Xn")*(COUNTIFS($C$3:$Q$3,"MAT",$C20:$Q20,AE$3)=0)*(COUNTIFS($C$3:$Q$3,"POM",$C20:$Q20,AE$3)=0)*(COUNTIFS($C$3:$Q$3,"NOTTE",$C20:$Q20,AE$3)=0)*(COUNTIFS($C$3:$Q$3,"NOTTE",$C19:$Q19,AE$3)=0),"_n","")&amp;", ")))</f>
        <v xml:space="preserve">GALLINA, </v>
      </c>
      <c r="CI20" s="9" t="str">
        <f>IF(0+(AF20="X")&gt;0,"",IF(0+((AF20&lt;&gt;"Xm")*(AF20&lt;&gt;"Xg")*(COUNTIFS($C$3:$Q$3,"MAT",$C20:$Q20,AF$3)=0)*(COUNTIFS($C$3:$Q$3,"NOTTE",$C20:$Q20,AF$3)=0)*(COUNTIFS($C$3:$Q$3,"NOTTE",$C19:$Q19,AF$3)=0))+((AF20&lt;&gt;"Xp")*(AF20&lt;&gt;"Xg")*(COUNTIFS($C$3:$Q$3,"POM",$C20:$Q20,AF$3)=0)*(COUNTIFS($C$3:$Q$3,"NOTTE",$C20:$Q20,AF$3)=0)*(COUNTIFS($C$3:$Q$3,"NOTTE",$C19:$Q19,AF$3)=0))+((AF20&lt;&gt;"Xn")*(COUNTIFS($C$3:$Q$3,"MAT",$C20:$Q20,AF$3)=0)*(COUNTIFS($C$3:$Q$3,"POM",$C20:$Q20,AF$3)=0)*(COUNTIFS($C$3:$Q$3,"NOTTE",$C20:$Q20,AF$3)=0)*(COUNTIFS($C$3:$Q$3,"NOTTE",$C19:$Q19,AF$3)=0))=0,"",IF(0+((AF20&lt;&gt;"Xm")*(AF20&lt;&gt;"Xg")*(COUNTIFS($C$3:$Q$3,"MAT",$C20:$Q20,AF$3)=0)*(COUNTIFS($C$3:$Q$3,"NOTTE",$C20:$Q20,AF$3)=0)*(COUNTIFS($C$3:$Q$3,"NOTTE",$C19:$Q19,AF$3)=0))+((AF20&lt;&gt;"Xp")*(AF20&lt;&gt;"Xg")*(COUNTIFS($C$3:$Q$3,"POM",$C20:$Q20,AF$3)=0)*(COUNTIFS($C$3:$Q$3,"NOTTE",$C20:$Q20,AF$3)=0)*(COUNTIFS($C$3:$Q$3,"NOTTE",$C19:$Q19,AF$3)=0))+((AF20&lt;&gt;"Xn")*(COUNTIFS($C$3:$Q$3,"MAT",$C20:$Q20,AF$3)=0)*(COUNTIFS($C$3:$Q$3,"POM",$C20:$Q20,AF$3)=0)*(COUNTIFS($C$3:$Q$3,"NOTTE",$C20:$Q20,AF$3)=0)*(COUNTIFS($C$3:$Q$3,"NOTTE",$C19:$Q19,AF$3)=0))=3,AF$3&amp;", ",AF$3&amp;IF((AF20&lt;&gt;"Xm")*(AF20&lt;&gt;"Xg")*(COUNTIFS($C$3:$Q$3,"MAT",$C20:$Q20,AF$3)=0)*(COUNTIFS($C$3:$Q$3,"NOTTE",$C20:$Q20,AF$3)=0)*(COUNTIFS($C$3:$Q$3,"NOTTE",$C19:$Q19,AF$3)=0),"_m","")&amp;IF((AF20&lt;&gt;"Xp")*(AF20&lt;&gt;"Xg")*(COUNTIFS($C$3:$Q$3,"POM",$C20:$Q20,AF$3)=0)*(COUNTIFS($C$3:$Q$3,"NOTTE",$C20:$Q20,AF$3)=0)*(COUNTIFS($C$3:$Q$3,"NOTTE",$C19:$Q19,AF$3)=0),"_p","")&amp;IF((AF20&lt;&gt;"Xn")*(COUNTIFS($C$3:$Q$3,"MAT",$C20:$Q20,AF$3)=0)*(COUNTIFS($C$3:$Q$3,"POM",$C20:$Q20,AF$3)=0)*(COUNTIFS($C$3:$Q$3,"NOTTE",$C20:$Q20,AF$3)=0)*(COUNTIFS($C$3:$Q$3,"NOTTE",$C19:$Q19,AF$3)=0),"_n","")&amp;", ")))</f>
        <v xml:space="preserve">RUSSO, </v>
      </c>
      <c r="CJ20" s="9" t="str">
        <f>IF(0+(AG20="X")&gt;0,"",IF(0+((AG20&lt;&gt;"Xm")*(AG20&lt;&gt;"Xg")*(COUNTIFS($C$3:$Q$3,"MAT",$C20:$Q20,AG$3)=0)*(COUNTIFS($C$3:$Q$3,"NOTTE",$C20:$Q20,AG$3)=0)*(COUNTIFS($C$3:$Q$3,"NOTTE",$C19:$Q19,AG$3)=0))+((AG20&lt;&gt;"Xp")*(AG20&lt;&gt;"Xg")*(COUNTIFS($C$3:$Q$3,"POM",$C20:$Q20,AG$3)=0)*(COUNTIFS($C$3:$Q$3,"NOTTE",$C20:$Q20,AG$3)=0)*(COUNTIFS($C$3:$Q$3,"NOTTE",$C19:$Q19,AG$3)=0))+((AG20&lt;&gt;"Xn")*(COUNTIFS($C$3:$Q$3,"MAT",$C20:$Q20,AG$3)=0)*(COUNTIFS($C$3:$Q$3,"POM",$C20:$Q20,AG$3)=0)*(COUNTIFS($C$3:$Q$3,"NOTTE",$C20:$Q20,AG$3)=0)*(COUNTIFS($C$3:$Q$3,"NOTTE",$C19:$Q19,AG$3)=0))=0,"",IF(0+((AG20&lt;&gt;"Xm")*(AG20&lt;&gt;"Xg")*(COUNTIFS($C$3:$Q$3,"MAT",$C20:$Q20,AG$3)=0)*(COUNTIFS($C$3:$Q$3,"NOTTE",$C20:$Q20,AG$3)=0)*(COUNTIFS($C$3:$Q$3,"NOTTE",$C19:$Q19,AG$3)=0))+((AG20&lt;&gt;"Xp")*(AG20&lt;&gt;"Xg")*(COUNTIFS($C$3:$Q$3,"POM",$C20:$Q20,AG$3)=0)*(COUNTIFS($C$3:$Q$3,"NOTTE",$C20:$Q20,AG$3)=0)*(COUNTIFS($C$3:$Q$3,"NOTTE",$C19:$Q19,AG$3)=0))+((AG20&lt;&gt;"Xn")*(COUNTIFS($C$3:$Q$3,"MAT",$C20:$Q20,AG$3)=0)*(COUNTIFS($C$3:$Q$3,"POM",$C20:$Q20,AG$3)=0)*(COUNTIFS($C$3:$Q$3,"NOTTE",$C20:$Q20,AG$3)=0)*(COUNTIFS($C$3:$Q$3,"NOTTE",$C19:$Q19,AG$3)=0))=3,AG$3&amp;", ",AG$3&amp;IF((AG20&lt;&gt;"Xm")*(AG20&lt;&gt;"Xg")*(COUNTIFS($C$3:$Q$3,"MAT",$C20:$Q20,AG$3)=0)*(COUNTIFS($C$3:$Q$3,"NOTTE",$C20:$Q20,AG$3)=0)*(COUNTIFS($C$3:$Q$3,"NOTTE",$C19:$Q19,AG$3)=0),"_m","")&amp;IF((AG20&lt;&gt;"Xp")*(AG20&lt;&gt;"Xg")*(COUNTIFS($C$3:$Q$3,"POM",$C20:$Q20,AG$3)=0)*(COUNTIFS($C$3:$Q$3,"NOTTE",$C20:$Q20,AG$3)=0)*(COUNTIFS($C$3:$Q$3,"NOTTE",$C19:$Q19,AG$3)=0),"_p","")&amp;IF((AG20&lt;&gt;"Xn")*(COUNTIFS($C$3:$Q$3,"MAT",$C20:$Q20,AG$3)=0)*(COUNTIFS($C$3:$Q$3,"POM",$C20:$Q20,AG$3)=0)*(COUNTIFS($C$3:$Q$3,"NOTTE",$C20:$Q20,AG$3)=0)*(COUNTIFS($C$3:$Q$3,"NOTTE",$C19:$Q19,AG$3)=0),"_n","")&amp;", ")))</f>
        <v xml:space="preserve">VERDI, </v>
      </c>
      <c r="CK20" s="9" t="str">
        <f>IF(0+(AH20="X")&gt;0,"",IF(0+((AH20&lt;&gt;"Xm")*(AH20&lt;&gt;"Xg")*(COUNTIFS($C$3:$Q$3,"MAT",$C20:$Q20,AH$3)=0)*(COUNTIFS($C$3:$Q$3,"NOTTE",$C20:$Q20,AH$3)=0)*(COUNTIFS($C$3:$Q$3,"NOTTE",$C19:$Q19,AH$3)=0))+((AH20&lt;&gt;"Xp")*(AH20&lt;&gt;"Xg")*(COUNTIFS($C$3:$Q$3,"POM",$C20:$Q20,AH$3)=0)*(COUNTIFS($C$3:$Q$3,"NOTTE",$C20:$Q20,AH$3)=0)*(COUNTIFS($C$3:$Q$3,"NOTTE",$C19:$Q19,AH$3)=0))+((AH20&lt;&gt;"Xn")*(COUNTIFS($C$3:$Q$3,"MAT",$C20:$Q20,AH$3)=0)*(COUNTIFS($C$3:$Q$3,"POM",$C20:$Q20,AH$3)=0)*(COUNTIFS($C$3:$Q$3,"NOTTE",$C20:$Q20,AH$3)=0)*(COUNTIFS($C$3:$Q$3,"NOTTE",$C19:$Q19,AH$3)=0))=0,"",IF(0+((AH20&lt;&gt;"Xm")*(AH20&lt;&gt;"Xg")*(COUNTIFS($C$3:$Q$3,"MAT",$C20:$Q20,AH$3)=0)*(COUNTIFS($C$3:$Q$3,"NOTTE",$C20:$Q20,AH$3)=0)*(COUNTIFS($C$3:$Q$3,"NOTTE",$C19:$Q19,AH$3)=0))+((AH20&lt;&gt;"Xp")*(AH20&lt;&gt;"Xg")*(COUNTIFS($C$3:$Q$3,"POM",$C20:$Q20,AH$3)=0)*(COUNTIFS($C$3:$Q$3,"NOTTE",$C20:$Q20,AH$3)=0)*(COUNTIFS($C$3:$Q$3,"NOTTE",$C19:$Q19,AH$3)=0))+((AH20&lt;&gt;"Xn")*(COUNTIFS($C$3:$Q$3,"MAT",$C20:$Q20,AH$3)=0)*(COUNTIFS($C$3:$Q$3,"POM",$C20:$Q20,AH$3)=0)*(COUNTIFS($C$3:$Q$3,"NOTTE",$C20:$Q20,AH$3)=0)*(COUNTIFS($C$3:$Q$3,"NOTTE",$C19:$Q19,AH$3)=0))=3,AH$3&amp;", ",AH$3&amp;IF((AH20&lt;&gt;"Xm")*(AH20&lt;&gt;"Xg")*(COUNTIFS($C$3:$Q$3,"MAT",$C20:$Q20,AH$3)=0)*(COUNTIFS($C$3:$Q$3,"NOTTE",$C20:$Q20,AH$3)=0)*(COUNTIFS($C$3:$Q$3,"NOTTE",$C19:$Q19,AH$3)=0),"_m","")&amp;IF((AH20&lt;&gt;"Xp")*(AH20&lt;&gt;"Xg")*(COUNTIFS($C$3:$Q$3,"POM",$C20:$Q20,AH$3)=0)*(COUNTIFS($C$3:$Q$3,"NOTTE",$C20:$Q20,AH$3)=0)*(COUNTIFS($C$3:$Q$3,"NOTTE",$C19:$Q19,AH$3)=0),"_p","")&amp;IF((AH20&lt;&gt;"Xn")*(COUNTIFS($C$3:$Q$3,"MAT",$C20:$Q20,AH$3)=0)*(COUNTIFS($C$3:$Q$3,"POM",$C20:$Q20,AH$3)=0)*(COUNTIFS($C$3:$Q$3,"NOTTE",$C20:$Q20,AH$3)=0)*(COUNTIFS($C$3:$Q$3,"NOTTE",$C19:$Q19,AH$3)=0),"_n","")&amp;", ")))</f>
        <v xml:space="preserve">HU, </v>
      </c>
      <c r="CL20" s="9" t="str">
        <f>IF(0+(AI20="X")&gt;0,"",IF(0+((AI20&lt;&gt;"Xm")*(AI20&lt;&gt;"Xg")*(COUNTIFS($C$3:$Q$3,"MAT",$C20:$Q20,AI$3)=0)*(COUNTIFS($C$3:$Q$3,"NOTTE",$C20:$Q20,AI$3)=0)*(COUNTIFS($C$3:$Q$3,"NOTTE",$C19:$Q19,AI$3)=0))+((AI20&lt;&gt;"Xp")*(AI20&lt;&gt;"Xg")*(COUNTIFS($C$3:$Q$3,"POM",$C20:$Q20,AI$3)=0)*(COUNTIFS($C$3:$Q$3,"NOTTE",$C20:$Q20,AI$3)=0)*(COUNTIFS($C$3:$Q$3,"NOTTE",$C19:$Q19,AI$3)=0))+((AI20&lt;&gt;"Xn")*(COUNTIFS($C$3:$Q$3,"MAT",$C20:$Q20,AI$3)=0)*(COUNTIFS($C$3:$Q$3,"POM",$C20:$Q20,AI$3)=0)*(COUNTIFS($C$3:$Q$3,"NOTTE",$C20:$Q20,AI$3)=0)*(COUNTIFS($C$3:$Q$3,"NOTTE",$C19:$Q19,AI$3)=0))=0,"",IF(0+((AI20&lt;&gt;"Xm")*(AI20&lt;&gt;"Xg")*(COUNTIFS($C$3:$Q$3,"MAT",$C20:$Q20,AI$3)=0)*(COUNTIFS($C$3:$Q$3,"NOTTE",$C20:$Q20,AI$3)=0)*(COUNTIFS($C$3:$Q$3,"NOTTE",$C19:$Q19,AI$3)=0))+((AI20&lt;&gt;"Xp")*(AI20&lt;&gt;"Xg")*(COUNTIFS($C$3:$Q$3,"POM",$C20:$Q20,AI$3)=0)*(COUNTIFS($C$3:$Q$3,"NOTTE",$C20:$Q20,AI$3)=0)*(COUNTIFS($C$3:$Q$3,"NOTTE",$C19:$Q19,AI$3)=0))+((AI20&lt;&gt;"Xn")*(COUNTIFS($C$3:$Q$3,"MAT",$C20:$Q20,AI$3)=0)*(COUNTIFS($C$3:$Q$3,"POM",$C20:$Q20,AI$3)=0)*(COUNTIFS($C$3:$Q$3,"NOTTE",$C20:$Q20,AI$3)=0)*(COUNTIFS($C$3:$Q$3,"NOTTE",$C19:$Q19,AI$3)=0))=3,AI$3&amp;", ",AI$3&amp;IF((AI20&lt;&gt;"Xm")*(AI20&lt;&gt;"Xg")*(COUNTIFS($C$3:$Q$3,"MAT",$C20:$Q20,AI$3)=0)*(COUNTIFS($C$3:$Q$3,"NOTTE",$C20:$Q20,AI$3)=0)*(COUNTIFS($C$3:$Q$3,"NOTTE",$C19:$Q19,AI$3)=0),"_m","")&amp;IF((AI20&lt;&gt;"Xp")*(AI20&lt;&gt;"Xg")*(COUNTIFS($C$3:$Q$3,"POM",$C20:$Q20,AI$3)=0)*(COUNTIFS($C$3:$Q$3,"NOTTE",$C20:$Q20,AI$3)=0)*(COUNTIFS($C$3:$Q$3,"NOTTE",$C19:$Q19,AI$3)=0),"_p","")&amp;IF((AI20&lt;&gt;"Xn")*(COUNTIFS($C$3:$Q$3,"MAT",$C20:$Q20,AI$3)=0)*(COUNTIFS($C$3:$Q$3,"POM",$C20:$Q20,AI$3)=0)*(COUNTIFS($C$3:$Q$3,"NOTTE",$C20:$Q20,AI$3)=0)*(COUNTIFS($C$3:$Q$3,"NOTTE",$C19:$Q19,AI$3)=0),"_n","")&amp;", ")))</f>
        <v xml:space="preserve">MARINI, </v>
      </c>
      <c r="CM20" s="9" t="str">
        <f>IF(0+(AJ20="X")&gt;0,"",IF(0+((AJ20&lt;&gt;"Xm")*(AJ20&lt;&gt;"Xg")*(COUNTIFS($C$3:$Q$3,"MAT",$C20:$Q20,AJ$3)=0)*(COUNTIFS($C$3:$Q$3,"NOTTE",$C20:$Q20,AJ$3)=0)*(COUNTIFS($C$3:$Q$3,"NOTTE",$C19:$Q19,AJ$3)=0))+((AJ20&lt;&gt;"Xp")*(AJ20&lt;&gt;"Xg")*(COUNTIFS($C$3:$Q$3,"POM",$C20:$Q20,AJ$3)=0)*(COUNTIFS($C$3:$Q$3,"NOTTE",$C20:$Q20,AJ$3)=0)*(COUNTIFS($C$3:$Q$3,"NOTTE",$C19:$Q19,AJ$3)=0))+((AJ20&lt;&gt;"Xn")*(COUNTIFS($C$3:$Q$3,"MAT",$C20:$Q20,AJ$3)=0)*(COUNTIFS($C$3:$Q$3,"POM",$C20:$Q20,AJ$3)=0)*(COUNTIFS($C$3:$Q$3,"NOTTE",$C20:$Q20,AJ$3)=0)*(COUNTIFS($C$3:$Q$3,"NOTTE",$C19:$Q19,AJ$3)=0))=0,"",IF(0+((AJ20&lt;&gt;"Xm")*(AJ20&lt;&gt;"Xg")*(COUNTIFS($C$3:$Q$3,"MAT",$C20:$Q20,AJ$3)=0)*(COUNTIFS($C$3:$Q$3,"NOTTE",$C20:$Q20,AJ$3)=0)*(COUNTIFS($C$3:$Q$3,"NOTTE",$C19:$Q19,AJ$3)=0))+((AJ20&lt;&gt;"Xp")*(AJ20&lt;&gt;"Xg")*(COUNTIFS($C$3:$Q$3,"POM",$C20:$Q20,AJ$3)=0)*(COUNTIFS($C$3:$Q$3,"NOTTE",$C20:$Q20,AJ$3)=0)*(COUNTIFS($C$3:$Q$3,"NOTTE",$C19:$Q19,AJ$3)=0))+((AJ20&lt;&gt;"Xn")*(COUNTIFS($C$3:$Q$3,"MAT",$C20:$Q20,AJ$3)=0)*(COUNTIFS($C$3:$Q$3,"POM",$C20:$Q20,AJ$3)=0)*(COUNTIFS($C$3:$Q$3,"NOTTE",$C20:$Q20,AJ$3)=0)*(COUNTIFS($C$3:$Q$3,"NOTTE",$C19:$Q19,AJ$3)=0))=3,AJ$3&amp;", ",AJ$3&amp;IF((AJ20&lt;&gt;"Xm")*(AJ20&lt;&gt;"Xg")*(COUNTIFS($C$3:$Q$3,"MAT",$C20:$Q20,AJ$3)=0)*(COUNTIFS($C$3:$Q$3,"NOTTE",$C20:$Q20,AJ$3)=0)*(COUNTIFS($C$3:$Q$3,"NOTTE",$C19:$Q19,AJ$3)=0),"_m","")&amp;IF((AJ20&lt;&gt;"Xp")*(AJ20&lt;&gt;"Xg")*(COUNTIFS($C$3:$Q$3,"POM",$C20:$Q20,AJ$3)=0)*(COUNTIFS($C$3:$Q$3,"NOTTE",$C20:$Q20,AJ$3)=0)*(COUNTIFS($C$3:$Q$3,"NOTTE",$C19:$Q19,AJ$3)=0),"_p","")&amp;IF((AJ20&lt;&gt;"Xn")*(COUNTIFS($C$3:$Q$3,"MAT",$C20:$Q20,AJ$3)=0)*(COUNTIFS($C$3:$Q$3,"POM",$C20:$Q20,AJ$3)=0)*(COUNTIFS($C$3:$Q$3,"NOTTE",$C20:$Q20,AJ$3)=0)*(COUNTIFS($C$3:$Q$3,"NOTTE",$C19:$Q19,AJ$3)=0),"_n","")&amp;", ")))</f>
        <v xml:space="preserve">CONTI A, </v>
      </c>
      <c r="CN20" s="9" t="str">
        <f>IF(0+(AK20="X")&gt;0,"",IF(0+((AK20&lt;&gt;"Xm")*(AK20&lt;&gt;"Xg")*(COUNTIFS($C$3:$Q$3,"MAT",$C20:$Q20,AK$3)=0)*(COUNTIFS($C$3:$Q$3,"NOTTE",$C20:$Q20,AK$3)=0)*(COUNTIFS($C$3:$Q$3,"NOTTE",$C19:$Q19,AK$3)=0))+((AK20&lt;&gt;"Xp")*(AK20&lt;&gt;"Xg")*(COUNTIFS($C$3:$Q$3,"POM",$C20:$Q20,AK$3)=0)*(COUNTIFS($C$3:$Q$3,"NOTTE",$C20:$Q20,AK$3)=0)*(COUNTIFS($C$3:$Q$3,"NOTTE",$C19:$Q19,AK$3)=0))+((AK20&lt;&gt;"Xn")*(COUNTIFS($C$3:$Q$3,"MAT",$C20:$Q20,AK$3)=0)*(COUNTIFS($C$3:$Q$3,"POM",$C20:$Q20,AK$3)=0)*(COUNTIFS($C$3:$Q$3,"NOTTE",$C20:$Q20,AK$3)=0)*(COUNTIFS($C$3:$Q$3,"NOTTE",$C19:$Q19,AK$3)=0))=0,"",IF(0+((AK20&lt;&gt;"Xm")*(AK20&lt;&gt;"Xg")*(COUNTIFS($C$3:$Q$3,"MAT",$C20:$Q20,AK$3)=0)*(COUNTIFS($C$3:$Q$3,"NOTTE",$C20:$Q20,AK$3)=0)*(COUNTIFS($C$3:$Q$3,"NOTTE",$C19:$Q19,AK$3)=0))+((AK20&lt;&gt;"Xp")*(AK20&lt;&gt;"Xg")*(COUNTIFS($C$3:$Q$3,"POM",$C20:$Q20,AK$3)=0)*(COUNTIFS($C$3:$Q$3,"NOTTE",$C20:$Q20,AK$3)=0)*(COUNTIFS($C$3:$Q$3,"NOTTE",$C19:$Q19,AK$3)=0))+((AK20&lt;&gt;"Xn")*(COUNTIFS($C$3:$Q$3,"MAT",$C20:$Q20,AK$3)=0)*(COUNTIFS($C$3:$Q$3,"POM",$C20:$Q20,AK$3)=0)*(COUNTIFS($C$3:$Q$3,"NOTTE",$C20:$Q20,AK$3)=0)*(COUNTIFS($C$3:$Q$3,"NOTTE",$C19:$Q19,AK$3)=0))=3,AK$3&amp;", ",AK$3&amp;IF((AK20&lt;&gt;"Xm")*(AK20&lt;&gt;"Xg")*(COUNTIFS($C$3:$Q$3,"MAT",$C20:$Q20,AK$3)=0)*(COUNTIFS($C$3:$Q$3,"NOTTE",$C20:$Q20,AK$3)=0)*(COUNTIFS($C$3:$Q$3,"NOTTE",$C19:$Q19,AK$3)=0),"_m","")&amp;IF((AK20&lt;&gt;"Xp")*(AK20&lt;&gt;"Xg")*(COUNTIFS($C$3:$Q$3,"POM",$C20:$Q20,AK$3)=0)*(COUNTIFS($C$3:$Q$3,"NOTTE",$C20:$Q20,AK$3)=0)*(COUNTIFS($C$3:$Q$3,"NOTTE",$C19:$Q19,AK$3)=0),"_p","")&amp;IF((AK20&lt;&gt;"Xn")*(COUNTIFS($C$3:$Q$3,"MAT",$C20:$Q20,AK$3)=0)*(COUNTIFS($C$3:$Q$3,"POM",$C20:$Q20,AK$3)=0)*(COUNTIFS($C$3:$Q$3,"NOTTE",$C20:$Q20,AK$3)=0)*(COUNTIFS($C$3:$Q$3,"NOTTE",$C19:$Q19,AK$3)=0),"_n","")&amp;", ")))</f>
        <v xml:space="preserve">CONTI S, </v>
      </c>
      <c r="CO20" s="9" t="str">
        <f>IF(0+(AL20="X")&gt;0,"",IF(0+((AL20&lt;&gt;"Xm")*(AL20&lt;&gt;"Xg")*(COUNTIFS($C$3:$Q$3,"MAT",$C20:$Q20,AL$3)=0)*(COUNTIFS($C$3:$Q$3,"NOTTE",$C20:$Q20,AL$3)=0)*(COUNTIFS($C$3:$Q$3,"NOTTE",$C19:$Q19,AL$3)=0))+((AL20&lt;&gt;"Xp")*(AL20&lt;&gt;"Xg")*(COUNTIFS($C$3:$Q$3,"POM",$C20:$Q20,AL$3)=0)*(COUNTIFS($C$3:$Q$3,"NOTTE",$C20:$Q20,AL$3)=0)*(COUNTIFS($C$3:$Q$3,"NOTTE",$C19:$Q19,AL$3)=0))+((AL20&lt;&gt;"Xn")*(COUNTIFS($C$3:$Q$3,"MAT",$C20:$Q20,AL$3)=0)*(COUNTIFS($C$3:$Q$3,"POM",$C20:$Q20,AL$3)=0)*(COUNTIFS($C$3:$Q$3,"NOTTE",$C20:$Q20,AL$3)=0)*(COUNTIFS($C$3:$Q$3,"NOTTE",$C19:$Q19,AL$3)=0))=0,"",IF(0+((AL20&lt;&gt;"Xm")*(AL20&lt;&gt;"Xg")*(COUNTIFS($C$3:$Q$3,"MAT",$C20:$Q20,AL$3)=0)*(COUNTIFS($C$3:$Q$3,"NOTTE",$C20:$Q20,AL$3)=0)*(COUNTIFS($C$3:$Q$3,"NOTTE",$C19:$Q19,AL$3)=0))+((AL20&lt;&gt;"Xp")*(AL20&lt;&gt;"Xg")*(COUNTIFS($C$3:$Q$3,"POM",$C20:$Q20,AL$3)=0)*(COUNTIFS($C$3:$Q$3,"NOTTE",$C20:$Q20,AL$3)=0)*(COUNTIFS($C$3:$Q$3,"NOTTE",$C19:$Q19,AL$3)=0))+((AL20&lt;&gt;"Xn")*(COUNTIFS($C$3:$Q$3,"MAT",$C20:$Q20,AL$3)=0)*(COUNTIFS($C$3:$Q$3,"POM",$C20:$Q20,AL$3)=0)*(COUNTIFS($C$3:$Q$3,"NOTTE",$C20:$Q20,AL$3)=0)*(COUNTIFS($C$3:$Q$3,"NOTTE",$C19:$Q19,AL$3)=0))=3,AL$3&amp;", ",AL$3&amp;IF((AL20&lt;&gt;"Xm")*(AL20&lt;&gt;"Xg")*(COUNTIFS($C$3:$Q$3,"MAT",$C20:$Q20,AL$3)=0)*(COUNTIFS($C$3:$Q$3,"NOTTE",$C20:$Q20,AL$3)=0)*(COUNTIFS($C$3:$Q$3,"NOTTE",$C19:$Q19,AL$3)=0),"_m","")&amp;IF((AL20&lt;&gt;"Xp")*(AL20&lt;&gt;"Xg")*(COUNTIFS($C$3:$Q$3,"POM",$C20:$Q20,AL$3)=0)*(COUNTIFS($C$3:$Q$3,"NOTTE",$C20:$Q20,AL$3)=0)*(COUNTIFS($C$3:$Q$3,"NOTTE",$C19:$Q19,AL$3)=0),"_p","")&amp;IF((AL20&lt;&gt;"Xn")*(COUNTIFS($C$3:$Q$3,"MAT",$C20:$Q20,AL$3)=0)*(COUNTIFS($C$3:$Q$3,"POM",$C20:$Q20,AL$3)=0)*(COUNTIFS($C$3:$Q$3,"NOTTE",$C20:$Q20,AL$3)=0)*(COUNTIFS($C$3:$Q$3,"NOTTE",$C19:$Q19,AL$3)=0),"_n","")&amp;", ")))</f>
        <v xml:space="preserve">FERRARI, </v>
      </c>
      <c r="CP20" s="9" t="str">
        <f>IF(0+(AM20="X")&gt;0,"",IF(0+((AM20&lt;&gt;"Xm")*(AM20&lt;&gt;"Xg")*(COUNTIFS($C$3:$Q$3,"MAT",$C20:$Q20,AM$3)=0)*(COUNTIFS($C$3:$Q$3,"NOTTE",$C20:$Q20,AM$3)=0)*(COUNTIFS($C$3:$Q$3,"NOTTE",$C19:$Q19,AM$3)=0))+((AM20&lt;&gt;"Xp")*(AM20&lt;&gt;"Xg")*(COUNTIFS($C$3:$Q$3,"POM",$C20:$Q20,AM$3)=0)*(COUNTIFS($C$3:$Q$3,"NOTTE",$C20:$Q20,AM$3)=0)*(COUNTIFS($C$3:$Q$3,"NOTTE",$C19:$Q19,AM$3)=0))+((AM20&lt;&gt;"Xn")*(COUNTIFS($C$3:$Q$3,"MAT",$C20:$Q20,AM$3)=0)*(COUNTIFS($C$3:$Q$3,"POM",$C20:$Q20,AM$3)=0)*(COUNTIFS($C$3:$Q$3,"NOTTE",$C20:$Q20,AM$3)=0)*(COUNTIFS($C$3:$Q$3,"NOTTE",$C19:$Q19,AM$3)=0))=0,"",IF(0+((AM20&lt;&gt;"Xm")*(AM20&lt;&gt;"Xg")*(COUNTIFS($C$3:$Q$3,"MAT",$C20:$Q20,AM$3)=0)*(COUNTIFS($C$3:$Q$3,"NOTTE",$C20:$Q20,AM$3)=0)*(COUNTIFS($C$3:$Q$3,"NOTTE",$C19:$Q19,AM$3)=0))+((AM20&lt;&gt;"Xp")*(AM20&lt;&gt;"Xg")*(COUNTIFS($C$3:$Q$3,"POM",$C20:$Q20,AM$3)=0)*(COUNTIFS($C$3:$Q$3,"NOTTE",$C20:$Q20,AM$3)=0)*(COUNTIFS($C$3:$Q$3,"NOTTE",$C19:$Q19,AM$3)=0))+((AM20&lt;&gt;"Xn")*(COUNTIFS($C$3:$Q$3,"MAT",$C20:$Q20,AM$3)=0)*(COUNTIFS($C$3:$Q$3,"POM",$C20:$Q20,AM$3)=0)*(COUNTIFS($C$3:$Q$3,"NOTTE",$C20:$Q20,AM$3)=0)*(COUNTIFS($C$3:$Q$3,"NOTTE",$C19:$Q19,AM$3)=0))=3,AM$3&amp;", ",AM$3&amp;IF((AM20&lt;&gt;"Xm")*(AM20&lt;&gt;"Xg")*(COUNTIFS($C$3:$Q$3,"MAT",$C20:$Q20,AM$3)=0)*(COUNTIFS($C$3:$Q$3,"NOTTE",$C20:$Q20,AM$3)=0)*(COUNTIFS($C$3:$Q$3,"NOTTE",$C19:$Q19,AM$3)=0),"_m","")&amp;IF((AM20&lt;&gt;"Xp")*(AM20&lt;&gt;"Xg")*(COUNTIFS($C$3:$Q$3,"POM",$C20:$Q20,AM$3)=0)*(COUNTIFS($C$3:$Q$3,"NOTTE",$C20:$Q20,AM$3)=0)*(COUNTIFS($C$3:$Q$3,"NOTTE",$C19:$Q19,AM$3)=0),"_p","")&amp;IF((AM20&lt;&gt;"Xn")*(COUNTIFS($C$3:$Q$3,"MAT",$C20:$Q20,AM$3)=0)*(COUNTIFS($C$3:$Q$3,"POM",$C20:$Q20,AM$3)=0)*(COUNTIFS($C$3:$Q$3,"NOTTE",$C20:$Q20,AM$3)=0)*(COUNTIFS($C$3:$Q$3,"NOTTE",$C19:$Q19,AM$3)=0),"_n","")&amp;", ")))</f>
        <v xml:space="preserve">GRECO, </v>
      </c>
      <c r="CQ20" s="9" t="str">
        <f>IF(0+(AN20="X")&gt;0,"",IF(0+((AN20&lt;&gt;"Xm")*(AN20&lt;&gt;"Xg")*(COUNTIFS($C$3:$Q$3,"MAT",$C20:$Q20,AN$3)=0)*(COUNTIFS($C$3:$Q$3,"NOTTE",$C20:$Q20,AN$3)=0)*(COUNTIFS($C$3:$Q$3,"NOTTE",$C19:$Q19,AN$3)=0))+((AN20&lt;&gt;"Xp")*(AN20&lt;&gt;"Xg")*(COUNTIFS($C$3:$Q$3,"POM",$C20:$Q20,AN$3)=0)*(COUNTIFS($C$3:$Q$3,"NOTTE",$C20:$Q20,AN$3)=0)*(COUNTIFS($C$3:$Q$3,"NOTTE",$C19:$Q19,AN$3)=0))+((AN20&lt;&gt;"Xn")*(COUNTIFS($C$3:$Q$3,"MAT",$C20:$Q20,AN$3)=0)*(COUNTIFS($C$3:$Q$3,"POM",$C20:$Q20,AN$3)=0)*(COUNTIFS($C$3:$Q$3,"NOTTE",$C20:$Q20,AN$3)=0)*(COUNTIFS($C$3:$Q$3,"NOTTE",$C19:$Q19,AN$3)=0))=0,"",IF(0+((AN20&lt;&gt;"Xm")*(AN20&lt;&gt;"Xg")*(COUNTIFS($C$3:$Q$3,"MAT",$C20:$Q20,AN$3)=0)*(COUNTIFS($C$3:$Q$3,"NOTTE",$C20:$Q20,AN$3)=0)*(COUNTIFS($C$3:$Q$3,"NOTTE",$C19:$Q19,AN$3)=0))+((AN20&lt;&gt;"Xp")*(AN20&lt;&gt;"Xg")*(COUNTIFS($C$3:$Q$3,"POM",$C20:$Q20,AN$3)=0)*(COUNTIFS($C$3:$Q$3,"NOTTE",$C20:$Q20,AN$3)=0)*(COUNTIFS($C$3:$Q$3,"NOTTE",$C19:$Q19,AN$3)=0))+((AN20&lt;&gt;"Xn")*(COUNTIFS($C$3:$Q$3,"MAT",$C20:$Q20,AN$3)=0)*(COUNTIFS($C$3:$Q$3,"POM",$C20:$Q20,AN$3)=0)*(COUNTIFS($C$3:$Q$3,"NOTTE",$C20:$Q20,AN$3)=0)*(COUNTIFS($C$3:$Q$3,"NOTTE",$C19:$Q19,AN$3)=0))=3,AN$3&amp;", ",AN$3&amp;IF((AN20&lt;&gt;"Xm")*(AN20&lt;&gt;"Xg")*(COUNTIFS($C$3:$Q$3,"MAT",$C20:$Q20,AN$3)=0)*(COUNTIFS($C$3:$Q$3,"NOTTE",$C20:$Q20,AN$3)=0)*(COUNTIFS($C$3:$Q$3,"NOTTE",$C19:$Q19,AN$3)=0),"_m","")&amp;IF((AN20&lt;&gt;"Xp")*(AN20&lt;&gt;"Xg")*(COUNTIFS($C$3:$Q$3,"POM",$C20:$Q20,AN$3)=0)*(COUNTIFS($C$3:$Q$3,"NOTTE",$C20:$Q20,AN$3)=0)*(COUNTIFS($C$3:$Q$3,"NOTTE",$C19:$Q19,AN$3)=0),"_p","")&amp;IF((AN20&lt;&gt;"Xn")*(COUNTIFS($C$3:$Q$3,"MAT",$C20:$Q20,AN$3)=0)*(COUNTIFS($C$3:$Q$3,"POM",$C20:$Q20,AN$3)=0)*(COUNTIFS($C$3:$Q$3,"NOTTE",$C20:$Q20,AN$3)=0)*(COUNTIFS($C$3:$Q$3,"NOTTE",$C19:$Q19,AN$3)=0),"_n","")&amp;", ")))</f>
        <v xml:space="preserve">SANNA, </v>
      </c>
      <c r="CR20" s="9" t="str">
        <f>IF(0+(AO20="X")&gt;0,"",IF(0+((AO20&lt;&gt;"Xm")*(AO20&lt;&gt;"Xg")*(COUNTIFS($C$3:$Q$3,"MAT",$C20:$Q20,AO$3)=0)*(COUNTIFS($C$3:$Q$3,"NOTTE",$C20:$Q20,AO$3)=0)*(COUNTIFS($C$3:$Q$3,"NOTTE",$C19:$Q19,AO$3)=0))+((AO20&lt;&gt;"Xp")*(AO20&lt;&gt;"Xg")*(COUNTIFS($C$3:$Q$3,"POM",$C20:$Q20,AO$3)=0)*(COUNTIFS($C$3:$Q$3,"NOTTE",$C20:$Q20,AO$3)=0)*(COUNTIFS($C$3:$Q$3,"NOTTE",$C19:$Q19,AO$3)=0))+((AO20&lt;&gt;"Xn")*(COUNTIFS($C$3:$Q$3,"MAT",$C20:$Q20,AO$3)=0)*(COUNTIFS($C$3:$Q$3,"POM",$C20:$Q20,AO$3)=0)*(COUNTIFS($C$3:$Q$3,"NOTTE",$C20:$Q20,AO$3)=0)*(COUNTIFS($C$3:$Q$3,"NOTTE",$C19:$Q19,AO$3)=0))=0,"",IF(0+((AO20&lt;&gt;"Xm")*(AO20&lt;&gt;"Xg")*(COUNTIFS($C$3:$Q$3,"MAT",$C20:$Q20,AO$3)=0)*(COUNTIFS($C$3:$Q$3,"NOTTE",$C20:$Q20,AO$3)=0)*(COUNTIFS($C$3:$Q$3,"NOTTE",$C19:$Q19,AO$3)=0))+((AO20&lt;&gt;"Xp")*(AO20&lt;&gt;"Xg")*(COUNTIFS($C$3:$Q$3,"POM",$C20:$Q20,AO$3)=0)*(COUNTIFS($C$3:$Q$3,"NOTTE",$C20:$Q20,AO$3)=0)*(COUNTIFS($C$3:$Q$3,"NOTTE",$C19:$Q19,AO$3)=0))+((AO20&lt;&gt;"Xn")*(COUNTIFS($C$3:$Q$3,"MAT",$C20:$Q20,AO$3)=0)*(COUNTIFS($C$3:$Q$3,"POM",$C20:$Q20,AO$3)=0)*(COUNTIFS($C$3:$Q$3,"NOTTE",$C20:$Q20,AO$3)=0)*(COUNTIFS($C$3:$Q$3,"NOTTE",$C19:$Q19,AO$3)=0))=3,AO$3&amp;", ",AO$3&amp;IF((AO20&lt;&gt;"Xm")*(AO20&lt;&gt;"Xg")*(COUNTIFS($C$3:$Q$3,"MAT",$C20:$Q20,AO$3)=0)*(COUNTIFS($C$3:$Q$3,"NOTTE",$C20:$Q20,AO$3)=0)*(COUNTIFS($C$3:$Q$3,"NOTTE",$C19:$Q19,AO$3)=0),"_m","")&amp;IF((AO20&lt;&gt;"Xp")*(AO20&lt;&gt;"Xg")*(COUNTIFS($C$3:$Q$3,"POM",$C20:$Q20,AO$3)=0)*(COUNTIFS($C$3:$Q$3,"NOTTE",$C20:$Q20,AO$3)=0)*(COUNTIFS($C$3:$Q$3,"NOTTE",$C19:$Q19,AO$3)=0),"_p","")&amp;IF((AO20&lt;&gt;"Xn")*(COUNTIFS($C$3:$Q$3,"MAT",$C20:$Q20,AO$3)=0)*(COUNTIFS($C$3:$Q$3,"POM",$C20:$Q20,AO$3)=0)*(COUNTIFS($C$3:$Q$3,"NOTTE",$C20:$Q20,AO$3)=0)*(COUNTIFS($C$3:$Q$3,"NOTTE",$C19:$Q19,AO$3)=0),"_n","")&amp;", ")))</f>
        <v xml:space="preserve">LI, </v>
      </c>
    </row>
    <row r="21">
      <c r="A21" s="10" t="str">
        <f>CHOOSE(WEEKDAY(DATE($B$1,$A$2,B21),2),"lunedì","martedì","mercoledì","giovedì","venerdì","sabato","domenica")</f>
        <v>mercoledì</v>
      </c>
      <c r="B21" s="10" t="n">
        <v>18</v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4" t="n"/>
      <c r="Q21" s="11" t="n"/>
      <c r="R21" s="11" t="n"/>
      <c r="S21" s="11">
        <f>IF(SUMPRODUCT(($C$3:$Q$3&lt;&gt;"")*($C21:$Q21&lt;&gt;"")*(LEFT($C21:$Q21,6)&lt;&gt;"chiuso")*(COUNTIFS($C21:$Q21,$C21:$Q21,$C$3:$Q$3,$C$3:$Q$3)&gt;1))&gt;0,"X","")</f>
      </c>
      <c r="T21" s="11" t="str">
        <f>IF(LEN(BP21&amp;BQ21&amp;BR21&amp;BS21&amp;BT21&amp;BU21&amp;BV21&amp;BW21&amp;BX21&amp;BY21&amp;BZ21&amp;CA21&amp;CB21&amp;CC21)=0,"",LEFT(BP21&amp;BQ21&amp;BR21&amp;BS21&amp;BT21&amp;BU21&amp;BV21&amp;BW21&amp;BX21&amp;BY21&amp;BZ21&amp;CA21&amp;CB21&amp;CC21,LEN(BP21&amp;BQ21&amp;BR21&amp;BS21&amp;BT21&amp;BU21&amp;BV21&amp;BW21&amp;BX21&amp;BY21&amp;BZ21&amp;CA21&amp;CB21&amp;CC21)-2))</f>
        <v>LEONI, ROSSI M, ROSSI L, GALLINA, RUSSO, VERDI, HU, MARINI, CONTI A, CONTI S, FERRARI, GRECO, SANNA, LI</v>
      </c>
      <c r="U21" s="11" t="str">
        <f>IF(LEN(CE21&amp;CF21&amp;CG21&amp;CH21&amp;CI21&amp;CJ21&amp;CK21&amp;CL21&amp;CM21&amp;CN21&amp;CO21&amp;CP21&amp;CQ21&amp;CR21)=0,"",LEFT(CE21&amp;CF21&amp;CG21&amp;CH21&amp;CI21&amp;CJ21&amp;CK21&amp;CL21&amp;CM21&amp;CN21&amp;CO21&amp;CP21&amp;CQ21&amp;CR21,LEN(CE21&amp;CF21&amp;CG21&amp;CH21&amp;CI21&amp;CJ21&amp;CK21&amp;CL21&amp;CM21&amp;CN21&amp;CO21&amp;CP21&amp;CQ21&amp;CR21)-2))</f>
        <v>LEONI, ROSSI M, ROSSI L, GALLINA, RUSSO, VERDI, HU, MARINI, CONTI A, CONTI S, FERRARI, GRECO, SANNA, LI</v>
      </c>
      <c r="Z21" s="10" t="str">
        <f>A21</f>
        <v>mercoledì</v>
      </c>
      <c r="AA21" s="10">
        <f>B21</f>
        <v>18</v>
      </c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BP21" s="9" t="str">
        <f>IF(0+(AB21="X")&gt;0,"",IF(0+((AB21&lt;&gt;"Xm")*(AB21&lt;&gt;"Xg"))+((AB21&lt;&gt;"Xp")*(AB21&lt;&gt;"Xg"))+((AB21&lt;&gt;"Xn"))=0,"",IF(0+((AB21&lt;&gt;"Xm")*(AB21&lt;&gt;"Xg"))+((AB21&lt;&gt;"Xp")*(AB21&lt;&gt;"Xg"))+((AB21&lt;&gt;"Xn"))=3,AB$3&amp;", ",AB$3&amp;IF((AB21&lt;&gt;"Xm")*(AB21&lt;&gt;"Xg"),"_m","")&amp;IF((AB21&lt;&gt;"Xp")*(AB21&lt;&gt;"Xg"),"_p","")&amp;IF((AB21&lt;&gt;"Xn"),"_n","")&amp;", ")))</f>
        <v xml:space="preserve">LEONI, </v>
      </c>
      <c r="BQ21" s="9" t="str">
        <f>IF(0+(AC21="X")&gt;0,"",IF(0+((AC21&lt;&gt;"Xm")*(AC21&lt;&gt;"Xg"))+((AC21&lt;&gt;"Xp")*(AC21&lt;&gt;"Xg"))+((AC21&lt;&gt;"Xn"))=0,"",IF(0+((AC21&lt;&gt;"Xm")*(AC21&lt;&gt;"Xg"))+((AC21&lt;&gt;"Xp")*(AC21&lt;&gt;"Xg"))+((AC21&lt;&gt;"Xn"))=3,AC$3&amp;", ",AC$3&amp;IF((AC21&lt;&gt;"Xm")*(AC21&lt;&gt;"Xg"),"_m","")&amp;IF((AC21&lt;&gt;"Xp")*(AC21&lt;&gt;"Xg"),"_p","")&amp;IF((AC21&lt;&gt;"Xn"),"_n","")&amp;", ")))</f>
        <v xml:space="preserve">ROSSI M, </v>
      </c>
      <c r="BR21" s="9" t="str">
        <f>IF(0+(AD21="X")&gt;0,"",IF(0+((AD21&lt;&gt;"Xm")*(AD21&lt;&gt;"Xg"))+((AD21&lt;&gt;"Xp")*(AD21&lt;&gt;"Xg"))+((AD21&lt;&gt;"Xn"))=0,"",IF(0+((AD21&lt;&gt;"Xm")*(AD21&lt;&gt;"Xg"))+((AD21&lt;&gt;"Xp")*(AD21&lt;&gt;"Xg"))+((AD21&lt;&gt;"Xn"))=3,AD$3&amp;", ",AD$3&amp;IF((AD21&lt;&gt;"Xm")*(AD21&lt;&gt;"Xg"),"_m","")&amp;IF((AD21&lt;&gt;"Xp")*(AD21&lt;&gt;"Xg"),"_p","")&amp;IF((AD21&lt;&gt;"Xn"),"_n","")&amp;", ")))</f>
        <v xml:space="preserve">ROSSI L, </v>
      </c>
      <c r="BS21" s="9" t="str">
        <f>IF(0+(AE21="X")&gt;0,"",IF(0+((AE21&lt;&gt;"Xm")*(AE21&lt;&gt;"Xg"))+((AE21&lt;&gt;"Xp")*(AE21&lt;&gt;"Xg"))+((AE21&lt;&gt;"Xn"))=0,"",IF(0+((AE21&lt;&gt;"Xm")*(AE21&lt;&gt;"Xg"))+((AE21&lt;&gt;"Xp")*(AE21&lt;&gt;"Xg"))+((AE21&lt;&gt;"Xn"))=3,AE$3&amp;", ",AE$3&amp;IF((AE21&lt;&gt;"Xm")*(AE21&lt;&gt;"Xg"),"_m","")&amp;IF((AE21&lt;&gt;"Xp")*(AE21&lt;&gt;"Xg"),"_p","")&amp;IF((AE21&lt;&gt;"Xn"),"_n","")&amp;", ")))</f>
        <v xml:space="preserve">GALLINA, </v>
      </c>
      <c r="BT21" s="9" t="str">
        <f>IF(0+(AF21="X")&gt;0,"",IF(0+((AF21&lt;&gt;"Xm")*(AF21&lt;&gt;"Xg"))+((AF21&lt;&gt;"Xp")*(AF21&lt;&gt;"Xg"))+((AF21&lt;&gt;"Xn"))=0,"",IF(0+((AF21&lt;&gt;"Xm")*(AF21&lt;&gt;"Xg"))+((AF21&lt;&gt;"Xp")*(AF21&lt;&gt;"Xg"))+((AF21&lt;&gt;"Xn"))=3,AF$3&amp;", ",AF$3&amp;IF((AF21&lt;&gt;"Xm")*(AF21&lt;&gt;"Xg"),"_m","")&amp;IF((AF21&lt;&gt;"Xp")*(AF21&lt;&gt;"Xg"),"_p","")&amp;IF((AF21&lt;&gt;"Xn"),"_n","")&amp;", ")))</f>
        <v xml:space="preserve">RUSSO, </v>
      </c>
      <c r="BU21" s="9" t="str">
        <f>IF(0+(AG21="X")&gt;0,"",IF(0+((AG21&lt;&gt;"Xm")*(AG21&lt;&gt;"Xg"))+((AG21&lt;&gt;"Xp")*(AG21&lt;&gt;"Xg"))+((AG21&lt;&gt;"Xn"))=0,"",IF(0+((AG21&lt;&gt;"Xm")*(AG21&lt;&gt;"Xg"))+((AG21&lt;&gt;"Xp")*(AG21&lt;&gt;"Xg"))+((AG21&lt;&gt;"Xn"))=3,AG$3&amp;", ",AG$3&amp;IF((AG21&lt;&gt;"Xm")*(AG21&lt;&gt;"Xg"),"_m","")&amp;IF((AG21&lt;&gt;"Xp")*(AG21&lt;&gt;"Xg"),"_p","")&amp;IF((AG21&lt;&gt;"Xn"),"_n","")&amp;", ")))</f>
        <v xml:space="preserve">VERDI, </v>
      </c>
      <c r="BV21" s="9" t="str">
        <f>IF(0+(AH21="X")&gt;0,"",IF(0+((AH21&lt;&gt;"Xm")*(AH21&lt;&gt;"Xg"))+((AH21&lt;&gt;"Xp")*(AH21&lt;&gt;"Xg"))+((AH21&lt;&gt;"Xn"))=0,"",IF(0+((AH21&lt;&gt;"Xm")*(AH21&lt;&gt;"Xg"))+((AH21&lt;&gt;"Xp")*(AH21&lt;&gt;"Xg"))+((AH21&lt;&gt;"Xn"))=3,AH$3&amp;", ",AH$3&amp;IF((AH21&lt;&gt;"Xm")*(AH21&lt;&gt;"Xg"),"_m","")&amp;IF((AH21&lt;&gt;"Xp")*(AH21&lt;&gt;"Xg"),"_p","")&amp;IF((AH21&lt;&gt;"Xn"),"_n","")&amp;", ")))</f>
        <v xml:space="preserve">HU, </v>
      </c>
      <c r="BW21" s="9" t="str">
        <f>IF(0+(AI21="X")&gt;0,"",IF(0+((AI21&lt;&gt;"Xm")*(AI21&lt;&gt;"Xg"))+((AI21&lt;&gt;"Xp")*(AI21&lt;&gt;"Xg"))+((AI21&lt;&gt;"Xn"))=0,"",IF(0+((AI21&lt;&gt;"Xm")*(AI21&lt;&gt;"Xg"))+((AI21&lt;&gt;"Xp")*(AI21&lt;&gt;"Xg"))+((AI21&lt;&gt;"Xn"))=3,AI$3&amp;", ",AI$3&amp;IF((AI21&lt;&gt;"Xm")*(AI21&lt;&gt;"Xg"),"_m","")&amp;IF((AI21&lt;&gt;"Xp")*(AI21&lt;&gt;"Xg"),"_p","")&amp;IF((AI21&lt;&gt;"Xn"),"_n","")&amp;", ")))</f>
        <v xml:space="preserve">MARINI, </v>
      </c>
      <c r="BX21" s="9" t="str">
        <f>IF(0+(AJ21="X")&gt;0,"",IF(0+((AJ21&lt;&gt;"Xm")*(AJ21&lt;&gt;"Xg"))+((AJ21&lt;&gt;"Xp")*(AJ21&lt;&gt;"Xg"))+((AJ21&lt;&gt;"Xn"))=0,"",IF(0+((AJ21&lt;&gt;"Xm")*(AJ21&lt;&gt;"Xg"))+((AJ21&lt;&gt;"Xp")*(AJ21&lt;&gt;"Xg"))+((AJ21&lt;&gt;"Xn"))=3,AJ$3&amp;", ",AJ$3&amp;IF((AJ21&lt;&gt;"Xm")*(AJ21&lt;&gt;"Xg"),"_m","")&amp;IF((AJ21&lt;&gt;"Xp")*(AJ21&lt;&gt;"Xg"),"_p","")&amp;IF((AJ21&lt;&gt;"Xn"),"_n","")&amp;", ")))</f>
        <v xml:space="preserve">CONTI A, </v>
      </c>
      <c r="BY21" s="9" t="str">
        <f>IF(0+(AK21="X")&gt;0,"",IF(0+((AK21&lt;&gt;"Xm")*(AK21&lt;&gt;"Xg"))+((AK21&lt;&gt;"Xp")*(AK21&lt;&gt;"Xg"))+((AK21&lt;&gt;"Xn"))=0,"",IF(0+((AK21&lt;&gt;"Xm")*(AK21&lt;&gt;"Xg"))+((AK21&lt;&gt;"Xp")*(AK21&lt;&gt;"Xg"))+((AK21&lt;&gt;"Xn"))=3,AK$3&amp;", ",AK$3&amp;IF((AK21&lt;&gt;"Xm")*(AK21&lt;&gt;"Xg"),"_m","")&amp;IF((AK21&lt;&gt;"Xp")*(AK21&lt;&gt;"Xg"),"_p","")&amp;IF((AK21&lt;&gt;"Xn"),"_n","")&amp;", ")))</f>
        <v xml:space="preserve">CONTI S, </v>
      </c>
      <c r="BZ21" s="9" t="str">
        <f>IF(0+(AL21="X")&gt;0,"",IF(0+((AL21&lt;&gt;"Xm")*(AL21&lt;&gt;"Xg"))+((AL21&lt;&gt;"Xp")*(AL21&lt;&gt;"Xg"))+((AL21&lt;&gt;"Xn"))=0,"",IF(0+((AL21&lt;&gt;"Xm")*(AL21&lt;&gt;"Xg"))+((AL21&lt;&gt;"Xp")*(AL21&lt;&gt;"Xg"))+((AL21&lt;&gt;"Xn"))=3,AL$3&amp;", ",AL$3&amp;IF((AL21&lt;&gt;"Xm")*(AL21&lt;&gt;"Xg"),"_m","")&amp;IF((AL21&lt;&gt;"Xp")*(AL21&lt;&gt;"Xg"),"_p","")&amp;IF((AL21&lt;&gt;"Xn"),"_n","")&amp;", ")))</f>
        <v xml:space="preserve">FERRARI, </v>
      </c>
      <c r="CA21" s="9" t="str">
        <f>IF(0+(AM21="X")&gt;0,"",IF(0+((AM21&lt;&gt;"Xm")*(AM21&lt;&gt;"Xg"))+((AM21&lt;&gt;"Xp")*(AM21&lt;&gt;"Xg"))+((AM21&lt;&gt;"Xn"))=0,"",IF(0+((AM21&lt;&gt;"Xm")*(AM21&lt;&gt;"Xg"))+((AM21&lt;&gt;"Xp")*(AM21&lt;&gt;"Xg"))+((AM21&lt;&gt;"Xn"))=3,AM$3&amp;", ",AM$3&amp;IF((AM21&lt;&gt;"Xm")*(AM21&lt;&gt;"Xg"),"_m","")&amp;IF((AM21&lt;&gt;"Xp")*(AM21&lt;&gt;"Xg"),"_p","")&amp;IF((AM21&lt;&gt;"Xn"),"_n","")&amp;", ")))</f>
        <v xml:space="preserve">GRECO, </v>
      </c>
      <c r="CB21" s="9" t="str">
        <f>IF(0+(AN21="X")&gt;0,"",IF(0+((AN21&lt;&gt;"Xm")*(AN21&lt;&gt;"Xg"))+((AN21&lt;&gt;"Xp")*(AN21&lt;&gt;"Xg"))+((AN21&lt;&gt;"Xn"))=0,"",IF(0+((AN21&lt;&gt;"Xm")*(AN21&lt;&gt;"Xg"))+((AN21&lt;&gt;"Xp")*(AN21&lt;&gt;"Xg"))+((AN21&lt;&gt;"Xn"))=3,AN$3&amp;", ",AN$3&amp;IF((AN21&lt;&gt;"Xm")*(AN21&lt;&gt;"Xg"),"_m","")&amp;IF((AN21&lt;&gt;"Xp")*(AN21&lt;&gt;"Xg"),"_p","")&amp;IF((AN21&lt;&gt;"Xn"),"_n","")&amp;", ")))</f>
        <v xml:space="preserve">SANNA, </v>
      </c>
      <c r="CC21" s="9" t="str">
        <f>IF(0+(AO21="X")&gt;0,"",IF(0+((AO21&lt;&gt;"Xm")*(AO21&lt;&gt;"Xg"))+((AO21&lt;&gt;"Xp")*(AO21&lt;&gt;"Xg"))+((AO21&lt;&gt;"Xn"))=0,"",IF(0+((AO21&lt;&gt;"Xm")*(AO21&lt;&gt;"Xg"))+((AO21&lt;&gt;"Xp")*(AO21&lt;&gt;"Xg"))+((AO21&lt;&gt;"Xn"))=3,AO$3&amp;", ",AO$3&amp;IF((AO21&lt;&gt;"Xm")*(AO21&lt;&gt;"Xg"),"_m","")&amp;IF((AO21&lt;&gt;"Xp")*(AO21&lt;&gt;"Xg"),"_p","")&amp;IF((AO21&lt;&gt;"Xn"),"_n","")&amp;", ")))</f>
        <v xml:space="preserve">LI, </v>
      </c>
      <c r="CD21" s="9" t="n"/>
      <c r="CE21" s="9" t="str">
        <f>IF(0+(AB21="X")&gt;0,"",IF(0+((AB21&lt;&gt;"Xm")*(AB21&lt;&gt;"Xg")*(COUNTIFS($C$3:$Q$3,"MAT",$C21:$Q21,AB$3)=0)*(COUNTIFS($C$3:$Q$3,"NOTTE",$C21:$Q21,AB$3)=0)*(COUNTIFS($C$3:$Q$3,"NOTTE",$C20:$Q20,AB$3)=0))+((AB21&lt;&gt;"Xp")*(AB21&lt;&gt;"Xg")*(COUNTIFS($C$3:$Q$3,"POM",$C21:$Q21,AB$3)=0)*(COUNTIFS($C$3:$Q$3,"NOTTE",$C21:$Q21,AB$3)=0)*(COUNTIFS($C$3:$Q$3,"NOTTE",$C20:$Q20,AB$3)=0))+((AB21&lt;&gt;"Xn")*(COUNTIFS($C$3:$Q$3,"MAT",$C21:$Q21,AB$3)=0)*(COUNTIFS($C$3:$Q$3,"POM",$C21:$Q21,AB$3)=0)*(COUNTIFS($C$3:$Q$3,"NOTTE",$C21:$Q21,AB$3)=0)*(COUNTIFS($C$3:$Q$3,"NOTTE",$C20:$Q20,AB$3)=0))=0,"",IF(0+((AB21&lt;&gt;"Xm")*(AB21&lt;&gt;"Xg")*(COUNTIFS($C$3:$Q$3,"MAT",$C21:$Q21,AB$3)=0)*(COUNTIFS($C$3:$Q$3,"NOTTE",$C21:$Q21,AB$3)=0)*(COUNTIFS($C$3:$Q$3,"NOTTE",$C20:$Q20,AB$3)=0))+((AB21&lt;&gt;"Xp")*(AB21&lt;&gt;"Xg")*(COUNTIFS($C$3:$Q$3,"POM",$C21:$Q21,AB$3)=0)*(COUNTIFS($C$3:$Q$3,"NOTTE",$C21:$Q21,AB$3)=0)*(COUNTIFS($C$3:$Q$3,"NOTTE",$C20:$Q20,AB$3)=0))+((AB21&lt;&gt;"Xn")*(COUNTIFS($C$3:$Q$3,"MAT",$C21:$Q21,AB$3)=0)*(COUNTIFS($C$3:$Q$3,"POM",$C21:$Q21,AB$3)=0)*(COUNTIFS($C$3:$Q$3,"NOTTE",$C21:$Q21,AB$3)=0)*(COUNTIFS($C$3:$Q$3,"NOTTE",$C20:$Q20,AB$3)=0))=3,AB$3&amp;", ",AB$3&amp;IF((AB21&lt;&gt;"Xm")*(AB21&lt;&gt;"Xg")*(COUNTIFS($C$3:$Q$3,"MAT",$C21:$Q21,AB$3)=0)*(COUNTIFS($C$3:$Q$3,"NOTTE",$C21:$Q21,AB$3)=0)*(COUNTIFS($C$3:$Q$3,"NOTTE",$C20:$Q20,AB$3)=0),"_m","")&amp;IF((AB21&lt;&gt;"Xp")*(AB21&lt;&gt;"Xg")*(COUNTIFS($C$3:$Q$3,"POM",$C21:$Q21,AB$3)=0)*(COUNTIFS($C$3:$Q$3,"NOTTE",$C21:$Q21,AB$3)=0)*(COUNTIFS($C$3:$Q$3,"NOTTE",$C20:$Q20,AB$3)=0),"_p","")&amp;IF((AB21&lt;&gt;"Xn")*(COUNTIFS($C$3:$Q$3,"MAT",$C21:$Q21,AB$3)=0)*(COUNTIFS($C$3:$Q$3,"POM",$C21:$Q21,AB$3)=0)*(COUNTIFS($C$3:$Q$3,"NOTTE",$C21:$Q21,AB$3)=0)*(COUNTIFS($C$3:$Q$3,"NOTTE",$C20:$Q20,AB$3)=0),"_n","")&amp;", ")))</f>
        <v xml:space="preserve">LEONI, </v>
      </c>
      <c r="CF21" s="9" t="str">
        <f>IF(0+(AC21="X")&gt;0,"",IF(0+((AC21&lt;&gt;"Xm")*(AC21&lt;&gt;"Xg")*(COUNTIFS($C$3:$Q$3,"MAT",$C21:$Q21,AC$3)=0)*(COUNTIFS($C$3:$Q$3,"NOTTE",$C21:$Q21,AC$3)=0)*(COUNTIFS($C$3:$Q$3,"NOTTE",$C20:$Q20,AC$3)=0))+((AC21&lt;&gt;"Xp")*(AC21&lt;&gt;"Xg")*(COUNTIFS($C$3:$Q$3,"POM",$C21:$Q21,AC$3)=0)*(COUNTIFS($C$3:$Q$3,"NOTTE",$C21:$Q21,AC$3)=0)*(COUNTIFS($C$3:$Q$3,"NOTTE",$C20:$Q20,AC$3)=0))+((AC21&lt;&gt;"Xn")*(COUNTIFS($C$3:$Q$3,"MAT",$C21:$Q21,AC$3)=0)*(COUNTIFS($C$3:$Q$3,"POM",$C21:$Q21,AC$3)=0)*(COUNTIFS($C$3:$Q$3,"NOTTE",$C21:$Q21,AC$3)=0)*(COUNTIFS($C$3:$Q$3,"NOTTE",$C20:$Q20,AC$3)=0))=0,"",IF(0+((AC21&lt;&gt;"Xm")*(AC21&lt;&gt;"Xg")*(COUNTIFS($C$3:$Q$3,"MAT",$C21:$Q21,AC$3)=0)*(COUNTIFS($C$3:$Q$3,"NOTTE",$C21:$Q21,AC$3)=0)*(COUNTIFS($C$3:$Q$3,"NOTTE",$C20:$Q20,AC$3)=0))+((AC21&lt;&gt;"Xp")*(AC21&lt;&gt;"Xg")*(COUNTIFS($C$3:$Q$3,"POM",$C21:$Q21,AC$3)=0)*(COUNTIFS($C$3:$Q$3,"NOTTE",$C21:$Q21,AC$3)=0)*(COUNTIFS($C$3:$Q$3,"NOTTE",$C20:$Q20,AC$3)=0))+((AC21&lt;&gt;"Xn")*(COUNTIFS($C$3:$Q$3,"MAT",$C21:$Q21,AC$3)=0)*(COUNTIFS($C$3:$Q$3,"POM",$C21:$Q21,AC$3)=0)*(COUNTIFS($C$3:$Q$3,"NOTTE",$C21:$Q21,AC$3)=0)*(COUNTIFS($C$3:$Q$3,"NOTTE",$C20:$Q20,AC$3)=0))=3,AC$3&amp;", ",AC$3&amp;IF((AC21&lt;&gt;"Xm")*(AC21&lt;&gt;"Xg")*(COUNTIFS($C$3:$Q$3,"MAT",$C21:$Q21,AC$3)=0)*(COUNTIFS($C$3:$Q$3,"NOTTE",$C21:$Q21,AC$3)=0)*(COUNTIFS($C$3:$Q$3,"NOTTE",$C20:$Q20,AC$3)=0),"_m","")&amp;IF((AC21&lt;&gt;"Xp")*(AC21&lt;&gt;"Xg")*(COUNTIFS($C$3:$Q$3,"POM",$C21:$Q21,AC$3)=0)*(COUNTIFS($C$3:$Q$3,"NOTTE",$C21:$Q21,AC$3)=0)*(COUNTIFS($C$3:$Q$3,"NOTTE",$C20:$Q20,AC$3)=0),"_p","")&amp;IF((AC21&lt;&gt;"Xn")*(COUNTIFS($C$3:$Q$3,"MAT",$C21:$Q21,AC$3)=0)*(COUNTIFS($C$3:$Q$3,"POM",$C21:$Q21,AC$3)=0)*(COUNTIFS($C$3:$Q$3,"NOTTE",$C21:$Q21,AC$3)=0)*(COUNTIFS($C$3:$Q$3,"NOTTE",$C20:$Q20,AC$3)=0),"_n","")&amp;", ")))</f>
        <v xml:space="preserve">ROSSI M, </v>
      </c>
      <c r="CG21" s="9" t="str">
        <f>IF(0+(AD21="X")&gt;0,"",IF(0+((AD21&lt;&gt;"Xm")*(AD21&lt;&gt;"Xg")*(COUNTIFS($C$3:$Q$3,"MAT",$C21:$Q21,AD$3)=0)*(COUNTIFS($C$3:$Q$3,"NOTTE",$C21:$Q21,AD$3)=0)*(COUNTIFS($C$3:$Q$3,"NOTTE",$C20:$Q20,AD$3)=0))+((AD21&lt;&gt;"Xp")*(AD21&lt;&gt;"Xg")*(COUNTIFS($C$3:$Q$3,"POM",$C21:$Q21,AD$3)=0)*(COUNTIFS($C$3:$Q$3,"NOTTE",$C21:$Q21,AD$3)=0)*(COUNTIFS($C$3:$Q$3,"NOTTE",$C20:$Q20,AD$3)=0))+((AD21&lt;&gt;"Xn")*(COUNTIFS($C$3:$Q$3,"MAT",$C21:$Q21,AD$3)=0)*(COUNTIFS($C$3:$Q$3,"POM",$C21:$Q21,AD$3)=0)*(COUNTIFS($C$3:$Q$3,"NOTTE",$C21:$Q21,AD$3)=0)*(COUNTIFS($C$3:$Q$3,"NOTTE",$C20:$Q20,AD$3)=0))=0,"",IF(0+((AD21&lt;&gt;"Xm")*(AD21&lt;&gt;"Xg")*(COUNTIFS($C$3:$Q$3,"MAT",$C21:$Q21,AD$3)=0)*(COUNTIFS($C$3:$Q$3,"NOTTE",$C21:$Q21,AD$3)=0)*(COUNTIFS($C$3:$Q$3,"NOTTE",$C20:$Q20,AD$3)=0))+((AD21&lt;&gt;"Xp")*(AD21&lt;&gt;"Xg")*(COUNTIFS($C$3:$Q$3,"POM",$C21:$Q21,AD$3)=0)*(COUNTIFS($C$3:$Q$3,"NOTTE",$C21:$Q21,AD$3)=0)*(COUNTIFS($C$3:$Q$3,"NOTTE",$C20:$Q20,AD$3)=0))+((AD21&lt;&gt;"Xn")*(COUNTIFS($C$3:$Q$3,"MAT",$C21:$Q21,AD$3)=0)*(COUNTIFS($C$3:$Q$3,"POM",$C21:$Q21,AD$3)=0)*(COUNTIFS($C$3:$Q$3,"NOTTE",$C21:$Q21,AD$3)=0)*(COUNTIFS($C$3:$Q$3,"NOTTE",$C20:$Q20,AD$3)=0))=3,AD$3&amp;", ",AD$3&amp;IF((AD21&lt;&gt;"Xm")*(AD21&lt;&gt;"Xg")*(COUNTIFS($C$3:$Q$3,"MAT",$C21:$Q21,AD$3)=0)*(COUNTIFS($C$3:$Q$3,"NOTTE",$C21:$Q21,AD$3)=0)*(COUNTIFS($C$3:$Q$3,"NOTTE",$C20:$Q20,AD$3)=0),"_m","")&amp;IF((AD21&lt;&gt;"Xp")*(AD21&lt;&gt;"Xg")*(COUNTIFS($C$3:$Q$3,"POM",$C21:$Q21,AD$3)=0)*(COUNTIFS($C$3:$Q$3,"NOTTE",$C21:$Q21,AD$3)=0)*(COUNTIFS($C$3:$Q$3,"NOTTE",$C20:$Q20,AD$3)=0),"_p","")&amp;IF((AD21&lt;&gt;"Xn")*(COUNTIFS($C$3:$Q$3,"MAT",$C21:$Q21,AD$3)=0)*(COUNTIFS($C$3:$Q$3,"POM",$C21:$Q21,AD$3)=0)*(COUNTIFS($C$3:$Q$3,"NOTTE",$C21:$Q21,AD$3)=0)*(COUNTIFS($C$3:$Q$3,"NOTTE",$C20:$Q20,AD$3)=0),"_n","")&amp;", ")))</f>
        <v xml:space="preserve">ROSSI L, </v>
      </c>
      <c r="CH21" s="9" t="str">
        <f>IF(0+(AE21="X")&gt;0,"",IF(0+((AE21&lt;&gt;"Xm")*(AE21&lt;&gt;"Xg")*(COUNTIFS($C$3:$Q$3,"MAT",$C21:$Q21,AE$3)=0)*(COUNTIFS($C$3:$Q$3,"NOTTE",$C21:$Q21,AE$3)=0)*(COUNTIFS($C$3:$Q$3,"NOTTE",$C20:$Q20,AE$3)=0))+((AE21&lt;&gt;"Xp")*(AE21&lt;&gt;"Xg")*(COUNTIFS($C$3:$Q$3,"POM",$C21:$Q21,AE$3)=0)*(COUNTIFS($C$3:$Q$3,"NOTTE",$C21:$Q21,AE$3)=0)*(COUNTIFS($C$3:$Q$3,"NOTTE",$C20:$Q20,AE$3)=0))+((AE21&lt;&gt;"Xn")*(COUNTIFS($C$3:$Q$3,"MAT",$C21:$Q21,AE$3)=0)*(COUNTIFS($C$3:$Q$3,"POM",$C21:$Q21,AE$3)=0)*(COUNTIFS($C$3:$Q$3,"NOTTE",$C21:$Q21,AE$3)=0)*(COUNTIFS($C$3:$Q$3,"NOTTE",$C20:$Q20,AE$3)=0))=0,"",IF(0+((AE21&lt;&gt;"Xm")*(AE21&lt;&gt;"Xg")*(COUNTIFS($C$3:$Q$3,"MAT",$C21:$Q21,AE$3)=0)*(COUNTIFS($C$3:$Q$3,"NOTTE",$C21:$Q21,AE$3)=0)*(COUNTIFS($C$3:$Q$3,"NOTTE",$C20:$Q20,AE$3)=0))+((AE21&lt;&gt;"Xp")*(AE21&lt;&gt;"Xg")*(COUNTIFS($C$3:$Q$3,"POM",$C21:$Q21,AE$3)=0)*(COUNTIFS($C$3:$Q$3,"NOTTE",$C21:$Q21,AE$3)=0)*(COUNTIFS($C$3:$Q$3,"NOTTE",$C20:$Q20,AE$3)=0))+((AE21&lt;&gt;"Xn")*(COUNTIFS($C$3:$Q$3,"MAT",$C21:$Q21,AE$3)=0)*(COUNTIFS($C$3:$Q$3,"POM",$C21:$Q21,AE$3)=0)*(COUNTIFS($C$3:$Q$3,"NOTTE",$C21:$Q21,AE$3)=0)*(COUNTIFS($C$3:$Q$3,"NOTTE",$C20:$Q20,AE$3)=0))=3,AE$3&amp;", ",AE$3&amp;IF((AE21&lt;&gt;"Xm")*(AE21&lt;&gt;"Xg")*(COUNTIFS($C$3:$Q$3,"MAT",$C21:$Q21,AE$3)=0)*(COUNTIFS($C$3:$Q$3,"NOTTE",$C21:$Q21,AE$3)=0)*(COUNTIFS($C$3:$Q$3,"NOTTE",$C20:$Q20,AE$3)=0),"_m","")&amp;IF((AE21&lt;&gt;"Xp")*(AE21&lt;&gt;"Xg")*(COUNTIFS($C$3:$Q$3,"POM",$C21:$Q21,AE$3)=0)*(COUNTIFS($C$3:$Q$3,"NOTTE",$C21:$Q21,AE$3)=0)*(COUNTIFS($C$3:$Q$3,"NOTTE",$C20:$Q20,AE$3)=0),"_p","")&amp;IF((AE21&lt;&gt;"Xn")*(COUNTIFS($C$3:$Q$3,"MAT",$C21:$Q21,AE$3)=0)*(COUNTIFS($C$3:$Q$3,"POM",$C21:$Q21,AE$3)=0)*(COUNTIFS($C$3:$Q$3,"NOTTE",$C21:$Q21,AE$3)=0)*(COUNTIFS($C$3:$Q$3,"NOTTE",$C20:$Q20,AE$3)=0),"_n","")&amp;", ")))</f>
        <v xml:space="preserve">GALLINA, </v>
      </c>
      <c r="CI21" s="9" t="str">
        <f>IF(0+(AF21="X")&gt;0,"",IF(0+((AF21&lt;&gt;"Xm")*(AF21&lt;&gt;"Xg")*(COUNTIFS($C$3:$Q$3,"MAT",$C21:$Q21,AF$3)=0)*(COUNTIFS($C$3:$Q$3,"NOTTE",$C21:$Q21,AF$3)=0)*(COUNTIFS($C$3:$Q$3,"NOTTE",$C20:$Q20,AF$3)=0))+((AF21&lt;&gt;"Xp")*(AF21&lt;&gt;"Xg")*(COUNTIFS($C$3:$Q$3,"POM",$C21:$Q21,AF$3)=0)*(COUNTIFS($C$3:$Q$3,"NOTTE",$C21:$Q21,AF$3)=0)*(COUNTIFS($C$3:$Q$3,"NOTTE",$C20:$Q20,AF$3)=0))+((AF21&lt;&gt;"Xn")*(COUNTIFS($C$3:$Q$3,"MAT",$C21:$Q21,AF$3)=0)*(COUNTIFS($C$3:$Q$3,"POM",$C21:$Q21,AF$3)=0)*(COUNTIFS($C$3:$Q$3,"NOTTE",$C21:$Q21,AF$3)=0)*(COUNTIFS($C$3:$Q$3,"NOTTE",$C20:$Q20,AF$3)=0))=0,"",IF(0+((AF21&lt;&gt;"Xm")*(AF21&lt;&gt;"Xg")*(COUNTIFS($C$3:$Q$3,"MAT",$C21:$Q21,AF$3)=0)*(COUNTIFS($C$3:$Q$3,"NOTTE",$C21:$Q21,AF$3)=0)*(COUNTIFS($C$3:$Q$3,"NOTTE",$C20:$Q20,AF$3)=0))+((AF21&lt;&gt;"Xp")*(AF21&lt;&gt;"Xg")*(COUNTIFS($C$3:$Q$3,"POM",$C21:$Q21,AF$3)=0)*(COUNTIFS($C$3:$Q$3,"NOTTE",$C21:$Q21,AF$3)=0)*(COUNTIFS($C$3:$Q$3,"NOTTE",$C20:$Q20,AF$3)=0))+((AF21&lt;&gt;"Xn")*(COUNTIFS($C$3:$Q$3,"MAT",$C21:$Q21,AF$3)=0)*(COUNTIFS($C$3:$Q$3,"POM",$C21:$Q21,AF$3)=0)*(COUNTIFS($C$3:$Q$3,"NOTTE",$C21:$Q21,AF$3)=0)*(COUNTIFS($C$3:$Q$3,"NOTTE",$C20:$Q20,AF$3)=0))=3,AF$3&amp;", ",AF$3&amp;IF((AF21&lt;&gt;"Xm")*(AF21&lt;&gt;"Xg")*(COUNTIFS($C$3:$Q$3,"MAT",$C21:$Q21,AF$3)=0)*(COUNTIFS($C$3:$Q$3,"NOTTE",$C21:$Q21,AF$3)=0)*(COUNTIFS($C$3:$Q$3,"NOTTE",$C20:$Q20,AF$3)=0),"_m","")&amp;IF((AF21&lt;&gt;"Xp")*(AF21&lt;&gt;"Xg")*(COUNTIFS($C$3:$Q$3,"POM",$C21:$Q21,AF$3)=0)*(COUNTIFS($C$3:$Q$3,"NOTTE",$C21:$Q21,AF$3)=0)*(COUNTIFS($C$3:$Q$3,"NOTTE",$C20:$Q20,AF$3)=0),"_p","")&amp;IF((AF21&lt;&gt;"Xn")*(COUNTIFS($C$3:$Q$3,"MAT",$C21:$Q21,AF$3)=0)*(COUNTIFS($C$3:$Q$3,"POM",$C21:$Q21,AF$3)=0)*(COUNTIFS($C$3:$Q$3,"NOTTE",$C21:$Q21,AF$3)=0)*(COUNTIFS($C$3:$Q$3,"NOTTE",$C20:$Q20,AF$3)=0),"_n","")&amp;", ")))</f>
        <v xml:space="preserve">RUSSO, </v>
      </c>
      <c r="CJ21" s="9" t="str">
        <f>IF(0+(AG21="X")&gt;0,"",IF(0+((AG21&lt;&gt;"Xm")*(AG21&lt;&gt;"Xg")*(COUNTIFS($C$3:$Q$3,"MAT",$C21:$Q21,AG$3)=0)*(COUNTIFS($C$3:$Q$3,"NOTTE",$C21:$Q21,AG$3)=0)*(COUNTIFS($C$3:$Q$3,"NOTTE",$C20:$Q20,AG$3)=0))+((AG21&lt;&gt;"Xp")*(AG21&lt;&gt;"Xg")*(COUNTIFS($C$3:$Q$3,"POM",$C21:$Q21,AG$3)=0)*(COUNTIFS($C$3:$Q$3,"NOTTE",$C21:$Q21,AG$3)=0)*(COUNTIFS($C$3:$Q$3,"NOTTE",$C20:$Q20,AG$3)=0))+((AG21&lt;&gt;"Xn")*(COUNTIFS($C$3:$Q$3,"MAT",$C21:$Q21,AG$3)=0)*(COUNTIFS($C$3:$Q$3,"POM",$C21:$Q21,AG$3)=0)*(COUNTIFS($C$3:$Q$3,"NOTTE",$C21:$Q21,AG$3)=0)*(COUNTIFS($C$3:$Q$3,"NOTTE",$C20:$Q20,AG$3)=0))=0,"",IF(0+((AG21&lt;&gt;"Xm")*(AG21&lt;&gt;"Xg")*(COUNTIFS($C$3:$Q$3,"MAT",$C21:$Q21,AG$3)=0)*(COUNTIFS($C$3:$Q$3,"NOTTE",$C21:$Q21,AG$3)=0)*(COUNTIFS($C$3:$Q$3,"NOTTE",$C20:$Q20,AG$3)=0))+((AG21&lt;&gt;"Xp")*(AG21&lt;&gt;"Xg")*(COUNTIFS($C$3:$Q$3,"POM",$C21:$Q21,AG$3)=0)*(COUNTIFS($C$3:$Q$3,"NOTTE",$C21:$Q21,AG$3)=0)*(COUNTIFS($C$3:$Q$3,"NOTTE",$C20:$Q20,AG$3)=0))+((AG21&lt;&gt;"Xn")*(COUNTIFS($C$3:$Q$3,"MAT",$C21:$Q21,AG$3)=0)*(COUNTIFS($C$3:$Q$3,"POM",$C21:$Q21,AG$3)=0)*(COUNTIFS($C$3:$Q$3,"NOTTE",$C21:$Q21,AG$3)=0)*(COUNTIFS($C$3:$Q$3,"NOTTE",$C20:$Q20,AG$3)=0))=3,AG$3&amp;", ",AG$3&amp;IF((AG21&lt;&gt;"Xm")*(AG21&lt;&gt;"Xg")*(COUNTIFS($C$3:$Q$3,"MAT",$C21:$Q21,AG$3)=0)*(COUNTIFS($C$3:$Q$3,"NOTTE",$C21:$Q21,AG$3)=0)*(COUNTIFS($C$3:$Q$3,"NOTTE",$C20:$Q20,AG$3)=0),"_m","")&amp;IF((AG21&lt;&gt;"Xp")*(AG21&lt;&gt;"Xg")*(COUNTIFS($C$3:$Q$3,"POM",$C21:$Q21,AG$3)=0)*(COUNTIFS($C$3:$Q$3,"NOTTE",$C21:$Q21,AG$3)=0)*(COUNTIFS($C$3:$Q$3,"NOTTE",$C20:$Q20,AG$3)=0),"_p","")&amp;IF((AG21&lt;&gt;"Xn")*(COUNTIFS($C$3:$Q$3,"MAT",$C21:$Q21,AG$3)=0)*(COUNTIFS($C$3:$Q$3,"POM",$C21:$Q21,AG$3)=0)*(COUNTIFS($C$3:$Q$3,"NOTTE",$C21:$Q21,AG$3)=0)*(COUNTIFS($C$3:$Q$3,"NOTTE",$C20:$Q20,AG$3)=0),"_n","")&amp;", ")))</f>
        <v xml:space="preserve">VERDI, </v>
      </c>
      <c r="CK21" s="9" t="str">
        <f>IF(0+(AH21="X")&gt;0,"",IF(0+((AH21&lt;&gt;"Xm")*(AH21&lt;&gt;"Xg")*(COUNTIFS($C$3:$Q$3,"MAT",$C21:$Q21,AH$3)=0)*(COUNTIFS($C$3:$Q$3,"NOTTE",$C21:$Q21,AH$3)=0)*(COUNTIFS($C$3:$Q$3,"NOTTE",$C20:$Q20,AH$3)=0))+((AH21&lt;&gt;"Xp")*(AH21&lt;&gt;"Xg")*(COUNTIFS($C$3:$Q$3,"POM",$C21:$Q21,AH$3)=0)*(COUNTIFS($C$3:$Q$3,"NOTTE",$C21:$Q21,AH$3)=0)*(COUNTIFS($C$3:$Q$3,"NOTTE",$C20:$Q20,AH$3)=0))+((AH21&lt;&gt;"Xn")*(COUNTIFS($C$3:$Q$3,"MAT",$C21:$Q21,AH$3)=0)*(COUNTIFS($C$3:$Q$3,"POM",$C21:$Q21,AH$3)=0)*(COUNTIFS($C$3:$Q$3,"NOTTE",$C21:$Q21,AH$3)=0)*(COUNTIFS($C$3:$Q$3,"NOTTE",$C20:$Q20,AH$3)=0))=0,"",IF(0+((AH21&lt;&gt;"Xm")*(AH21&lt;&gt;"Xg")*(COUNTIFS($C$3:$Q$3,"MAT",$C21:$Q21,AH$3)=0)*(COUNTIFS($C$3:$Q$3,"NOTTE",$C21:$Q21,AH$3)=0)*(COUNTIFS($C$3:$Q$3,"NOTTE",$C20:$Q20,AH$3)=0))+((AH21&lt;&gt;"Xp")*(AH21&lt;&gt;"Xg")*(COUNTIFS($C$3:$Q$3,"POM",$C21:$Q21,AH$3)=0)*(COUNTIFS($C$3:$Q$3,"NOTTE",$C21:$Q21,AH$3)=0)*(COUNTIFS($C$3:$Q$3,"NOTTE",$C20:$Q20,AH$3)=0))+((AH21&lt;&gt;"Xn")*(COUNTIFS($C$3:$Q$3,"MAT",$C21:$Q21,AH$3)=0)*(COUNTIFS($C$3:$Q$3,"POM",$C21:$Q21,AH$3)=0)*(COUNTIFS($C$3:$Q$3,"NOTTE",$C21:$Q21,AH$3)=0)*(COUNTIFS($C$3:$Q$3,"NOTTE",$C20:$Q20,AH$3)=0))=3,AH$3&amp;", ",AH$3&amp;IF((AH21&lt;&gt;"Xm")*(AH21&lt;&gt;"Xg")*(COUNTIFS($C$3:$Q$3,"MAT",$C21:$Q21,AH$3)=0)*(COUNTIFS($C$3:$Q$3,"NOTTE",$C21:$Q21,AH$3)=0)*(COUNTIFS($C$3:$Q$3,"NOTTE",$C20:$Q20,AH$3)=0),"_m","")&amp;IF((AH21&lt;&gt;"Xp")*(AH21&lt;&gt;"Xg")*(COUNTIFS($C$3:$Q$3,"POM",$C21:$Q21,AH$3)=0)*(COUNTIFS($C$3:$Q$3,"NOTTE",$C21:$Q21,AH$3)=0)*(COUNTIFS($C$3:$Q$3,"NOTTE",$C20:$Q20,AH$3)=0),"_p","")&amp;IF((AH21&lt;&gt;"Xn")*(COUNTIFS($C$3:$Q$3,"MAT",$C21:$Q21,AH$3)=0)*(COUNTIFS($C$3:$Q$3,"POM",$C21:$Q21,AH$3)=0)*(COUNTIFS($C$3:$Q$3,"NOTTE",$C21:$Q21,AH$3)=0)*(COUNTIFS($C$3:$Q$3,"NOTTE",$C20:$Q20,AH$3)=0),"_n","")&amp;", ")))</f>
        <v xml:space="preserve">HU, </v>
      </c>
      <c r="CL21" s="9" t="str">
        <f>IF(0+(AI21="X")&gt;0,"",IF(0+((AI21&lt;&gt;"Xm")*(AI21&lt;&gt;"Xg")*(COUNTIFS($C$3:$Q$3,"MAT",$C21:$Q21,AI$3)=0)*(COUNTIFS($C$3:$Q$3,"NOTTE",$C21:$Q21,AI$3)=0)*(COUNTIFS($C$3:$Q$3,"NOTTE",$C20:$Q20,AI$3)=0))+((AI21&lt;&gt;"Xp")*(AI21&lt;&gt;"Xg")*(COUNTIFS($C$3:$Q$3,"POM",$C21:$Q21,AI$3)=0)*(COUNTIFS($C$3:$Q$3,"NOTTE",$C21:$Q21,AI$3)=0)*(COUNTIFS($C$3:$Q$3,"NOTTE",$C20:$Q20,AI$3)=0))+((AI21&lt;&gt;"Xn")*(COUNTIFS($C$3:$Q$3,"MAT",$C21:$Q21,AI$3)=0)*(COUNTIFS($C$3:$Q$3,"POM",$C21:$Q21,AI$3)=0)*(COUNTIFS($C$3:$Q$3,"NOTTE",$C21:$Q21,AI$3)=0)*(COUNTIFS($C$3:$Q$3,"NOTTE",$C20:$Q20,AI$3)=0))=0,"",IF(0+((AI21&lt;&gt;"Xm")*(AI21&lt;&gt;"Xg")*(COUNTIFS($C$3:$Q$3,"MAT",$C21:$Q21,AI$3)=0)*(COUNTIFS($C$3:$Q$3,"NOTTE",$C21:$Q21,AI$3)=0)*(COUNTIFS($C$3:$Q$3,"NOTTE",$C20:$Q20,AI$3)=0))+((AI21&lt;&gt;"Xp")*(AI21&lt;&gt;"Xg")*(COUNTIFS($C$3:$Q$3,"POM",$C21:$Q21,AI$3)=0)*(COUNTIFS($C$3:$Q$3,"NOTTE",$C21:$Q21,AI$3)=0)*(COUNTIFS($C$3:$Q$3,"NOTTE",$C20:$Q20,AI$3)=0))+((AI21&lt;&gt;"Xn")*(COUNTIFS($C$3:$Q$3,"MAT",$C21:$Q21,AI$3)=0)*(COUNTIFS($C$3:$Q$3,"POM",$C21:$Q21,AI$3)=0)*(COUNTIFS($C$3:$Q$3,"NOTTE",$C21:$Q21,AI$3)=0)*(COUNTIFS($C$3:$Q$3,"NOTTE",$C20:$Q20,AI$3)=0))=3,AI$3&amp;", ",AI$3&amp;IF((AI21&lt;&gt;"Xm")*(AI21&lt;&gt;"Xg")*(COUNTIFS($C$3:$Q$3,"MAT",$C21:$Q21,AI$3)=0)*(COUNTIFS($C$3:$Q$3,"NOTTE",$C21:$Q21,AI$3)=0)*(COUNTIFS($C$3:$Q$3,"NOTTE",$C20:$Q20,AI$3)=0),"_m","")&amp;IF((AI21&lt;&gt;"Xp")*(AI21&lt;&gt;"Xg")*(COUNTIFS($C$3:$Q$3,"POM",$C21:$Q21,AI$3)=0)*(COUNTIFS($C$3:$Q$3,"NOTTE",$C21:$Q21,AI$3)=0)*(COUNTIFS($C$3:$Q$3,"NOTTE",$C20:$Q20,AI$3)=0),"_p","")&amp;IF((AI21&lt;&gt;"Xn")*(COUNTIFS($C$3:$Q$3,"MAT",$C21:$Q21,AI$3)=0)*(COUNTIFS($C$3:$Q$3,"POM",$C21:$Q21,AI$3)=0)*(COUNTIFS($C$3:$Q$3,"NOTTE",$C21:$Q21,AI$3)=0)*(COUNTIFS($C$3:$Q$3,"NOTTE",$C20:$Q20,AI$3)=0),"_n","")&amp;", ")))</f>
        <v xml:space="preserve">MARINI, </v>
      </c>
      <c r="CM21" s="9" t="str">
        <f>IF(0+(AJ21="X")&gt;0,"",IF(0+((AJ21&lt;&gt;"Xm")*(AJ21&lt;&gt;"Xg")*(COUNTIFS($C$3:$Q$3,"MAT",$C21:$Q21,AJ$3)=0)*(COUNTIFS($C$3:$Q$3,"NOTTE",$C21:$Q21,AJ$3)=0)*(COUNTIFS($C$3:$Q$3,"NOTTE",$C20:$Q20,AJ$3)=0))+((AJ21&lt;&gt;"Xp")*(AJ21&lt;&gt;"Xg")*(COUNTIFS($C$3:$Q$3,"POM",$C21:$Q21,AJ$3)=0)*(COUNTIFS($C$3:$Q$3,"NOTTE",$C21:$Q21,AJ$3)=0)*(COUNTIFS($C$3:$Q$3,"NOTTE",$C20:$Q20,AJ$3)=0))+((AJ21&lt;&gt;"Xn")*(COUNTIFS($C$3:$Q$3,"MAT",$C21:$Q21,AJ$3)=0)*(COUNTIFS($C$3:$Q$3,"POM",$C21:$Q21,AJ$3)=0)*(COUNTIFS($C$3:$Q$3,"NOTTE",$C21:$Q21,AJ$3)=0)*(COUNTIFS($C$3:$Q$3,"NOTTE",$C20:$Q20,AJ$3)=0))=0,"",IF(0+((AJ21&lt;&gt;"Xm")*(AJ21&lt;&gt;"Xg")*(COUNTIFS($C$3:$Q$3,"MAT",$C21:$Q21,AJ$3)=0)*(COUNTIFS($C$3:$Q$3,"NOTTE",$C21:$Q21,AJ$3)=0)*(COUNTIFS($C$3:$Q$3,"NOTTE",$C20:$Q20,AJ$3)=0))+((AJ21&lt;&gt;"Xp")*(AJ21&lt;&gt;"Xg")*(COUNTIFS($C$3:$Q$3,"POM",$C21:$Q21,AJ$3)=0)*(COUNTIFS($C$3:$Q$3,"NOTTE",$C21:$Q21,AJ$3)=0)*(COUNTIFS($C$3:$Q$3,"NOTTE",$C20:$Q20,AJ$3)=0))+((AJ21&lt;&gt;"Xn")*(COUNTIFS($C$3:$Q$3,"MAT",$C21:$Q21,AJ$3)=0)*(COUNTIFS($C$3:$Q$3,"POM",$C21:$Q21,AJ$3)=0)*(COUNTIFS($C$3:$Q$3,"NOTTE",$C21:$Q21,AJ$3)=0)*(COUNTIFS($C$3:$Q$3,"NOTTE",$C20:$Q20,AJ$3)=0))=3,AJ$3&amp;", ",AJ$3&amp;IF((AJ21&lt;&gt;"Xm")*(AJ21&lt;&gt;"Xg")*(COUNTIFS($C$3:$Q$3,"MAT",$C21:$Q21,AJ$3)=0)*(COUNTIFS($C$3:$Q$3,"NOTTE",$C21:$Q21,AJ$3)=0)*(COUNTIFS($C$3:$Q$3,"NOTTE",$C20:$Q20,AJ$3)=0),"_m","")&amp;IF((AJ21&lt;&gt;"Xp")*(AJ21&lt;&gt;"Xg")*(COUNTIFS($C$3:$Q$3,"POM",$C21:$Q21,AJ$3)=0)*(COUNTIFS($C$3:$Q$3,"NOTTE",$C21:$Q21,AJ$3)=0)*(COUNTIFS($C$3:$Q$3,"NOTTE",$C20:$Q20,AJ$3)=0),"_p","")&amp;IF((AJ21&lt;&gt;"Xn")*(COUNTIFS($C$3:$Q$3,"MAT",$C21:$Q21,AJ$3)=0)*(COUNTIFS($C$3:$Q$3,"POM",$C21:$Q21,AJ$3)=0)*(COUNTIFS($C$3:$Q$3,"NOTTE",$C21:$Q21,AJ$3)=0)*(COUNTIFS($C$3:$Q$3,"NOTTE",$C20:$Q20,AJ$3)=0),"_n","")&amp;", ")))</f>
        <v xml:space="preserve">CONTI A, </v>
      </c>
      <c r="CN21" s="9" t="str">
        <f>IF(0+(AK21="X")&gt;0,"",IF(0+((AK21&lt;&gt;"Xm")*(AK21&lt;&gt;"Xg")*(COUNTIFS($C$3:$Q$3,"MAT",$C21:$Q21,AK$3)=0)*(COUNTIFS($C$3:$Q$3,"NOTTE",$C21:$Q21,AK$3)=0)*(COUNTIFS($C$3:$Q$3,"NOTTE",$C20:$Q20,AK$3)=0))+((AK21&lt;&gt;"Xp")*(AK21&lt;&gt;"Xg")*(COUNTIFS($C$3:$Q$3,"POM",$C21:$Q21,AK$3)=0)*(COUNTIFS($C$3:$Q$3,"NOTTE",$C21:$Q21,AK$3)=0)*(COUNTIFS($C$3:$Q$3,"NOTTE",$C20:$Q20,AK$3)=0))+((AK21&lt;&gt;"Xn")*(COUNTIFS($C$3:$Q$3,"MAT",$C21:$Q21,AK$3)=0)*(COUNTIFS($C$3:$Q$3,"POM",$C21:$Q21,AK$3)=0)*(COUNTIFS($C$3:$Q$3,"NOTTE",$C21:$Q21,AK$3)=0)*(COUNTIFS($C$3:$Q$3,"NOTTE",$C20:$Q20,AK$3)=0))=0,"",IF(0+((AK21&lt;&gt;"Xm")*(AK21&lt;&gt;"Xg")*(COUNTIFS($C$3:$Q$3,"MAT",$C21:$Q21,AK$3)=0)*(COUNTIFS($C$3:$Q$3,"NOTTE",$C21:$Q21,AK$3)=0)*(COUNTIFS($C$3:$Q$3,"NOTTE",$C20:$Q20,AK$3)=0))+((AK21&lt;&gt;"Xp")*(AK21&lt;&gt;"Xg")*(COUNTIFS($C$3:$Q$3,"POM",$C21:$Q21,AK$3)=0)*(COUNTIFS($C$3:$Q$3,"NOTTE",$C21:$Q21,AK$3)=0)*(COUNTIFS($C$3:$Q$3,"NOTTE",$C20:$Q20,AK$3)=0))+((AK21&lt;&gt;"Xn")*(COUNTIFS($C$3:$Q$3,"MAT",$C21:$Q21,AK$3)=0)*(COUNTIFS($C$3:$Q$3,"POM",$C21:$Q21,AK$3)=0)*(COUNTIFS($C$3:$Q$3,"NOTTE",$C21:$Q21,AK$3)=0)*(COUNTIFS($C$3:$Q$3,"NOTTE",$C20:$Q20,AK$3)=0))=3,AK$3&amp;", ",AK$3&amp;IF((AK21&lt;&gt;"Xm")*(AK21&lt;&gt;"Xg")*(COUNTIFS($C$3:$Q$3,"MAT",$C21:$Q21,AK$3)=0)*(COUNTIFS($C$3:$Q$3,"NOTTE",$C21:$Q21,AK$3)=0)*(COUNTIFS($C$3:$Q$3,"NOTTE",$C20:$Q20,AK$3)=0),"_m","")&amp;IF((AK21&lt;&gt;"Xp")*(AK21&lt;&gt;"Xg")*(COUNTIFS($C$3:$Q$3,"POM",$C21:$Q21,AK$3)=0)*(COUNTIFS($C$3:$Q$3,"NOTTE",$C21:$Q21,AK$3)=0)*(COUNTIFS($C$3:$Q$3,"NOTTE",$C20:$Q20,AK$3)=0),"_p","")&amp;IF((AK21&lt;&gt;"Xn")*(COUNTIFS($C$3:$Q$3,"MAT",$C21:$Q21,AK$3)=0)*(COUNTIFS($C$3:$Q$3,"POM",$C21:$Q21,AK$3)=0)*(COUNTIFS($C$3:$Q$3,"NOTTE",$C21:$Q21,AK$3)=0)*(COUNTIFS($C$3:$Q$3,"NOTTE",$C20:$Q20,AK$3)=0),"_n","")&amp;", ")))</f>
        <v xml:space="preserve">CONTI S, </v>
      </c>
      <c r="CO21" s="9" t="str">
        <f>IF(0+(AL21="X")&gt;0,"",IF(0+((AL21&lt;&gt;"Xm")*(AL21&lt;&gt;"Xg")*(COUNTIFS($C$3:$Q$3,"MAT",$C21:$Q21,AL$3)=0)*(COUNTIFS($C$3:$Q$3,"NOTTE",$C21:$Q21,AL$3)=0)*(COUNTIFS($C$3:$Q$3,"NOTTE",$C20:$Q20,AL$3)=0))+((AL21&lt;&gt;"Xp")*(AL21&lt;&gt;"Xg")*(COUNTIFS($C$3:$Q$3,"POM",$C21:$Q21,AL$3)=0)*(COUNTIFS($C$3:$Q$3,"NOTTE",$C21:$Q21,AL$3)=0)*(COUNTIFS($C$3:$Q$3,"NOTTE",$C20:$Q20,AL$3)=0))+((AL21&lt;&gt;"Xn")*(COUNTIFS($C$3:$Q$3,"MAT",$C21:$Q21,AL$3)=0)*(COUNTIFS($C$3:$Q$3,"POM",$C21:$Q21,AL$3)=0)*(COUNTIFS($C$3:$Q$3,"NOTTE",$C21:$Q21,AL$3)=0)*(COUNTIFS($C$3:$Q$3,"NOTTE",$C20:$Q20,AL$3)=0))=0,"",IF(0+((AL21&lt;&gt;"Xm")*(AL21&lt;&gt;"Xg")*(COUNTIFS($C$3:$Q$3,"MAT",$C21:$Q21,AL$3)=0)*(COUNTIFS($C$3:$Q$3,"NOTTE",$C21:$Q21,AL$3)=0)*(COUNTIFS($C$3:$Q$3,"NOTTE",$C20:$Q20,AL$3)=0))+((AL21&lt;&gt;"Xp")*(AL21&lt;&gt;"Xg")*(COUNTIFS($C$3:$Q$3,"POM",$C21:$Q21,AL$3)=0)*(COUNTIFS($C$3:$Q$3,"NOTTE",$C21:$Q21,AL$3)=0)*(COUNTIFS($C$3:$Q$3,"NOTTE",$C20:$Q20,AL$3)=0))+((AL21&lt;&gt;"Xn")*(COUNTIFS($C$3:$Q$3,"MAT",$C21:$Q21,AL$3)=0)*(COUNTIFS($C$3:$Q$3,"POM",$C21:$Q21,AL$3)=0)*(COUNTIFS($C$3:$Q$3,"NOTTE",$C21:$Q21,AL$3)=0)*(COUNTIFS($C$3:$Q$3,"NOTTE",$C20:$Q20,AL$3)=0))=3,AL$3&amp;", ",AL$3&amp;IF((AL21&lt;&gt;"Xm")*(AL21&lt;&gt;"Xg")*(COUNTIFS($C$3:$Q$3,"MAT",$C21:$Q21,AL$3)=0)*(COUNTIFS($C$3:$Q$3,"NOTTE",$C21:$Q21,AL$3)=0)*(COUNTIFS($C$3:$Q$3,"NOTTE",$C20:$Q20,AL$3)=0),"_m","")&amp;IF((AL21&lt;&gt;"Xp")*(AL21&lt;&gt;"Xg")*(COUNTIFS($C$3:$Q$3,"POM",$C21:$Q21,AL$3)=0)*(COUNTIFS($C$3:$Q$3,"NOTTE",$C21:$Q21,AL$3)=0)*(COUNTIFS($C$3:$Q$3,"NOTTE",$C20:$Q20,AL$3)=0),"_p","")&amp;IF((AL21&lt;&gt;"Xn")*(COUNTIFS($C$3:$Q$3,"MAT",$C21:$Q21,AL$3)=0)*(COUNTIFS($C$3:$Q$3,"POM",$C21:$Q21,AL$3)=0)*(COUNTIFS($C$3:$Q$3,"NOTTE",$C21:$Q21,AL$3)=0)*(COUNTIFS($C$3:$Q$3,"NOTTE",$C20:$Q20,AL$3)=0),"_n","")&amp;", ")))</f>
        <v xml:space="preserve">FERRARI, </v>
      </c>
      <c r="CP21" s="9" t="str">
        <f>IF(0+(AM21="X")&gt;0,"",IF(0+((AM21&lt;&gt;"Xm")*(AM21&lt;&gt;"Xg")*(COUNTIFS($C$3:$Q$3,"MAT",$C21:$Q21,AM$3)=0)*(COUNTIFS($C$3:$Q$3,"NOTTE",$C21:$Q21,AM$3)=0)*(COUNTIFS($C$3:$Q$3,"NOTTE",$C20:$Q20,AM$3)=0))+((AM21&lt;&gt;"Xp")*(AM21&lt;&gt;"Xg")*(COUNTIFS($C$3:$Q$3,"POM",$C21:$Q21,AM$3)=0)*(COUNTIFS($C$3:$Q$3,"NOTTE",$C21:$Q21,AM$3)=0)*(COUNTIFS($C$3:$Q$3,"NOTTE",$C20:$Q20,AM$3)=0))+((AM21&lt;&gt;"Xn")*(COUNTIFS($C$3:$Q$3,"MAT",$C21:$Q21,AM$3)=0)*(COUNTIFS($C$3:$Q$3,"POM",$C21:$Q21,AM$3)=0)*(COUNTIFS($C$3:$Q$3,"NOTTE",$C21:$Q21,AM$3)=0)*(COUNTIFS($C$3:$Q$3,"NOTTE",$C20:$Q20,AM$3)=0))=0,"",IF(0+((AM21&lt;&gt;"Xm")*(AM21&lt;&gt;"Xg")*(COUNTIFS($C$3:$Q$3,"MAT",$C21:$Q21,AM$3)=0)*(COUNTIFS($C$3:$Q$3,"NOTTE",$C21:$Q21,AM$3)=0)*(COUNTIFS($C$3:$Q$3,"NOTTE",$C20:$Q20,AM$3)=0))+((AM21&lt;&gt;"Xp")*(AM21&lt;&gt;"Xg")*(COUNTIFS($C$3:$Q$3,"POM",$C21:$Q21,AM$3)=0)*(COUNTIFS($C$3:$Q$3,"NOTTE",$C21:$Q21,AM$3)=0)*(COUNTIFS($C$3:$Q$3,"NOTTE",$C20:$Q20,AM$3)=0))+((AM21&lt;&gt;"Xn")*(COUNTIFS($C$3:$Q$3,"MAT",$C21:$Q21,AM$3)=0)*(COUNTIFS($C$3:$Q$3,"POM",$C21:$Q21,AM$3)=0)*(COUNTIFS($C$3:$Q$3,"NOTTE",$C21:$Q21,AM$3)=0)*(COUNTIFS($C$3:$Q$3,"NOTTE",$C20:$Q20,AM$3)=0))=3,AM$3&amp;", ",AM$3&amp;IF((AM21&lt;&gt;"Xm")*(AM21&lt;&gt;"Xg")*(COUNTIFS($C$3:$Q$3,"MAT",$C21:$Q21,AM$3)=0)*(COUNTIFS($C$3:$Q$3,"NOTTE",$C21:$Q21,AM$3)=0)*(COUNTIFS($C$3:$Q$3,"NOTTE",$C20:$Q20,AM$3)=0),"_m","")&amp;IF((AM21&lt;&gt;"Xp")*(AM21&lt;&gt;"Xg")*(COUNTIFS($C$3:$Q$3,"POM",$C21:$Q21,AM$3)=0)*(COUNTIFS($C$3:$Q$3,"NOTTE",$C21:$Q21,AM$3)=0)*(COUNTIFS($C$3:$Q$3,"NOTTE",$C20:$Q20,AM$3)=0),"_p","")&amp;IF((AM21&lt;&gt;"Xn")*(COUNTIFS($C$3:$Q$3,"MAT",$C21:$Q21,AM$3)=0)*(COUNTIFS($C$3:$Q$3,"POM",$C21:$Q21,AM$3)=0)*(COUNTIFS($C$3:$Q$3,"NOTTE",$C21:$Q21,AM$3)=0)*(COUNTIFS($C$3:$Q$3,"NOTTE",$C20:$Q20,AM$3)=0),"_n","")&amp;", ")))</f>
        <v xml:space="preserve">GRECO, </v>
      </c>
      <c r="CQ21" s="9" t="str">
        <f>IF(0+(AN21="X")&gt;0,"",IF(0+((AN21&lt;&gt;"Xm")*(AN21&lt;&gt;"Xg")*(COUNTIFS($C$3:$Q$3,"MAT",$C21:$Q21,AN$3)=0)*(COUNTIFS($C$3:$Q$3,"NOTTE",$C21:$Q21,AN$3)=0)*(COUNTIFS($C$3:$Q$3,"NOTTE",$C20:$Q20,AN$3)=0))+((AN21&lt;&gt;"Xp")*(AN21&lt;&gt;"Xg")*(COUNTIFS($C$3:$Q$3,"POM",$C21:$Q21,AN$3)=0)*(COUNTIFS($C$3:$Q$3,"NOTTE",$C21:$Q21,AN$3)=0)*(COUNTIFS($C$3:$Q$3,"NOTTE",$C20:$Q20,AN$3)=0))+((AN21&lt;&gt;"Xn")*(COUNTIFS($C$3:$Q$3,"MAT",$C21:$Q21,AN$3)=0)*(COUNTIFS($C$3:$Q$3,"POM",$C21:$Q21,AN$3)=0)*(COUNTIFS($C$3:$Q$3,"NOTTE",$C21:$Q21,AN$3)=0)*(COUNTIFS($C$3:$Q$3,"NOTTE",$C20:$Q20,AN$3)=0))=0,"",IF(0+((AN21&lt;&gt;"Xm")*(AN21&lt;&gt;"Xg")*(COUNTIFS($C$3:$Q$3,"MAT",$C21:$Q21,AN$3)=0)*(COUNTIFS($C$3:$Q$3,"NOTTE",$C21:$Q21,AN$3)=0)*(COUNTIFS($C$3:$Q$3,"NOTTE",$C20:$Q20,AN$3)=0))+((AN21&lt;&gt;"Xp")*(AN21&lt;&gt;"Xg")*(COUNTIFS($C$3:$Q$3,"POM",$C21:$Q21,AN$3)=0)*(COUNTIFS($C$3:$Q$3,"NOTTE",$C21:$Q21,AN$3)=0)*(COUNTIFS($C$3:$Q$3,"NOTTE",$C20:$Q20,AN$3)=0))+((AN21&lt;&gt;"Xn")*(COUNTIFS($C$3:$Q$3,"MAT",$C21:$Q21,AN$3)=0)*(COUNTIFS($C$3:$Q$3,"POM",$C21:$Q21,AN$3)=0)*(COUNTIFS($C$3:$Q$3,"NOTTE",$C21:$Q21,AN$3)=0)*(COUNTIFS($C$3:$Q$3,"NOTTE",$C20:$Q20,AN$3)=0))=3,AN$3&amp;", ",AN$3&amp;IF((AN21&lt;&gt;"Xm")*(AN21&lt;&gt;"Xg")*(COUNTIFS($C$3:$Q$3,"MAT",$C21:$Q21,AN$3)=0)*(COUNTIFS($C$3:$Q$3,"NOTTE",$C21:$Q21,AN$3)=0)*(COUNTIFS($C$3:$Q$3,"NOTTE",$C20:$Q20,AN$3)=0),"_m","")&amp;IF((AN21&lt;&gt;"Xp")*(AN21&lt;&gt;"Xg")*(COUNTIFS($C$3:$Q$3,"POM",$C21:$Q21,AN$3)=0)*(COUNTIFS($C$3:$Q$3,"NOTTE",$C21:$Q21,AN$3)=0)*(COUNTIFS($C$3:$Q$3,"NOTTE",$C20:$Q20,AN$3)=0),"_p","")&amp;IF((AN21&lt;&gt;"Xn")*(COUNTIFS($C$3:$Q$3,"MAT",$C21:$Q21,AN$3)=0)*(COUNTIFS($C$3:$Q$3,"POM",$C21:$Q21,AN$3)=0)*(COUNTIFS($C$3:$Q$3,"NOTTE",$C21:$Q21,AN$3)=0)*(COUNTIFS($C$3:$Q$3,"NOTTE",$C20:$Q20,AN$3)=0),"_n","")&amp;", ")))</f>
        <v xml:space="preserve">SANNA, </v>
      </c>
      <c r="CR21" s="9" t="str">
        <f>IF(0+(AO21="X")&gt;0,"",IF(0+((AO21&lt;&gt;"Xm")*(AO21&lt;&gt;"Xg")*(COUNTIFS($C$3:$Q$3,"MAT",$C21:$Q21,AO$3)=0)*(COUNTIFS($C$3:$Q$3,"NOTTE",$C21:$Q21,AO$3)=0)*(COUNTIFS($C$3:$Q$3,"NOTTE",$C20:$Q20,AO$3)=0))+((AO21&lt;&gt;"Xp")*(AO21&lt;&gt;"Xg")*(COUNTIFS($C$3:$Q$3,"POM",$C21:$Q21,AO$3)=0)*(COUNTIFS($C$3:$Q$3,"NOTTE",$C21:$Q21,AO$3)=0)*(COUNTIFS($C$3:$Q$3,"NOTTE",$C20:$Q20,AO$3)=0))+((AO21&lt;&gt;"Xn")*(COUNTIFS($C$3:$Q$3,"MAT",$C21:$Q21,AO$3)=0)*(COUNTIFS($C$3:$Q$3,"POM",$C21:$Q21,AO$3)=0)*(COUNTIFS($C$3:$Q$3,"NOTTE",$C21:$Q21,AO$3)=0)*(COUNTIFS($C$3:$Q$3,"NOTTE",$C20:$Q20,AO$3)=0))=0,"",IF(0+((AO21&lt;&gt;"Xm")*(AO21&lt;&gt;"Xg")*(COUNTIFS($C$3:$Q$3,"MAT",$C21:$Q21,AO$3)=0)*(COUNTIFS($C$3:$Q$3,"NOTTE",$C21:$Q21,AO$3)=0)*(COUNTIFS($C$3:$Q$3,"NOTTE",$C20:$Q20,AO$3)=0))+((AO21&lt;&gt;"Xp")*(AO21&lt;&gt;"Xg")*(COUNTIFS($C$3:$Q$3,"POM",$C21:$Q21,AO$3)=0)*(COUNTIFS($C$3:$Q$3,"NOTTE",$C21:$Q21,AO$3)=0)*(COUNTIFS($C$3:$Q$3,"NOTTE",$C20:$Q20,AO$3)=0))+((AO21&lt;&gt;"Xn")*(COUNTIFS($C$3:$Q$3,"MAT",$C21:$Q21,AO$3)=0)*(COUNTIFS($C$3:$Q$3,"POM",$C21:$Q21,AO$3)=0)*(COUNTIFS($C$3:$Q$3,"NOTTE",$C21:$Q21,AO$3)=0)*(COUNTIFS($C$3:$Q$3,"NOTTE",$C20:$Q20,AO$3)=0))=3,AO$3&amp;", ",AO$3&amp;IF((AO21&lt;&gt;"Xm")*(AO21&lt;&gt;"Xg")*(COUNTIFS($C$3:$Q$3,"MAT",$C21:$Q21,AO$3)=0)*(COUNTIFS($C$3:$Q$3,"NOTTE",$C21:$Q21,AO$3)=0)*(COUNTIFS($C$3:$Q$3,"NOTTE",$C20:$Q20,AO$3)=0),"_m","")&amp;IF((AO21&lt;&gt;"Xp")*(AO21&lt;&gt;"Xg")*(COUNTIFS($C$3:$Q$3,"POM",$C21:$Q21,AO$3)=0)*(COUNTIFS($C$3:$Q$3,"NOTTE",$C21:$Q21,AO$3)=0)*(COUNTIFS($C$3:$Q$3,"NOTTE",$C20:$Q20,AO$3)=0),"_p","")&amp;IF((AO21&lt;&gt;"Xn")*(COUNTIFS($C$3:$Q$3,"MAT",$C21:$Q21,AO$3)=0)*(COUNTIFS($C$3:$Q$3,"POM",$C21:$Q21,AO$3)=0)*(COUNTIFS($C$3:$Q$3,"NOTTE",$C21:$Q21,AO$3)=0)*(COUNTIFS($C$3:$Q$3,"NOTTE",$C20:$Q20,AO$3)=0),"_n","")&amp;", ")))</f>
        <v xml:space="preserve">LI, </v>
      </c>
    </row>
    <row r="22">
      <c r="A22" s="10" t="str">
        <f>CHOOSE(WEEKDAY(DATE($B$1,$A$2,B22),2),"lunedì","martedì","mercoledì","giovedì","venerdì","sabato","domenica")</f>
        <v>giovedì</v>
      </c>
      <c r="B22" s="10" t="n">
        <v>19</v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4" t="n"/>
      <c r="M22" s="11" t="n"/>
      <c r="N22" s="11" t="n"/>
      <c r="O22" s="11" t="n"/>
      <c r="P22" s="4" t="n"/>
      <c r="Q22" s="11" t="n"/>
      <c r="R22" s="11" t="n"/>
      <c r="S22" s="11">
        <f>IF(SUMPRODUCT(($C$3:$Q$3&lt;&gt;"")*($C22:$Q22&lt;&gt;"")*(LEFT($C22:$Q22,6)&lt;&gt;"chiuso")*(COUNTIFS($C22:$Q22,$C22:$Q22,$C$3:$Q$3,$C$3:$Q$3)&gt;1))&gt;0,"X","")</f>
      </c>
      <c r="T22" s="11" t="str">
        <f>IF(LEN(BP22&amp;BQ22&amp;BR22&amp;BS22&amp;BT22&amp;BU22&amp;BV22&amp;BW22&amp;BX22&amp;BY22&amp;BZ22&amp;CA22&amp;CB22&amp;CC22)=0,"",LEFT(BP22&amp;BQ22&amp;BR22&amp;BS22&amp;BT22&amp;BU22&amp;BV22&amp;BW22&amp;BX22&amp;BY22&amp;BZ22&amp;CA22&amp;CB22&amp;CC22,LEN(BP22&amp;BQ22&amp;BR22&amp;BS22&amp;BT22&amp;BU22&amp;BV22&amp;BW22&amp;BX22&amp;BY22&amp;BZ22&amp;CA22&amp;CB22&amp;CC22)-2))</f>
        <v>LEONI, ROSSI M, ROSSI L, GALLINA, RUSSO, VERDI, HU, MARINI, CONTI A, CONTI S, FERRARI, GRECO, SANNA, LI</v>
      </c>
      <c r="U22" s="11" t="str">
        <f>IF(LEN(CE22&amp;CF22&amp;CG22&amp;CH22&amp;CI22&amp;CJ22&amp;CK22&amp;CL22&amp;CM22&amp;CN22&amp;CO22&amp;CP22&amp;CQ22&amp;CR22)=0,"",LEFT(CE22&amp;CF22&amp;CG22&amp;CH22&amp;CI22&amp;CJ22&amp;CK22&amp;CL22&amp;CM22&amp;CN22&amp;CO22&amp;CP22&amp;CQ22&amp;CR22,LEN(CE22&amp;CF22&amp;CG22&amp;CH22&amp;CI22&amp;CJ22&amp;CK22&amp;CL22&amp;CM22&amp;CN22&amp;CO22&amp;CP22&amp;CQ22&amp;CR22)-2))</f>
        <v>LEONI, ROSSI M, ROSSI L, GALLINA, RUSSO, VERDI, HU, MARINI, CONTI A, CONTI S, FERRARI, GRECO, SANNA, LI</v>
      </c>
      <c r="Z22" s="10" t="str">
        <f>A22</f>
        <v>giovedì</v>
      </c>
      <c r="AA22" s="10">
        <f>B22</f>
        <v>19</v>
      </c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BP22" s="9" t="str">
        <f>IF(0+(AB22="X")&gt;0,"",IF(0+((AB22&lt;&gt;"Xm")*(AB22&lt;&gt;"Xg"))+((AB22&lt;&gt;"Xp")*(AB22&lt;&gt;"Xg"))+((AB22&lt;&gt;"Xn"))=0,"",IF(0+((AB22&lt;&gt;"Xm")*(AB22&lt;&gt;"Xg"))+((AB22&lt;&gt;"Xp")*(AB22&lt;&gt;"Xg"))+((AB22&lt;&gt;"Xn"))=3,AB$3&amp;", ",AB$3&amp;IF((AB22&lt;&gt;"Xm")*(AB22&lt;&gt;"Xg"),"_m","")&amp;IF((AB22&lt;&gt;"Xp")*(AB22&lt;&gt;"Xg"),"_p","")&amp;IF((AB22&lt;&gt;"Xn"),"_n","")&amp;", ")))</f>
        <v xml:space="preserve">LEONI, </v>
      </c>
      <c r="BQ22" s="9" t="str">
        <f>IF(0+(AC22="X")&gt;0,"",IF(0+((AC22&lt;&gt;"Xm")*(AC22&lt;&gt;"Xg"))+((AC22&lt;&gt;"Xp")*(AC22&lt;&gt;"Xg"))+((AC22&lt;&gt;"Xn"))=0,"",IF(0+((AC22&lt;&gt;"Xm")*(AC22&lt;&gt;"Xg"))+((AC22&lt;&gt;"Xp")*(AC22&lt;&gt;"Xg"))+((AC22&lt;&gt;"Xn"))=3,AC$3&amp;", ",AC$3&amp;IF((AC22&lt;&gt;"Xm")*(AC22&lt;&gt;"Xg"),"_m","")&amp;IF((AC22&lt;&gt;"Xp")*(AC22&lt;&gt;"Xg"),"_p","")&amp;IF((AC22&lt;&gt;"Xn"),"_n","")&amp;", ")))</f>
        <v xml:space="preserve">ROSSI M, </v>
      </c>
      <c r="BR22" s="9" t="str">
        <f>IF(0+(AD22="X")&gt;0,"",IF(0+((AD22&lt;&gt;"Xm")*(AD22&lt;&gt;"Xg"))+((AD22&lt;&gt;"Xp")*(AD22&lt;&gt;"Xg"))+((AD22&lt;&gt;"Xn"))=0,"",IF(0+((AD22&lt;&gt;"Xm")*(AD22&lt;&gt;"Xg"))+((AD22&lt;&gt;"Xp")*(AD22&lt;&gt;"Xg"))+((AD22&lt;&gt;"Xn"))=3,AD$3&amp;", ",AD$3&amp;IF((AD22&lt;&gt;"Xm")*(AD22&lt;&gt;"Xg"),"_m","")&amp;IF((AD22&lt;&gt;"Xp")*(AD22&lt;&gt;"Xg"),"_p","")&amp;IF((AD22&lt;&gt;"Xn"),"_n","")&amp;", ")))</f>
        <v xml:space="preserve">ROSSI L, </v>
      </c>
      <c r="BS22" s="9" t="str">
        <f>IF(0+(AE22="X")&gt;0,"",IF(0+((AE22&lt;&gt;"Xm")*(AE22&lt;&gt;"Xg"))+((AE22&lt;&gt;"Xp")*(AE22&lt;&gt;"Xg"))+((AE22&lt;&gt;"Xn"))=0,"",IF(0+((AE22&lt;&gt;"Xm")*(AE22&lt;&gt;"Xg"))+((AE22&lt;&gt;"Xp")*(AE22&lt;&gt;"Xg"))+((AE22&lt;&gt;"Xn"))=3,AE$3&amp;", ",AE$3&amp;IF((AE22&lt;&gt;"Xm")*(AE22&lt;&gt;"Xg"),"_m","")&amp;IF((AE22&lt;&gt;"Xp")*(AE22&lt;&gt;"Xg"),"_p","")&amp;IF((AE22&lt;&gt;"Xn"),"_n","")&amp;", ")))</f>
        <v xml:space="preserve">GALLINA, </v>
      </c>
      <c r="BT22" s="9" t="str">
        <f>IF(0+(AF22="X")&gt;0,"",IF(0+((AF22&lt;&gt;"Xm")*(AF22&lt;&gt;"Xg"))+((AF22&lt;&gt;"Xp")*(AF22&lt;&gt;"Xg"))+((AF22&lt;&gt;"Xn"))=0,"",IF(0+((AF22&lt;&gt;"Xm")*(AF22&lt;&gt;"Xg"))+((AF22&lt;&gt;"Xp")*(AF22&lt;&gt;"Xg"))+((AF22&lt;&gt;"Xn"))=3,AF$3&amp;", ",AF$3&amp;IF((AF22&lt;&gt;"Xm")*(AF22&lt;&gt;"Xg"),"_m","")&amp;IF((AF22&lt;&gt;"Xp")*(AF22&lt;&gt;"Xg"),"_p","")&amp;IF((AF22&lt;&gt;"Xn"),"_n","")&amp;", ")))</f>
        <v xml:space="preserve">RUSSO, </v>
      </c>
      <c r="BU22" s="9" t="str">
        <f>IF(0+(AG22="X")&gt;0,"",IF(0+((AG22&lt;&gt;"Xm")*(AG22&lt;&gt;"Xg"))+((AG22&lt;&gt;"Xp")*(AG22&lt;&gt;"Xg"))+((AG22&lt;&gt;"Xn"))=0,"",IF(0+((AG22&lt;&gt;"Xm")*(AG22&lt;&gt;"Xg"))+((AG22&lt;&gt;"Xp")*(AG22&lt;&gt;"Xg"))+((AG22&lt;&gt;"Xn"))=3,AG$3&amp;", ",AG$3&amp;IF((AG22&lt;&gt;"Xm")*(AG22&lt;&gt;"Xg"),"_m","")&amp;IF((AG22&lt;&gt;"Xp")*(AG22&lt;&gt;"Xg"),"_p","")&amp;IF((AG22&lt;&gt;"Xn"),"_n","")&amp;", ")))</f>
        <v xml:space="preserve">VERDI, </v>
      </c>
      <c r="BV22" s="9" t="str">
        <f>IF(0+(AH22="X")&gt;0,"",IF(0+((AH22&lt;&gt;"Xm")*(AH22&lt;&gt;"Xg"))+((AH22&lt;&gt;"Xp")*(AH22&lt;&gt;"Xg"))+((AH22&lt;&gt;"Xn"))=0,"",IF(0+((AH22&lt;&gt;"Xm")*(AH22&lt;&gt;"Xg"))+((AH22&lt;&gt;"Xp")*(AH22&lt;&gt;"Xg"))+((AH22&lt;&gt;"Xn"))=3,AH$3&amp;", ",AH$3&amp;IF((AH22&lt;&gt;"Xm")*(AH22&lt;&gt;"Xg"),"_m","")&amp;IF((AH22&lt;&gt;"Xp")*(AH22&lt;&gt;"Xg"),"_p","")&amp;IF((AH22&lt;&gt;"Xn"),"_n","")&amp;", ")))</f>
        <v xml:space="preserve">HU, </v>
      </c>
      <c r="BW22" s="9" t="str">
        <f>IF(0+(AI22="X")&gt;0,"",IF(0+((AI22&lt;&gt;"Xm")*(AI22&lt;&gt;"Xg"))+((AI22&lt;&gt;"Xp")*(AI22&lt;&gt;"Xg"))+((AI22&lt;&gt;"Xn"))=0,"",IF(0+((AI22&lt;&gt;"Xm")*(AI22&lt;&gt;"Xg"))+((AI22&lt;&gt;"Xp")*(AI22&lt;&gt;"Xg"))+((AI22&lt;&gt;"Xn"))=3,AI$3&amp;", ",AI$3&amp;IF((AI22&lt;&gt;"Xm")*(AI22&lt;&gt;"Xg"),"_m","")&amp;IF((AI22&lt;&gt;"Xp")*(AI22&lt;&gt;"Xg"),"_p","")&amp;IF((AI22&lt;&gt;"Xn"),"_n","")&amp;", ")))</f>
        <v xml:space="preserve">MARINI, </v>
      </c>
      <c r="BX22" s="9" t="str">
        <f>IF(0+(AJ22="X")&gt;0,"",IF(0+((AJ22&lt;&gt;"Xm")*(AJ22&lt;&gt;"Xg"))+((AJ22&lt;&gt;"Xp")*(AJ22&lt;&gt;"Xg"))+((AJ22&lt;&gt;"Xn"))=0,"",IF(0+((AJ22&lt;&gt;"Xm")*(AJ22&lt;&gt;"Xg"))+((AJ22&lt;&gt;"Xp")*(AJ22&lt;&gt;"Xg"))+((AJ22&lt;&gt;"Xn"))=3,AJ$3&amp;", ",AJ$3&amp;IF((AJ22&lt;&gt;"Xm")*(AJ22&lt;&gt;"Xg"),"_m","")&amp;IF((AJ22&lt;&gt;"Xp")*(AJ22&lt;&gt;"Xg"),"_p","")&amp;IF((AJ22&lt;&gt;"Xn"),"_n","")&amp;", ")))</f>
        <v xml:space="preserve">CONTI A, </v>
      </c>
      <c r="BY22" s="9" t="str">
        <f>IF(0+(AK22="X")&gt;0,"",IF(0+((AK22&lt;&gt;"Xm")*(AK22&lt;&gt;"Xg"))+((AK22&lt;&gt;"Xp")*(AK22&lt;&gt;"Xg"))+((AK22&lt;&gt;"Xn"))=0,"",IF(0+((AK22&lt;&gt;"Xm")*(AK22&lt;&gt;"Xg"))+((AK22&lt;&gt;"Xp")*(AK22&lt;&gt;"Xg"))+((AK22&lt;&gt;"Xn"))=3,AK$3&amp;", ",AK$3&amp;IF((AK22&lt;&gt;"Xm")*(AK22&lt;&gt;"Xg"),"_m","")&amp;IF((AK22&lt;&gt;"Xp")*(AK22&lt;&gt;"Xg"),"_p","")&amp;IF((AK22&lt;&gt;"Xn"),"_n","")&amp;", ")))</f>
        <v xml:space="preserve">CONTI S, </v>
      </c>
      <c r="BZ22" s="9" t="str">
        <f>IF(0+(AL22="X")&gt;0,"",IF(0+((AL22&lt;&gt;"Xm")*(AL22&lt;&gt;"Xg"))+((AL22&lt;&gt;"Xp")*(AL22&lt;&gt;"Xg"))+((AL22&lt;&gt;"Xn"))=0,"",IF(0+((AL22&lt;&gt;"Xm")*(AL22&lt;&gt;"Xg"))+((AL22&lt;&gt;"Xp")*(AL22&lt;&gt;"Xg"))+((AL22&lt;&gt;"Xn"))=3,AL$3&amp;", ",AL$3&amp;IF((AL22&lt;&gt;"Xm")*(AL22&lt;&gt;"Xg"),"_m","")&amp;IF((AL22&lt;&gt;"Xp")*(AL22&lt;&gt;"Xg"),"_p","")&amp;IF((AL22&lt;&gt;"Xn"),"_n","")&amp;", ")))</f>
        <v xml:space="preserve">FERRARI, </v>
      </c>
      <c r="CA22" s="9" t="str">
        <f>IF(0+(AM22="X")&gt;0,"",IF(0+((AM22&lt;&gt;"Xm")*(AM22&lt;&gt;"Xg"))+((AM22&lt;&gt;"Xp")*(AM22&lt;&gt;"Xg"))+((AM22&lt;&gt;"Xn"))=0,"",IF(0+((AM22&lt;&gt;"Xm")*(AM22&lt;&gt;"Xg"))+((AM22&lt;&gt;"Xp")*(AM22&lt;&gt;"Xg"))+((AM22&lt;&gt;"Xn"))=3,AM$3&amp;", ",AM$3&amp;IF((AM22&lt;&gt;"Xm")*(AM22&lt;&gt;"Xg"),"_m","")&amp;IF((AM22&lt;&gt;"Xp")*(AM22&lt;&gt;"Xg"),"_p","")&amp;IF((AM22&lt;&gt;"Xn"),"_n","")&amp;", ")))</f>
        <v xml:space="preserve">GRECO, </v>
      </c>
      <c r="CB22" s="9" t="str">
        <f>IF(0+(AN22="X")&gt;0,"",IF(0+((AN22&lt;&gt;"Xm")*(AN22&lt;&gt;"Xg"))+((AN22&lt;&gt;"Xp")*(AN22&lt;&gt;"Xg"))+((AN22&lt;&gt;"Xn"))=0,"",IF(0+((AN22&lt;&gt;"Xm")*(AN22&lt;&gt;"Xg"))+((AN22&lt;&gt;"Xp")*(AN22&lt;&gt;"Xg"))+((AN22&lt;&gt;"Xn"))=3,AN$3&amp;", ",AN$3&amp;IF((AN22&lt;&gt;"Xm")*(AN22&lt;&gt;"Xg"),"_m","")&amp;IF((AN22&lt;&gt;"Xp")*(AN22&lt;&gt;"Xg"),"_p","")&amp;IF((AN22&lt;&gt;"Xn"),"_n","")&amp;", ")))</f>
        <v xml:space="preserve">SANNA, </v>
      </c>
      <c r="CC22" s="9" t="str">
        <f>IF(0+(AO22="X")&gt;0,"",IF(0+((AO22&lt;&gt;"Xm")*(AO22&lt;&gt;"Xg"))+((AO22&lt;&gt;"Xp")*(AO22&lt;&gt;"Xg"))+((AO22&lt;&gt;"Xn"))=0,"",IF(0+((AO22&lt;&gt;"Xm")*(AO22&lt;&gt;"Xg"))+((AO22&lt;&gt;"Xp")*(AO22&lt;&gt;"Xg"))+((AO22&lt;&gt;"Xn"))=3,AO$3&amp;", ",AO$3&amp;IF((AO22&lt;&gt;"Xm")*(AO22&lt;&gt;"Xg"),"_m","")&amp;IF((AO22&lt;&gt;"Xp")*(AO22&lt;&gt;"Xg"),"_p","")&amp;IF((AO22&lt;&gt;"Xn"),"_n","")&amp;", ")))</f>
        <v xml:space="preserve">LI, </v>
      </c>
      <c r="CD22" s="9" t="n"/>
      <c r="CE22" s="9" t="str">
        <f>IF(0+(AB22="X")&gt;0,"",IF(0+((AB22&lt;&gt;"Xm")*(AB22&lt;&gt;"Xg")*(COUNTIFS($C$3:$Q$3,"MAT",$C22:$Q22,AB$3)=0)*(COUNTIFS($C$3:$Q$3,"NOTTE",$C22:$Q22,AB$3)=0)*(COUNTIFS($C$3:$Q$3,"NOTTE",$C21:$Q21,AB$3)=0))+((AB22&lt;&gt;"Xp")*(AB22&lt;&gt;"Xg")*(COUNTIFS($C$3:$Q$3,"POM",$C22:$Q22,AB$3)=0)*(COUNTIFS($C$3:$Q$3,"NOTTE",$C22:$Q22,AB$3)=0)*(COUNTIFS($C$3:$Q$3,"NOTTE",$C21:$Q21,AB$3)=0))+((AB22&lt;&gt;"Xn")*(COUNTIFS($C$3:$Q$3,"MAT",$C22:$Q22,AB$3)=0)*(COUNTIFS($C$3:$Q$3,"POM",$C22:$Q22,AB$3)=0)*(COUNTIFS($C$3:$Q$3,"NOTTE",$C22:$Q22,AB$3)=0)*(COUNTIFS($C$3:$Q$3,"NOTTE",$C21:$Q21,AB$3)=0))=0,"",IF(0+((AB22&lt;&gt;"Xm")*(AB22&lt;&gt;"Xg")*(COUNTIFS($C$3:$Q$3,"MAT",$C22:$Q22,AB$3)=0)*(COUNTIFS($C$3:$Q$3,"NOTTE",$C22:$Q22,AB$3)=0)*(COUNTIFS($C$3:$Q$3,"NOTTE",$C21:$Q21,AB$3)=0))+((AB22&lt;&gt;"Xp")*(AB22&lt;&gt;"Xg")*(COUNTIFS($C$3:$Q$3,"POM",$C22:$Q22,AB$3)=0)*(COUNTIFS($C$3:$Q$3,"NOTTE",$C22:$Q22,AB$3)=0)*(COUNTIFS($C$3:$Q$3,"NOTTE",$C21:$Q21,AB$3)=0))+((AB22&lt;&gt;"Xn")*(COUNTIFS($C$3:$Q$3,"MAT",$C22:$Q22,AB$3)=0)*(COUNTIFS($C$3:$Q$3,"POM",$C22:$Q22,AB$3)=0)*(COUNTIFS($C$3:$Q$3,"NOTTE",$C22:$Q22,AB$3)=0)*(COUNTIFS($C$3:$Q$3,"NOTTE",$C21:$Q21,AB$3)=0))=3,AB$3&amp;", ",AB$3&amp;IF((AB22&lt;&gt;"Xm")*(AB22&lt;&gt;"Xg")*(COUNTIFS($C$3:$Q$3,"MAT",$C22:$Q22,AB$3)=0)*(COUNTIFS($C$3:$Q$3,"NOTTE",$C22:$Q22,AB$3)=0)*(COUNTIFS($C$3:$Q$3,"NOTTE",$C21:$Q21,AB$3)=0),"_m","")&amp;IF((AB22&lt;&gt;"Xp")*(AB22&lt;&gt;"Xg")*(COUNTIFS($C$3:$Q$3,"POM",$C22:$Q22,AB$3)=0)*(COUNTIFS($C$3:$Q$3,"NOTTE",$C22:$Q22,AB$3)=0)*(COUNTIFS($C$3:$Q$3,"NOTTE",$C21:$Q21,AB$3)=0),"_p","")&amp;IF((AB22&lt;&gt;"Xn")*(COUNTIFS($C$3:$Q$3,"MAT",$C22:$Q22,AB$3)=0)*(COUNTIFS($C$3:$Q$3,"POM",$C22:$Q22,AB$3)=0)*(COUNTIFS($C$3:$Q$3,"NOTTE",$C22:$Q22,AB$3)=0)*(COUNTIFS($C$3:$Q$3,"NOTTE",$C21:$Q21,AB$3)=0),"_n","")&amp;", ")))</f>
        <v xml:space="preserve">LEONI, </v>
      </c>
      <c r="CF22" s="9" t="str">
        <f>IF(0+(AC22="X")&gt;0,"",IF(0+((AC22&lt;&gt;"Xm")*(AC22&lt;&gt;"Xg")*(COUNTIFS($C$3:$Q$3,"MAT",$C22:$Q22,AC$3)=0)*(COUNTIFS($C$3:$Q$3,"NOTTE",$C22:$Q22,AC$3)=0)*(COUNTIFS($C$3:$Q$3,"NOTTE",$C21:$Q21,AC$3)=0))+((AC22&lt;&gt;"Xp")*(AC22&lt;&gt;"Xg")*(COUNTIFS($C$3:$Q$3,"POM",$C22:$Q22,AC$3)=0)*(COUNTIFS($C$3:$Q$3,"NOTTE",$C22:$Q22,AC$3)=0)*(COUNTIFS($C$3:$Q$3,"NOTTE",$C21:$Q21,AC$3)=0))+((AC22&lt;&gt;"Xn")*(COUNTIFS($C$3:$Q$3,"MAT",$C22:$Q22,AC$3)=0)*(COUNTIFS($C$3:$Q$3,"POM",$C22:$Q22,AC$3)=0)*(COUNTIFS($C$3:$Q$3,"NOTTE",$C22:$Q22,AC$3)=0)*(COUNTIFS($C$3:$Q$3,"NOTTE",$C21:$Q21,AC$3)=0))=0,"",IF(0+((AC22&lt;&gt;"Xm")*(AC22&lt;&gt;"Xg")*(COUNTIFS($C$3:$Q$3,"MAT",$C22:$Q22,AC$3)=0)*(COUNTIFS($C$3:$Q$3,"NOTTE",$C22:$Q22,AC$3)=0)*(COUNTIFS($C$3:$Q$3,"NOTTE",$C21:$Q21,AC$3)=0))+((AC22&lt;&gt;"Xp")*(AC22&lt;&gt;"Xg")*(COUNTIFS($C$3:$Q$3,"POM",$C22:$Q22,AC$3)=0)*(COUNTIFS($C$3:$Q$3,"NOTTE",$C22:$Q22,AC$3)=0)*(COUNTIFS($C$3:$Q$3,"NOTTE",$C21:$Q21,AC$3)=0))+((AC22&lt;&gt;"Xn")*(COUNTIFS($C$3:$Q$3,"MAT",$C22:$Q22,AC$3)=0)*(COUNTIFS($C$3:$Q$3,"POM",$C22:$Q22,AC$3)=0)*(COUNTIFS($C$3:$Q$3,"NOTTE",$C22:$Q22,AC$3)=0)*(COUNTIFS($C$3:$Q$3,"NOTTE",$C21:$Q21,AC$3)=0))=3,AC$3&amp;", ",AC$3&amp;IF((AC22&lt;&gt;"Xm")*(AC22&lt;&gt;"Xg")*(COUNTIFS($C$3:$Q$3,"MAT",$C22:$Q22,AC$3)=0)*(COUNTIFS($C$3:$Q$3,"NOTTE",$C22:$Q22,AC$3)=0)*(COUNTIFS($C$3:$Q$3,"NOTTE",$C21:$Q21,AC$3)=0),"_m","")&amp;IF((AC22&lt;&gt;"Xp")*(AC22&lt;&gt;"Xg")*(COUNTIFS($C$3:$Q$3,"POM",$C22:$Q22,AC$3)=0)*(COUNTIFS($C$3:$Q$3,"NOTTE",$C22:$Q22,AC$3)=0)*(COUNTIFS($C$3:$Q$3,"NOTTE",$C21:$Q21,AC$3)=0),"_p","")&amp;IF((AC22&lt;&gt;"Xn")*(COUNTIFS($C$3:$Q$3,"MAT",$C22:$Q22,AC$3)=0)*(COUNTIFS($C$3:$Q$3,"POM",$C22:$Q22,AC$3)=0)*(COUNTIFS($C$3:$Q$3,"NOTTE",$C22:$Q22,AC$3)=0)*(COUNTIFS($C$3:$Q$3,"NOTTE",$C21:$Q21,AC$3)=0),"_n","")&amp;", ")))</f>
        <v xml:space="preserve">ROSSI M, </v>
      </c>
      <c r="CG22" s="9" t="str">
        <f>IF(0+(AD22="X")&gt;0,"",IF(0+((AD22&lt;&gt;"Xm")*(AD22&lt;&gt;"Xg")*(COUNTIFS($C$3:$Q$3,"MAT",$C22:$Q22,AD$3)=0)*(COUNTIFS($C$3:$Q$3,"NOTTE",$C22:$Q22,AD$3)=0)*(COUNTIFS($C$3:$Q$3,"NOTTE",$C21:$Q21,AD$3)=0))+((AD22&lt;&gt;"Xp")*(AD22&lt;&gt;"Xg")*(COUNTIFS($C$3:$Q$3,"POM",$C22:$Q22,AD$3)=0)*(COUNTIFS($C$3:$Q$3,"NOTTE",$C22:$Q22,AD$3)=0)*(COUNTIFS($C$3:$Q$3,"NOTTE",$C21:$Q21,AD$3)=0))+((AD22&lt;&gt;"Xn")*(COUNTIFS($C$3:$Q$3,"MAT",$C22:$Q22,AD$3)=0)*(COUNTIFS($C$3:$Q$3,"POM",$C22:$Q22,AD$3)=0)*(COUNTIFS($C$3:$Q$3,"NOTTE",$C22:$Q22,AD$3)=0)*(COUNTIFS($C$3:$Q$3,"NOTTE",$C21:$Q21,AD$3)=0))=0,"",IF(0+((AD22&lt;&gt;"Xm")*(AD22&lt;&gt;"Xg")*(COUNTIFS($C$3:$Q$3,"MAT",$C22:$Q22,AD$3)=0)*(COUNTIFS($C$3:$Q$3,"NOTTE",$C22:$Q22,AD$3)=0)*(COUNTIFS($C$3:$Q$3,"NOTTE",$C21:$Q21,AD$3)=0))+((AD22&lt;&gt;"Xp")*(AD22&lt;&gt;"Xg")*(COUNTIFS($C$3:$Q$3,"POM",$C22:$Q22,AD$3)=0)*(COUNTIFS($C$3:$Q$3,"NOTTE",$C22:$Q22,AD$3)=0)*(COUNTIFS($C$3:$Q$3,"NOTTE",$C21:$Q21,AD$3)=0))+((AD22&lt;&gt;"Xn")*(COUNTIFS($C$3:$Q$3,"MAT",$C22:$Q22,AD$3)=0)*(COUNTIFS($C$3:$Q$3,"POM",$C22:$Q22,AD$3)=0)*(COUNTIFS($C$3:$Q$3,"NOTTE",$C22:$Q22,AD$3)=0)*(COUNTIFS($C$3:$Q$3,"NOTTE",$C21:$Q21,AD$3)=0))=3,AD$3&amp;", ",AD$3&amp;IF((AD22&lt;&gt;"Xm")*(AD22&lt;&gt;"Xg")*(COUNTIFS($C$3:$Q$3,"MAT",$C22:$Q22,AD$3)=0)*(COUNTIFS($C$3:$Q$3,"NOTTE",$C22:$Q22,AD$3)=0)*(COUNTIFS($C$3:$Q$3,"NOTTE",$C21:$Q21,AD$3)=0),"_m","")&amp;IF((AD22&lt;&gt;"Xp")*(AD22&lt;&gt;"Xg")*(COUNTIFS($C$3:$Q$3,"POM",$C22:$Q22,AD$3)=0)*(COUNTIFS($C$3:$Q$3,"NOTTE",$C22:$Q22,AD$3)=0)*(COUNTIFS($C$3:$Q$3,"NOTTE",$C21:$Q21,AD$3)=0),"_p","")&amp;IF((AD22&lt;&gt;"Xn")*(COUNTIFS($C$3:$Q$3,"MAT",$C22:$Q22,AD$3)=0)*(COUNTIFS($C$3:$Q$3,"POM",$C22:$Q22,AD$3)=0)*(COUNTIFS($C$3:$Q$3,"NOTTE",$C22:$Q22,AD$3)=0)*(COUNTIFS($C$3:$Q$3,"NOTTE",$C21:$Q21,AD$3)=0),"_n","")&amp;", ")))</f>
        <v xml:space="preserve">ROSSI L, </v>
      </c>
      <c r="CH22" s="9" t="str">
        <f>IF(0+(AE22="X")&gt;0,"",IF(0+((AE22&lt;&gt;"Xm")*(AE22&lt;&gt;"Xg")*(COUNTIFS($C$3:$Q$3,"MAT",$C22:$Q22,AE$3)=0)*(COUNTIFS($C$3:$Q$3,"NOTTE",$C22:$Q22,AE$3)=0)*(COUNTIFS($C$3:$Q$3,"NOTTE",$C21:$Q21,AE$3)=0))+((AE22&lt;&gt;"Xp")*(AE22&lt;&gt;"Xg")*(COUNTIFS($C$3:$Q$3,"POM",$C22:$Q22,AE$3)=0)*(COUNTIFS($C$3:$Q$3,"NOTTE",$C22:$Q22,AE$3)=0)*(COUNTIFS($C$3:$Q$3,"NOTTE",$C21:$Q21,AE$3)=0))+((AE22&lt;&gt;"Xn")*(COUNTIFS($C$3:$Q$3,"MAT",$C22:$Q22,AE$3)=0)*(COUNTIFS($C$3:$Q$3,"POM",$C22:$Q22,AE$3)=0)*(COUNTIFS($C$3:$Q$3,"NOTTE",$C22:$Q22,AE$3)=0)*(COUNTIFS($C$3:$Q$3,"NOTTE",$C21:$Q21,AE$3)=0))=0,"",IF(0+((AE22&lt;&gt;"Xm")*(AE22&lt;&gt;"Xg")*(COUNTIFS($C$3:$Q$3,"MAT",$C22:$Q22,AE$3)=0)*(COUNTIFS($C$3:$Q$3,"NOTTE",$C22:$Q22,AE$3)=0)*(COUNTIFS($C$3:$Q$3,"NOTTE",$C21:$Q21,AE$3)=0))+((AE22&lt;&gt;"Xp")*(AE22&lt;&gt;"Xg")*(COUNTIFS($C$3:$Q$3,"POM",$C22:$Q22,AE$3)=0)*(COUNTIFS($C$3:$Q$3,"NOTTE",$C22:$Q22,AE$3)=0)*(COUNTIFS($C$3:$Q$3,"NOTTE",$C21:$Q21,AE$3)=0))+((AE22&lt;&gt;"Xn")*(COUNTIFS($C$3:$Q$3,"MAT",$C22:$Q22,AE$3)=0)*(COUNTIFS($C$3:$Q$3,"POM",$C22:$Q22,AE$3)=0)*(COUNTIFS($C$3:$Q$3,"NOTTE",$C22:$Q22,AE$3)=0)*(COUNTIFS($C$3:$Q$3,"NOTTE",$C21:$Q21,AE$3)=0))=3,AE$3&amp;", ",AE$3&amp;IF((AE22&lt;&gt;"Xm")*(AE22&lt;&gt;"Xg")*(COUNTIFS($C$3:$Q$3,"MAT",$C22:$Q22,AE$3)=0)*(COUNTIFS($C$3:$Q$3,"NOTTE",$C22:$Q22,AE$3)=0)*(COUNTIFS($C$3:$Q$3,"NOTTE",$C21:$Q21,AE$3)=0),"_m","")&amp;IF((AE22&lt;&gt;"Xp")*(AE22&lt;&gt;"Xg")*(COUNTIFS($C$3:$Q$3,"POM",$C22:$Q22,AE$3)=0)*(COUNTIFS($C$3:$Q$3,"NOTTE",$C22:$Q22,AE$3)=0)*(COUNTIFS($C$3:$Q$3,"NOTTE",$C21:$Q21,AE$3)=0),"_p","")&amp;IF((AE22&lt;&gt;"Xn")*(COUNTIFS($C$3:$Q$3,"MAT",$C22:$Q22,AE$3)=0)*(COUNTIFS($C$3:$Q$3,"POM",$C22:$Q22,AE$3)=0)*(COUNTIFS($C$3:$Q$3,"NOTTE",$C22:$Q22,AE$3)=0)*(COUNTIFS($C$3:$Q$3,"NOTTE",$C21:$Q21,AE$3)=0),"_n","")&amp;", ")))</f>
        <v xml:space="preserve">GALLINA, </v>
      </c>
      <c r="CI22" s="9" t="str">
        <f>IF(0+(AF22="X")&gt;0,"",IF(0+((AF22&lt;&gt;"Xm")*(AF22&lt;&gt;"Xg")*(COUNTIFS($C$3:$Q$3,"MAT",$C22:$Q22,AF$3)=0)*(COUNTIFS($C$3:$Q$3,"NOTTE",$C22:$Q22,AF$3)=0)*(COUNTIFS($C$3:$Q$3,"NOTTE",$C21:$Q21,AF$3)=0))+((AF22&lt;&gt;"Xp")*(AF22&lt;&gt;"Xg")*(COUNTIFS($C$3:$Q$3,"POM",$C22:$Q22,AF$3)=0)*(COUNTIFS($C$3:$Q$3,"NOTTE",$C22:$Q22,AF$3)=0)*(COUNTIFS($C$3:$Q$3,"NOTTE",$C21:$Q21,AF$3)=0))+((AF22&lt;&gt;"Xn")*(COUNTIFS($C$3:$Q$3,"MAT",$C22:$Q22,AF$3)=0)*(COUNTIFS($C$3:$Q$3,"POM",$C22:$Q22,AF$3)=0)*(COUNTIFS($C$3:$Q$3,"NOTTE",$C22:$Q22,AF$3)=0)*(COUNTIFS($C$3:$Q$3,"NOTTE",$C21:$Q21,AF$3)=0))=0,"",IF(0+((AF22&lt;&gt;"Xm")*(AF22&lt;&gt;"Xg")*(COUNTIFS($C$3:$Q$3,"MAT",$C22:$Q22,AF$3)=0)*(COUNTIFS($C$3:$Q$3,"NOTTE",$C22:$Q22,AF$3)=0)*(COUNTIFS($C$3:$Q$3,"NOTTE",$C21:$Q21,AF$3)=0))+((AF22&lt;&gt;"Xp")*(AF22&lt;&gt;"Xg")*(COUNTIFS($C$3:$Q$3,"POM",$C22:$Q22,AF$3)=0)*(COUNTIFS($C$3:$Q$3,"NOTTE",$C22:$Q22,AF$3)=0)*(COUNTIFS($C$3:$Q$3,"NOTTE",$C21:$Q21,AF$3)=0))+((AF22&lt;&gt;"Xn")*(COUNTIFS($C$3:$Q$3,"MAT",$C22:$Q22,AF$3)=0)*(COUNTIFS($C$3:$Q$3,"POM",$C22:$Q22,AF$3)=0)*(COUNTIFS($C$3:$Q$3,"NOTTE",$C22:$Q22,AF$3)=0)*(COUNTIFS($C$3:$Q$3,"NOTTE",$C21:$Q21,AF$3)=0))=3,AF$3&amp;", ",AF$3&amp;IF((AF22&lt;&gt;"Xm")*(AF22&lt;&gt;"Xg")*(COUNTIFS($C$3:$Q$3,"MAT",$C22:$Q22,AF$3)=0)*(COUNTIFS($C$3:$Q$3,"NOTTE",$C22:$Q22,AF$3)=0)*(COUNTIFS($C$3:$Q$3,"NOTTE",$C21:$Q21,AF$3)=0),"_m","")&amp;IF((AF22&lt;&gt;"Xp")*(AF22&lt;&gt;"Xg")*(COUNTIFS($C$3:$Q$3,"POM",$C22:$Q22,AF$3)=0)*(COUNTIFS($C$3:$Q$3,"NOTTE",$C22:$Q22,AF$3)=0)*(COUNTIFS($C$3:$Q$3,"NOTTE",$C21:$Q21,AF$3)=0),"_p","")&amp;IF((AF22&lt;&gt;"Xn")*(COUNTIFS($C$3:$Q$3,"MAT",$C22:$Q22,AF$3)=0)*(COUNTIFS($C$3:$Q$3,"POM",$C22:$Q22,AF$3)=0)*(COUNTIFS($C$3:$Q$3,"NOTTE",$C22:$Q22,AF$3)=0)*(COUNTIFS($C$3:$Q$3,"NOTTE",$C21:$Q21,AF$3)=0),"_n","")&amp;", ")))</f>
        <v xml:space="preserve">RUSSO, </v>
      </c>
      <c r="CJ22" s="9" t="str">
        <f>IF(0+(AG22="X")&gt;0,"",IF(0+((AG22&lt;&gt;"Xm")*(AG22&lt;&gt;"Xg")*(COUNTIFS($C$3:$Q$3,"MAT",$C22:$Q22,AG$3)=0)*(COUNTIFS($C$3:$Q$3,"NOTTE",$C22:$Q22,AG$3)=0)*(COUNTIFS($C$3:$Q$3,"NOTTE",$C21:$Q21,AG$3)=0))+((AG22&lt;&gt;"Xp")*(AG22&lt;&gt;"Xg")*(COUNTIFS($C$3:$Q$3,"POM",$C22:$Q22,AG$3)=0)*(COUNTIFS($C$3:$Q$3,"NOTTE",$C22:$Q22,AG$3)=0)*(COUNTIFS($C$3:$Q$3,"NOTTE",$C21:$Q21,AG$3)=0))+((AG22&lt;&gt;"Xn")*(COUNTIFS($C$3:$Q$3,"MAT",$C22:$Q22,AG$3)=0)*(COUNTIFS($C$3:$Q$3,"POM",$C22:$Q22,AG$3)=0)*(COUNTIFS($C$3:$Q$3,"NOTTE",$C22:$Q22,AG$3)=0)*(COUNTIFS($C$3:$Q$3,"NOTTE",$C21:$Q21,AG$3)=0))=0,"",IF(0+((AG22&lt;&gt;"Xm")*(AG22&lt;&gt;"Xg")*(COUNTIFS($C$3:$Q$3,"MAT",$C22:$Q22,AG$3)=0)*(COUNTIFS($C$3:$Q$3,"NOTTE",$C22:$Q22,AG$3)=0)*(COUNTIFS($C$3:$Q$3,"NOTTE",$C21:$Q21,AG$3)=0))+((AG22&lt;&gt;"Xp")*(AG22&lt;&gt;"Xg")*(COUNTIFS($C$3:$Q$3,"POM",$C22:$Q22,AG$3)=0)*(COUNTIFS($C$3:$Q$3,"NOTTE",$C22:$Q22,AG$3)=0)*(COUNTIFS($C$3:$Q$3,"NOTTE",$C21:$Q21,AG$3)=0))+((AG22&lt;&gt;"Xn")*(COUNTIFS($C$3:$Q$3,"MAT",$C22:$Q22,AG$3)=0)*(COUNTIFS($C$3:$Q$3,"POM",$C22:$Q22,AG$3)=0)*(COUNTIFS($C$3:$Q$3,"NOTTE",$C22:$Q22,AG$3)=0)*(COUNTIFS($C$3:$Q$3,"NOTTE",$C21:$Q21,AG$3)=0))=3,AG$3&amp;", ",AG$3&amp;IF((AG22&lt;&gt;"Xm")*(AG22&lt;&gt;"Xg")*(COUNTIFS($C$3:$Q$3,"MAT",$C22:$Q22,AG$3)=0)*(COUNTIFS($C$3:$Q$3,"NOTTE",$C22:$Q22,AG$3)=0)*(COUNTIFS($C$3:$Q$3,"NOTTE",$C21:$Q21,AG$3)=0),"_m","")&amp;IF((AG22&lt;&gt;"Xp")*(AG22&lt;&gt;"Xg")*(COUNTIFS($C$3:$Q$3,"POM",$C22:$Q22,AG$3)=0)*(COUNTIFS($C$3:$Q$3,"NOTTE",$C22:$Q22,AG$3)=0)*(COUNTIFS($C$3:$Q$3,"NOTTE",$C21:$Q21,AG$3)=0),"_p","")&amp;IF((AG22&lt;&gt;"Xn")*(COUNTIFS($C$3:$Q$3,"MAT",$C22:$Q22,AG$3)=0)*(COUNTIFS($C$3:$Q$3,"POM",$C22:$Q22,AG$3)=0)*(COUNTIFS($C$3:$Q$3,"NOTTE",$C22:$Q22,AG$3)=0)*(COUNTIFS($C$3:$Q$3,"NOTTE",$C21:$Q21,AG$3)=0),"_n","")&amp;", ")))</f>
        <v xml:space="preserve">VERDI, </v>
      </c>
      <c r="CK22" s="9" t="str">
        <f>IF(0+(AH22="X")&gt;0,"",IF(0+((AH22&lt;&gt;"Xm")*(AH22&lt;&gt;"Xg")*(COUNTIFS($C$3:$Q$3,"MAT",$C22:$Q22,AH$3)=0)*(COUNTIFS($C$3:$Q$3,"NOTTE",$C22:$Q22,AH$3)=0)*(COUNTIFS($C$3:$Q$3,"NOTTE",$C21:$Q21,AH$3)=0))+((AH22&lt;&gt;"Xp")*(AH22&lt;&gt;"Xg")*(COUNTIFS($C$3:$Q$3,"POM",$C22:$Q22,AH$3)=0)*(COUNTIFS($C$3:$Q$3,"NOTTE",$C22:$Q22,AH$3)=0)*(COUNTIFS($C$3:$Q$3,"NOTTE",$C21:$Q21,AH$3)=0))+((AH22&lt;&gt;"Xn")*(COUNTIFS($C$3:$Q$3,"MAT",$C22:$Q22,AH$3)=0)*(COUNTIFS($C$3:$Q$3,"POM",$C22:$Q22,AH$3)=0)*(COUNTIFS($C$3:$Q$3,"NOTTE",$C22:$Q22,AH$3)=0)*(COUNTIFS($C$3:$Q$3,"NOTTE",$C21:$Q21,AH$3)=0))=0,"",IF(0+((AH22&lt;&gt;"Xm")*(AH22&lt;&gt;"Xg")*(COUNTIFS($C$3:$Q$3,"MAT",$C22:$Q22,AH$3)=0)*(COUNTIFS($C$3:$Q$3,"NOTTE",$C22:$Q22,AH$3)=0)*(COUNTIFS($C$3:$Q$3,"NOTTE",$C21:$Q21,AH$3)=0))+((AH22&lt;&gt;"Xp")*(AH22&lt;&gt;"Xg")*(COUNTIFS($C$3:$Q$3,"POM",$C22:$Q22,AH$3)=0)*(COUNTIFS($C$3:$Q$3,"NOTTE",$C22:$Q22,AH$3)=0)*(COUNTIFS($C$3:$Q$3,"NOTTE",$C21:$Q21,AH$3)=0))+((AH22&lt;&gt;"Xn")*(COUNTIFS($C$3:$Q$3,"MAT",$C22:$Q22,AH$3)=0)*(COUNTIFS($C$3:$Q$3,"POM",$C22:$Q22,AH$3)=0)*(COUNTIFS($C$3:$Q$3,"NOTTE",$C22:$Q22,AH$3)=0)*(COUNTIFS($C$3:$Q$3,"NOTTE",$C21:$Q21,AH$3)=0))=3,AH$3&amp;", ",AH$3&amp;IF((AH22&lt;&gt;"Xm")*(AH22&lt;&gt;"Xg")*(COUNTIFS($C$3:$Q$3,"MAT",$C22:$Q22,AH$3)=0)*(COUNTIFS($C$3:$Q$3,"NOTTE",$C22:$Q22,AH$3)=0)*(COUNTIFS($C$3:$Q$3,"NOTTE",$C21:$Q21,AH$3)=0),"_m","")&amp;IF((AH22&lt;&gt;"Xp")*(AH22&lt;&gt;"Xg")*(COUNTIFS($C$3:$Q$3,"POM",$C22:$Q22,AH$3)=0)*(COUNTIFS($C$3:$Q$3,"NOTTE",$C22:$Q22,AH$3)=0)*(COUNTIFS($C$3:$Q$3,"NOTTE",$C21:$Q21,AH$3)=0),"_p","")&amp;IF((AH22&lt;&gt;"Xn")*(COUNTIFS($C$3:$Q$3,"MAT",$C22:$Q22,AH$3)=0)*(COUNTIFS($C$3:$Q$3,"POM",$C22:$Q22,AH$3)=0)*(COUNTIFS($C$3:$Q$3,"NOTTE",$C22:$Q22,AH$3)=0)*(COUNTIFS($C$3:$Q$3,"NOTTE",$C21:$Q21,AH$3)=0),"_n","")&amp;", ")))</f>
        <v xml:space="preserve">HU, </v>
      </c>
      <c r="CL22" s="9" t="str">
        <f>IF(0+(AI22="X")&gt;0,"",IF(0+((AI22&lt;&gt;"Xm")*(AI22&lt;&gt;"Xg")*(COUNTIFS($C$3:$Q$3,"MAT",$C22:$Q22,AI$3)=0)*(COUNTIFS($C$3:$Q$3,"NOTTE",$C22:$Q22,AI$3)=0)*(COUNTIFS($C$3:$Q$3,"NOTTE",$C21:$Q21,AI$3)=0))+((AI22&lt;&gt;"Xp")*(AI22&lt;&gt;"Xg")*(COUNTIFS($C$3:$Q$3,"POM",$C22:$Q22,AI$3)=0)*(COUNTIFS($C$3:$Q$3,"NOTTE",$C22:$Q22,AI$3)=0)*(COUNTIFS($C$3:$Q$3,"NOTTE",$C21:$Q21,AI$3)=0))+((AI22&lt;&gt;"Xn")*(COUNTIFS($C$3:$Q$3,"MAT",$C22:$Q22,AI$3)=0)*(COUNTIFS($C$3:$Q$3,"POM",$C22:$Q22,AI$3)=0)*(COUNTIFS($C$3:$Q$3,"NOTTE",$C22:$Q22,AI$3)=0)*(COUNTIFS($C$3:$Q$3,"NOTTE",$C21:$Q21,AI$3)=0))=0,"",IF(0+((AI22&lt;&gt;"Xm")*(AI22&lt;&gt;"Xg")*(COUNTIFS($C$3:$Q$3,"MAT",$C22:$Q22,AI$3)=0)*(COUNTIFS($C$3:$Q$3,"NOTTE",$C22:$Q22,AI$3)=0)*(COUNTIFS($C$3:$Q$3,"NOTTE",$C21:$Q21,AI$3)=0))+((AI22&lt;&gt;"Xp")*(AI22&lt;&gt;"Xg")*(COUNTIFS($C$3:$Q$3,"POM",$C22:$Q22,AI$3)=0)*(COUNTIFS($C$3:$Q$3,"NOTTE",$C22:$Q22,AI$3)=0)*(COUNTIFS($C$3:$Q$3,"NOTTE",$C21:$Q21,AI$3)=0))+((AI22&lt;&gt;"Xn")*(COUNTIFS($C$3:$Q$3,"MAT",$C22:$Q22,AI$3)=0)*(COUNTIFS($C$3:$Q$3,"POM",$C22:$Q22,AI$3)=0)*(COUNTIFS($C$3:$Q$3,"NOTTE",$C22:$Q22,AI$3)=0)*(COUNTIFS($C$3:$Q$3,"NOTTE",$C21:$Q21,AI$3)=0))=3,AI$3&amp;", ",AI$3&amp;IF((AI22&lt;&gt;"Xm")*(AI22&lt;&gt;"Xg")*(COUNTIFS($C$3:$Q$3,"MAT",$C22:$Q22,AI$3)=0)*(COUNTIFS($C$3:$Q$3,"NOTTE",$C22:$Q22,AI$3)=0)*(COUNTIFS($C$3:$Q$3,"NOTTE",$C21:$Q21,AI$3)=0),"_m","")&amp;IF((AI22&lt;&gt;"Xp")*(AI22&lt;&gt;"Xg")*(COUNTIFS($C$3:$Q$3,"POM",$C22:$Q22,AI$3)=0)*(COUNTIFS($C$3:$Q$3,"NOTTE",$C22:$Q22,AI$3)=0)*(COUNTIFS($C$3:$Q$3,"NOTTE",$C21:$Q21,AI$3)=0),"_p","")&amp;IF((AI22&lt;&gt;"Xn")*(COUNTIFS($C$3:$Q$3,"MAT",$C22:$Q22,AI$3)=0)*(COUNTIFS($C$3:$Q$3,"POM",$C22:$Q22,AI$3)=0)*(COUNTIFS($C$3:$Q$3,"NOTTE",$C22:$Q22,AI$3)=0)*(COUNTIFS($C$3:$Q$3,"NOTTE",$C21:$Q21,AI$3)=0),"_n","")&amp;", ")))</f>
        <v xml:space="preserve">MARINI, </v>
      </c>
      <c r="CM22" s="9" t="str">
        <f>IF(0+(AJ22="X")&gt;0,"",IF(0+((AJ22&lt;&gt;"Xm")*(AJ22&lt;&gt;"Xg")*(COUNTIFS($C$3:$Q$3,"MAT",$C22:$Q22,AJ$3)=0)*(COUNTIFS($C$3:$Q$3,"NOTTE",$C22:$Q22,AJ$3)=0)*(COUNTIFS($C$3:$Q$3,"NOTTE",$C21:$Q21,AJ$3)=0))+((AJ22&lt;&gt;"Xp")*(AJ22&lt;&gt;"Xg")*(COUNTIFS($C$3:$Q$3,"POM",$C22:$Q22,AJ$3)=0)*(COUNTIFS($C$3:$Q$3,"NOTTE",$C22:$Q22,AJ$3)=0)*(COUNTIFS($C$3:$Q$3,"NOTTE",$C21:$Q21,AJ$3)=0))+((AJ22&lt;&gt;"Xn")*(COUNTIFS($C$3:$Q$3,"MAT",$C22:$Q22,AJ$3)=0)*(COUNTIFS($C$3:$Q$3,"POM",$C22:$Q22,AJ$3)=0)*(COUNTIFS($C$3:$Q$3,"NOTTE",$C22:$Q22,AJ$3)=0)*(COUNTIFS($C$3:$Q$3,"NOTTE",$C21:$Q21,AJ$3)=0))=0,"",IF(0+((AJ22&lt;&gt;"Xm")*(AJ22&lt;&gt;"Xg")*(COUNTIFS($C$3:$Q$3,"MAT",$C22:$Q22,AJ$3)=0)*(COUNTIFS($C$3:$Q$3,"NOTTE",$C22:$Q22,AJ$3)=0)*(COUNTIFS($C$3:$Q$3,"NOTTE",$C21:$Q21,AJ$3)=0))+((AJ22&lt;&gt;"Xp")*(AJ22&lt;&gt;"Xg")*(COUNTIFS($C$3:$Q$3,"POM",$C22:$Q22,AJ$3)=0)*(COUNTIFS($C$3:$Q$3,"NOTTE",$C22:$Q22,AJ$3)=0)*(COUNTIFS($C$3:$Q$3,"NOTTE",$C21:$Q21,AJ$3)=0))+((AJ22&lt;&gt;"Xn")*(COUNTIFS($C$3:$Q$3,"MAT",$C22:$Q22,AJ$3)=0)*(COUNTIFS($C$3:$Q$3,"POM",$C22:$Q22,AJ$3)=0)*(COUNTIFS($C$3:$Q$3,"NOTTE",$C22:$Q22,AJ$3)=0)*(COUNTIFS($C$3:$Q$3,"NOTTE",$C21:$Q21,AJ$3)=0))=3,AJ$3&amp;", ",AJ$3&amp;IF((AJ22&lt;&gt;"Xm")*(AJ22&lt;&gt;"Xg")*(COUNTIFS($C$3:$Q$3,"MAT",$C22:$Q22,AJ$3)=0)*(COUNTIFS($C$3:$Q$3,"NOTTE",$C22:$Q22,AJ$3)=0)*(COUNTIFS($C$3:$Q$3,"NOTTE",$C21:$Q21,AJ$3)=0),"_m","")&amp;IF((AJ22&lt;&gt;"Xp")*(AJ22&lt;&gt;"Xg")*(COUNTIFS($C$3:$Q$3,"POM",$C22:$Q22,AJ$3)=0)*(COUNTIFS($C$3:$Q$3,"NOTTE",$C22:$Q22,AJ$3)=0)*(COUNTIFS($C$3:$Q$3,"NOTTE",$C21:$Q21,AJ$3)=0),"_p","")&amp;IF((AJ22&lt;&gt;"Xn")*(COUNTIFS($C$3:$Q$3,"MAT",$C22:$Q22,AJ$3)=0)*(COUNTIFS($C$3:$Q$3,"POM",$C22:$Q22,AJ$3)=0)*(COUNTIFS($C$3:$Q$3,"NOTTE",$C22:$Q22,AJ$3)=0)*(COUNTIFS($C$3:$Q$3,"NOTTE",$C21:$Q21,AJ$3)=0),"_n","")&amp;", ")))</f>
        <v xml:space="preserve">CONTI A, </v>
      </c>
      <c r="CN22" s="9" t="str">
        <f>IF(0+(AK22="X")&gt;0,"",IF(0+((AK22&lt;&gt;"Xm")*(AK22&lt;&gt;"Xg")*(COUNTIFS($C$3:$Q$3,"MAT",$C22:$Q22,AK$3)=0)*(COUNTIFS($C$3:$Q$3,"NOTTE",$C22:$Q22,AK$3)=0)*(COUNTIFS($C$3:$Q$3,"NOTTE",$C21:$Q21,AK$3)=0))+((AK22&lt;&gt;"Xp")*(AK22&lt;&gt;"Xg")*(COUNTIFS($C$3:$Q$3,"POM",$C22:$Q22,AK$3)=0)*(COUNTIFS($C$3:$Q$3,"NOTTE",$C22:$Q22,AK$3)=0)*(COUNTIFS($C$3:$Q$3,"NOTTE",$C21:$Q21,AK$3)=0))+((AK22&lt;&gt;"Xn")*(COUNTIFS($C$3:$Q$3,"MAT",$C22:$Q22,AK$3)=0)*(COUNTIFS($C$3:$Q$3,"POM",$C22:$Q22,AK$3)=0)*(COUNTIFS($C$3:$Q$3,"NOTTE",$C22:$Q22,AK$3)=0)*(COUNTIFS($C$3:$Q$3,"NOTTE",$C21:$Q21,AK$3)=0))=0,"",IF(0+((AK22&lt;&gt;"Xm")*(AK22&lt;&gt;"Xg")*(COUNTIFS($C$3:$Q$3,"MAT",$C22:$Q22,AK$3)=0)*(COUNTIFS($C$3:$Q$3,"NOTTE",$C22:$Q22,AK$3)=0)*(COUNTIFS($C$3:$Q$3,"NOTTE",$C21:$Q21,AK$3)=0))+((AK22&lt;&gt;"Xp")*(AK22&lt;&gt;"Xg")*(COUNTIFS($C$3:$Q$3,"POM",$C22:$Q22,AK$3)=0)*(COUNTIFS($C$3:$Q$3,"NOTTE",$C22:$Q22,AK$3)=0)*(COUNTIFS($C$3:$Q$3,"NOTTE",$C21:$Q21,AK$3)=0))+((AK22&lt;&gt;"Xn")*(COUNTIFS($C$3:$Q$3,"MAT",$C22:$Q22,AK$3)=0)*(COUNTIFS($C$3:$Q$3,"POM",$C22:$Q22,AK$3)=0)*(COUNTIFS($C$3:$Q$3,"NOTTE",$C22:$Q22,AK$3)=0)*(COUNTIFS($C$3:$Q$3,"NOTTE",$C21:$Q21,AK$3)=0))=3,AK$3&amp;", ",AK$3&amp;IF((AK22&lt;&gt;"Xm")*(AK22&lt;&gt;"Xg")*(COUNTIFS($C$3:$Q$3,"MAT",$C22:$Q22,AK$3)=0)*(COUNTIFS($C$3:$Q$3,"NOTTE",$C22:$Q22,AK$3)=0)*(COUNTIFS($C$3:$Q$3,"NOTTE",$C21:$Q21,AK$3)=0),"_m","")&amp;IF((AK22&lt;&gt;"Xp")*(AK22&lt;&gt;"Xg")*(COUNTIFS($C$3:$Q$3,"POM",$C22:$Q22,AK$3)=0)*(COUNTIFS($C$3:$Q$3,"NOTTE",$C22:$Q22,AK$3)=0)*(COUNTIFS($C$3:$Q$3,"NOTTE",$C21:$Q21,AK$3)=0),"_p","")&amp;IF((AK22&lt;&gt;"Xn")*(COUNTIFS($C$3:$Q$3,"MAT",$C22:$Q22,AK$3)=0)*(COUNTIFS($C$3:$Q$3,"POM",$C22:$Q22,AK$3)=0)*(COUNTIFS($C$3:$Q$3,"NOTTE",$C22:$Q22,AK$3)=0)*(COUNTIFS($C$3:$Q$3,"NOTTE",$C21:$Q21,AK$3)=0),"_n","")&amp;", ")))</f>
        <v xml:space="preserve">CONTI S, </v>
      </c>
      <c r="CO22" s="9" t="str">
        <f>IF(0+(AL22="X")&gt;0,"",IF(0+((AL22&lt;&gt;"Xm")*(AL22&lt;&gt;"Xg")*(COUNTIFS($C$3:$Q$3,"MAT",$C22:$Q22,AL$3)=0)*(COUNTIFS($C$3:$Q$3,"NOTTE",$C22:$Q22,AL$3)=0)*(COUNTIFS($C$3:$Q$3,"NOTTE",$C21:$Q21,AL$3)=0))+((AL22&lt;&gt;"Xp")*(AL22&lt;&gt;"Xg")*(COUNTIFS($C$3:$Q$3,"POM",$C22:$Q22,AL$3)=0)*(COUNTIFS($C$3:$Q$3,"NOTTE",$C22:$Q22,AL$3)=0)*(COUNTIFS($C$3:$Q$3,"NOTTE",$C21:$Q21,AL$3)=0))+((AL22&lt;&gt;"Xn")*(COUNTIFS($C$3:$Q$3,"MAT",$C22:$Q22,AL$3)=0)*(COUNTIFS($C$3:$Q$3,"POM",$C22:$Q22,AL$3)=0)*(COUNTIFS($C$3:$Q$3,"NOTTE",$C22:$Q22,AL$3)=0)*(COUNTIFS($C$3:$Q$3,"NOTTE",$C21:$Q21,AL$3)=0))=0,"",IF(0+((AL22&lt;&gt;"Xm")*(AL22&lt;&gt;"Xg")*(COUNTIFS($C$3:$Q$3,"MAT",$C22:$Q22,AL$3)=0)*(COUNTIFS($C$3:$Q$3,"NOTTE",$C22:$Q22,AL$3)=0)*(COUNTIFS($C$3:$Q$3,"NOTTE",$C21:$Q21,AL$3)=0))+((AL22&lt;&gt;"Xp")*(AL22&lt;&gt;"Xg")*(COUNTIFS($C$3:$Q$3,"POM",$C22:$Q22,AL$3)=0)*(COUNTIFS($C$3:$Q$3,"NOTTE",$C22:$Q22,AL$3)=0)*(COUNTIFS($C$3:$Q$3,"NOTTE",$C21:$Q21,AL$3)=0))+((AL22&lt;&gt;"Xn")*(COUNTIFS($C$3:$Q$3,"MAT",$C22:$Q22,AL$3)=0)*(COUNTIFS($C$3:$Q$3,"POM",$C22:$Q22,AL$3)=0)*(COUNTIFS($C$3:$Q$3,"NOTTE",$C22:$Q22,AL$3)=0)*(COUNTIFS($C$3:$Q$3,"NOTTE",$C21:$Q21,AL$3)=0))=3,AL$3&amp;", ",AL$3&amp;IF((AL22&lt;&gt;"Xm")*(AL22&lt;&gt;"Xg")*(COUNTIFS($C$3:$Q$3,"MAT",$C22:$Q22,AL$3)=0)*(COUNTIFS($C$3:$Q$3,"NOTTE",$C22:$Q22,AL$3)=0)*(COUNTIFS($C$3:$Q$3,"NOTTE",$C21:$Q21,AL$3)=0),"_m","")&amp;IF((AL22&lt;&gt;"Xp")*(AL22&lt;&gt;"Xg")*(COUNTIFS($C$3:$Q$3,"POM",$C22:$Q22,AL$3)=0)*(COUNTIFS($C$3:$Q$3,"NOTTE",$C22:$Q22,AL$3)=0)*(COUNTIFS($C$3:$Q$3,"NOTTE",$C21:$Q21,AL$3)=0),"_p","")&amp;IF((AL22&lt;&gt;"Xn")*(COUNTIFS($C$3:$Q$3,"MAT",$C22:$Q22,AL$3)=0)*(COUNTIFS($C$3:$Q$3,"POM",$C22:$Q22,AL$3)=0)*(COUNTIFS($C$3:$Q$3,"NOTTE",$C22:$Q22,AL$3)=0)*(COUNTIFS($C$3:$Q$3,"NOTTE",$C21:$Q21,AL$3)=0),"_n","")&amp;", ")))</f>
        <v xml:space="preserve">FERRARI, </v>
      </c>
      <c r="CP22" s="9" t="str">
        <f>IF(0+(AM22="X")&gt;0,"",IF(0+((AM22&lt;&gt;"Xm")*(AM22&lt;&gt;"Xg")*(COUNTIFS($C$3:$Q$3,"MAT",$C22:$Q22,AM$3)=0)*(COUNTIFS($C$3:$Q$3,"NOTTE",$C22:$Q22,AM$3)=0)*(COUNTIFS($C$3:$Q$3,"NOTTE",$C21:$Q21,AM$3)=0))+((AM22&lt;&gt;"Xp")*(AM22&lt;&gt;"Xg")*(COUNTIFS($C$3:$Q$3,"POM",$C22:$Q22,AM$3)=0)*(COUNTIFS($C$3:$Q$3,"NOTTE",$C22:$Q22,AM$3)=0)*(COUNTIFS($C$3:$Q$3,"NOTTE",$C21:$Q21,AM$3)=0))+((AM22&lt;&gt;"Xn")*(COUNTIFS($C$3:$Q$3,"MAT",$C22:$Q22,AM$3)=0)*(COUNTIFS($C$3:$Q$3,"POM",$C22:$Q22,AM$3)=0)*(COUNTIFS($C$3:$Q$3,"NOTTE",$C22:$Q22,AM$3)=0)*(COUNTIFS($C$3:$Q$3,"NOTTE",$C21:$Q21,AM$3)=0))=0,"",IF(0+((AM22&lt;&gt;"Xm")*(AM22&lt;&gt;"Xg")*(COUNTIFS($C$3:$Q$3,"MAT",$C22:$Q22,AM$3)=0)*(COUNTIFS($C$3:$Q$3,"NOTTE",$C22:$Q22,AM$3)=0)*(COUNTIFS($C$3:$Q$3,"NOTTE",$C21:$Q21,AM$3)=0))+((AM22&lt;&gt;"Xp")*(AM22&lt;&gt;"Xg")*(COUNTIFS($C$3:$Q$3,"POM",$C22:$Q22,AM$3)=0)*(COUNTIFS($C$3:$Q$3,"NOTTE",$C22:$Q22,AM$3)=0)*(COUNTIFS($C$3:$Q$3,"NOTTE",$C21:$Q21,AM$3)=0))+((AM22&lt;&gt;"Xn")*(COUNTIFS($C$3:$Q$3,"MAT",$C22:$Q22,AM$3)=0)*(COUNTIFS($C$3:$Q$3,"POM",$C22:$Q22,AM$3)=0)*(COUNTIFS($C$3:$Q$3,"NOTTE",$C22:$Q22,AM$3)=0)*(COUNTIFS($C$3:$Q$3,"NOTTE",$C21:$Q21,AM$3)=0))=3,AM$3&amp;", ",AM$3&amp;IF((AM22&lt;&gt;"Xm")*(AM22&lt;&gt;"Xg")*(COUNTIFS($C$3:$Q$3,"MAT",$C22:$Q22,AM$3)=0)*(COUNTIFS($C$3:$Q$3,"NOTTE",$C22:$Q22,AM$3)=0)*(COUNTIFS($C$3:$Q$3,"NOTTE",$C21:$Q21,AM$3)=0),"_m","")&amp;IF((AM22&lt;&gt;"Xp")*(AM22&lt;&gt;"Xg")*(COUNTIFS($C$3:$Q$3,"POM",$C22:$Q22,AM$3)=0)*(COUNTIFS($C$3:$Q$3,"NOTTE",$C22:$Q22,AM$3)=0)*(COUNTIFS($C$3:$Q$3,"NOTTE",$C21:$Q21,AM$3)=0),"_p","")&amp;IF((AM22&lt;&gt;"Xn")*(COUNTIFS($C$3:$Q$3,"MAT",$C22:$Q22,AM$3)=0)*(COUNTIFS($C$3:$Q$3,"POM",$C22:$Q22,AM$3)=0)*(COUNTIFS($C$3:$Q$3,"NOTTE",$C22:$Q22,AM$3)=0)*(COUNTIFS($C$3:$Q$3,"NOTTE",$C21:$Q21,AM$3)=0),"_n","")&amp;", ")))</f>
        <v xml:space="preserve">GRECO, </v>
      </c>
      <c r="CQ22" s="9" t="str">
        <f>IF(0+(AN22="X")&gt;0,"",IF(0+((AN22&lt;&gt;"Xm")*(AN22&lt;&gt;"Xg")*(COUNTIFS($C$3:$Q$3,"MAT",$C22:$Q22,AN$3)=0)*(COUNTIFS($C$3:$Q$3,"NOTTE",$C22:$Q22,AN$3)=0)*(COUNTIFS($C$3:$Q$3,"NOTTE",$C21:$Q21,AN$3)=0))+((AN22&lt;&gt;"Xp")*(AN22&lt;&gt;"Xg")*(COUNTIFS($C$3:$Q$3,"POM",$C22:$Q22,AN$3)=0)*(COUNTIFS($C$3:$Q$3,"NOTTE",$C22:$Q22,AN$3)=0)*(COUNTIFS($C$3:$Q$3,"NOTTE",$C21:$Q21,AN$3)=0))+((AN22&lt;&gt;"Xn")*(COUNTIFS($C$3:$Q$3,"MAT",$C22:$Q22,AN$3)=0)*(COUNTIFS($C$3:$Q$3,"POM",$C22:$Q22,AN$3)=0)*(COUNTIFS($C$3:$Q$3,"NOTTE",$C22:$Q22,AN$3)=0)*(COUNTIFS($C$3:$Q$3,"NOTTE",$C21:$Q21,AN$3)=0))=0,"",IF(0+((AN22&lt;&gt;"Xm")*(AN22&lt;&gt;"Xg")*(COUNTIFS($C$3:$Q$3,"MAT",$C22:$Q22,AN$3)=0)*(COUNTIFS($C$3:$Q$3,"NOTTE",$C22:$Q22,AN$3)=0)*(COUNTIFS($C$3:$Q$3,"NOTTE",$C21:$Q21,AN$3)=0))+((AN22&lt;&gt;"Xp")*(AN22&lt;&gt;"Xg")*(COUNTIFS($C$3:$Q$3,"POM",$C22:$Q22,AN$3)=0)*(COUNTIFS($C$3:$Q$3,"NOTTE",$C22:$Q22,AN$3)=0)*(COUNTIFS($C$3:$Q$3,"NOTTE",$C21:$Q21,AN$3)=0))+((AN22&lt;&gt;"Xn")*(COUNTIFS($C$3:$Q$3,"MAT",$C22:$Q22,AN$3)=0)*(COUNTIFS($C$3:$Q$3,"POM",$C22:$Q22,AN$3)=0)*(COUNTIFS($C$3:$Q$3,"NOTTE",$C22:$Q22,AN$3)=0)*(COUNTIFS($C$3:$Q$3,"NOTTE",$C21:$Q21,AN$3)=0))=3,AN$3&amp;", ",AN$3&amp;IF((AN22&lt;&gt;"Xm")*(AN22&lt;&gt;"Xg")*(COUNTIFS($C$3:$Q$3,"MAT",$C22:$Q22,AN$3)=0)*(COUNTIFS($C$3:$Q$3,"NOTTE",$C22:$Q22,AN$3)=0)*(COUNTIFS($C$3:$Q$3,"NOTTE",$C21:$Q21,AN$3)=0),"_m","")&amp;IF((AN22&lt;&gt;"Xp")*(AN22&lt;&gt;"Xg")*(COUNTIFS($C$3:$Q$3,"POM",$C22:$Q22,AN$3)=0)*(COUNTIFS($C$3:$Q$3,"NOTTE",$C22:$Q22,AN$3)=0)*(COUNTIFS($C$3:$Q$3,"NOTTE",$C21:$Q21,AN$3)=0),"_p","")&amp;IF((AN22&lt;&gt;"Xn")*(COUNTIFS($C$3:$Q$3,"MAT",$C22:$Q22,AN$3)=0)*(COUNTIFS($C$3:$Q$3,"POM",$C22:$Q22,AN$3)=0)*(COUNTIFS($C$3:$Q$3,"NOTTE",$C22:$Q22,AN$3)=0)*(COUNTIFS($C$3:$Q$3,"NOTTE",$C21:$Q21,AN$3)=0),"_n","")&amp;", ")))</f>
        <v xml:space="preserve">SANNA, </v>
      </c>
      <c r="CR22" s="9" t="str">
        <f>IF(0+(AO22="X")&gt;0,"",IF(0+((AO22&lt;&gt;"Xm")*(AO22&lt;&gt;"Xg")*(COUNTIFS($C$3:$Q$3,"MAT",$C22:$Q22,AO$3)=0)*(COUNTIFS($C$3:$Q$3,"NOTTE",$C22:$Q22,AO$3)=0)*(COUNTIFS($C$3:$Q$3,"NOTTE",$C21:$Q21,AO$3)=0))+((AO22&lt;&gt;"Xp")*(AO22&lt;&gt;"Xg")*(COUNTIFS($C$3:$Q$3,"POM",$C22:$Q22,AO$3)=0)*(COUNTIFS($C$3:$Q$3,"NOTTE",$C22:$Q22,AO$3)=0)*(COUNTIFS($C$3:$Q$3,"NOTTE",$C21:$Q21,AO$3)=0))+((AO22&lt;&gt;"Xn")*(COUNTIFS($C$3:$Q$3,"MAT",$C22:$Q22,AO$3)=0)*(COUNTIFS($C$3:$Q$3,"POM",$C22:$Q22,AO$3)=0)*(COUNTIFS($C$3:$Q$3,"NOTTE",$C22:$Q22,AO$3)=0)*(COUNTIFS($C$3:$Q$3,"NOTTE",$C21:$Q21,AO$3)=0))=0,"",IF(0+((AO22&lt;&gt;"Xm")*(AO22&lt;&gt;"Xg")*(COUNTIFS($C$3:$Q$3,"MAT",$C22:$Q22,AO$3)=0)*(COUNTIFS($C$3:$Q$3,"NOTTE",$C22:$Q22,AO$3)=0)*(COUNTIFS($C$3:$Q$3,"NOTTE",$C21:$Q21,AO$3)=0))+((AO22&lt;&gt;"Xp")*(AO22&lt;&gt;"Xg")*(COUNTIFS($C$3:$Q$3,"POM",$C22:$Q22,AO$3)=0)*(COUNTIFS($C$3:$Q$3,"NOTTE",$C22:$Q22,AO$3)=0)*(COUNTIFS($C$3:$Q$3,"NOTTE",$C21:$Q21,AO$3)=0))+((AO22&lt;&gt;"Xn")*(COUNTIFS($C$3:$Q$3,"MAT",$C22:$Q22,AO$3)=0)*(COUNTIFS($C$3:$Q$3,"POM",$C22:$Q22,AO$3)=0)*(COUNTIFS($C$3:$Q$3,"NOTTE",$C22:$Q22,AO$3)=0)*(COUNTIFS($C$3:$Q$3,"NOTTE",$C21:$Q21,AO$3)=0))=3,AO$3&amp;", ",AO$3&amp;IF((AO22&lt;&gt;"Xm")*(AO22&lt;&gt;"Xg")*(COUNTIFS($C$3:$Q$3,"MAT",$C22:$Q22,AO$3)=0)*(COUNTIFS($C$3:$Q$3,"NOTTE",$C22:$Q22,AO$3)=0)*(COUNTIFS($C$3:$Q$3,"NOTTE",$C21:$Q21,AO$3)=0),"_m","")&amp;IF((AO22&lt;&gt;"Xp")*(AO22&lt;&gt;"Xg")*(COUNTIFS($C$3:$Q$3,"POM",$C22:$Q22,AO$3)=0)*(COUNTIFS($C$3:$Q$3,"NOTTE",$C22:$Q22,AO$3)=0)*(COUNTIFS($C$3:$Q$3,"NOTTE",$C21:$Q21,AO$3)=0),"_p","")&amp;IF((AO22&lt;&gt;"Xn")*(COUNTIFS($C$3:$Q$3,"MAT",$C22:$Q22,AO$3)=0)*(COUNTIFS($C$3:$Q$3,"POM",$C22:$Q22,AO$3)=0)*(COUNTIFS($C$3:$Q$3,"NOTTE",$C22:$Q22,AO$3)=0)*(COUNTIFS($C$3:$Q$3,"NOTTE",$C21:$Q21,AO$3)=0),"_n","")&amp;", ")))</f>
        <v xml:space="preserve">LI, </v>
      </c>
    </row>
    <row r="23">
      <c r="A23" s="10" t="str">
        <f>CHOOSE(WEEKDAY(DATE($B$1,$A$2,B23),2),"lunedì","martedì","mercoledì","giovedì","venerdì","sabato","domenica")</f>
        <v>venerdì</v>
      </c>
      <c r="B23" s="10" t="n">
        <v>20</v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4" t="n"/>
      <c r="M23" s="11" t="n"/>
      <c r="N23" s="11" t="n"/>
      <c r="O23" s="11" t="n"/>
      <c r="P23" s="4" t="n"/>
      <c r="Q23" s="11" t="n"/>
      <c r="R23" s="11" t="n"/>
      <c r="S23" s="11">
        <f>IF(SUMPRODUCT(($C$3:$Q$3&lt;&gt;"")*($C23:$Q23&lt;&gt;"")*(LEFT($C23:$Q23,6)&lt;&gt;"chiuso")*(COUNTIFS($C23:$Q23,$C23:$Q23,$C$3:$Q$3,$C$3:$Q$3)&gt;1))&gt;0,"X","")</f>
      </c>
      <c r="T23" s="11" t="str">
        <f>IF(LEN(BP23&amp;BQ23&amp;BR23&amp;BS23&amp;BT23&amp;BU23&amp;BV23&amp;BW23&amp;BX23&amp;BY23&amp;BZ23&amp;CA23&amp;CB23&amp;CC23)=0,"",LEFT(BP23&amp;BQ23&amp;BR23&amp;BS23&amp;BT23&amp;BU23&amp;BV23&amp;BW23&amp;BX23&amp;BY23&amp;BZ23&amp;CA23&amp;CB23&amp;CC23,LEN(BP23&amp;BQ23&amp;BR23&amp;BS23&amp;BT23&amp;BU23&amp;BV23&amp;BW23&amp;BX23&amp;BY23&amp;BZ23&amp;CA23&amp;CB23&amp;CC23)-2))</f>
        <v>LEONI, ROSSI M, ROSSI L, GALLINA, RUSSO, VERDI, HU, MARINI, CONTI A, CONTI S, FERRARI, GRECO, SANNA, LI</v>
      </c>
      <c r="U23" s="11" t="str">
        <f>IF(LEN(CE23&amp;CF23&amp;CG23&amp;CH23&amp;CI23&amp;CJ23&amp;CK23&amp;CL23&amp;CM23&amp;CN23&amp;CO23&amp;CP23&amp;CQ23&amp;CR23)=0,"",LEFT(CE23&amp;CF23&amp;CG23&amp;CH23&amp;CI23&amp;CJ23&amp;CK23&amp;CL23&amp;CM23&amp;CN23&amp;CO23&amp;CP23&amp;CQ23&amp;CR23,LEN(CE23&amp;CF23&amp;CG23&amp;CH23&amp;CI23&amp;CJ23&amp;CK23&amp;CL23&amp;CM23&amp;CN23&amp;CO23&amp;CP23&amp;CQ23&amp;CR23)-2))</f>
        <v>LEONI, ROSSI M, ROSSI L, GALLINA, RUSSO, VERDI, HU, MARINI, CONTI A, CONTI S, FERRARI, GRECO, SANNA, LI</v>
      </c>
      <c r="Z23" s="10" t="str">
        <f>A23</f>
        <v>venerdì</v>
      </c>
      <c r="AA23" s="10">
        <f>B23</f>
        <v>20</v>
      </c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BP23" s="9" t="str">
        <f>IF(0+(AB23="X")&gt;0,"",IF(0+((AB23&lt;&gt;"Xm")*(AB23&lt;&gt;"Xg"))+((AB23&lt;&gt;"Xp")*(AB23&lt;&gt;"Xg"))+((AB23&lt;&gt;"Xn"))=0,"",IF(0+((AB23&lt;&gt;"Xm")*(AB23&lt;&gt;"Xg"))+((AB23&lt;&gt;"Xp")*(AB23&lt;&gt;"Xg"))+((AB23&lt;&gt;"Xn"))=3,AB$3&amp;", ",AB$3&amp;IF((AB23&lt;&gt;"Xm")*(AB23&lt;&gt;"Xg"),"_m","")&amp;IF((AB23&lt;&gt;"Xp")*(AB23&lt;&gt;"Xg"),"_p","")&amp;IF((AB23&lt;&gt;"Xn"),"_n","")&amp;", ")))</f>
        <v xml:space="preserve">LEONI, </v>
      </c>
      <c r="BQ23" s="9" t="str">
        <f>IF(0+(AC23="X")&gt;0,"",IF(0+((AC23&lt;&gt;"Xm")*(AC23&lt;&gt;"Xg"))+((AC23&lt;&gt;"Xp")*(AC23&lt;&gt;"Xg"))+((AC23&lt;&gt;"Xn"))=0,"",IF(0+((AC23&lt;&gt;"Xm")*(AC23&lt;&gt;"Xg"))+((AC23&lt;&gt;"Xp")*(AC23&lt;&gt;"Xg"))+((AC23&lt;&gt;"Xn"))=3,AC$3&amp;", ",AC$3&amp;IF((AC23&lt;&gt;"Xm")*(AC23&lt;&gt;"Xg"),"_m","")&amp;IF((AC23&lt;&gt;"Xp")*(AC23&lt;&gt;"Xg"),"_p","")&amp;IF((AC23&lt;&gt;"Xn"),"_n","")&amp;", ")))</f>
        <v xml:space="preserve">ROSSI M, </v>
      </c>
      <c r="BR23" s="9" t="str">
        <f>IF(0+(AD23="X")&gt;0,"",IF(0+((AD23&lt;&gt;"Xm")*(AD23&lt;&gt;"Xg"))+((AD23&lt;&gt;"Xp")*(AD23&lt;&gt;"Xg"))+((AD23&lt;&gt;"Xn"))=0,"",IF(0+((AD23&lt;&gt;"Xm")*(AD23&lt;&gt;"Xg"))+((AD23&lt;&gt;"Xp")*(AD23&lt;&gt;"Xg"))+((AD23&lt;&gt;"Xn"))=3,AD$3&amp;", ",AD$3&amp;IF((AD23&lt;&gt;"Xm")*(AD23&lt;&gt;"Xg"),"_m","")&amp;IF((AD23&lt;&gt;"Xp")*(AD23&lt;&gt;"Xg"),"_p","")&amp;IF((AD23&lt;&gt;"Xn"),"_n","")&amp;", ")))</f>
        <v xml:space="preserve">ROSSI L, </v>
      </c>
      <c r="BS23" s="9" t="str">
        <f>IF(0+(AE23="X")&gt;0,"",IF(0+((AE23&lt;&gt;"Xm")*(AE23&lt;&gt;"Xg"))+((AE23&lt;&gt;"Xp")*(AE23&lt;&gt;"Xg"))+((AE23&lt;&gt;"Xn"))=0,"",IF(0+((AE23&lt;&gt;"Xm")*(AE23&lt;&gt;"Xg"))+((AE23&lt;&gt;"Xp")*(AE23&lt;&gt;"Xg"))+((AE23&lt;&gt;"Xn"))=3,AE$3&amp;", ",AE$3&amp;IF((AE23&lt;&gt;"Xm")*(AE23&lt;&gt;"Xg"),"_m","")&amp;IF((AE23&lt;&gt;"Xp")*(AE23&lt;&gt;"Xg"),"_p","")&amp;IF((AE23&lt;&gt;"Xn"),"_n","")&amp;", ")))</f>
        <v xml:space="preserve">GALLINA, </v>
      </c>
      <c r="BT23" s="9" t="str">
        <f>IF(0+(AF23="X")&gt;0,"",IF(0+((AF23&lt;&gt;"Xm")*(AF23&lt;&gt;"Xg"))+((AF23&lt;&gt;"Xp")*(AF23&lt;&gt;"Xg"))+((AF23&lt;&gt;"Xn"))=0,"",IF(0+((AF23&lt;&gt;"Xm")*(AF23&lt;&gt;"Xg"))+((AF23&lt;&gt;"Xp")*(AF23&lt;&gt;"Xg"))+((AF23&lt;&gt;"Xn"))=3,AF$3&amp;", ",AF$3&amp;IF((AF23&lt;&gt;"Xm")*(AF23&lt;&gt;"Xg"),"_m","")&amp;IF((AF23&lt;&gt;"Xp")*(AF23&lt;&gt;"Xg"),"_p","")&amp;IF((AF23&lt;&gt;"Xn"),"_n","")&amp;", ")))</f>
        <v xml:space="preserve">RUSSO, </v>
      </c>
      <c r="BU23" s="9" t="str">
        <f>IF(0+(AG23="X")&gt;0,"",IF(0+((AG23&lt;&gt;"Xm")*(AG23&lt;&gt;"Xg"))+((AG23&lt;&gt;"Xp")*(AG23&lt;&gt;"Xg"))+((AG23&lt;&gt;"Xn"))=0,"",IF(0+((AG23&lt;&gt;"Xm")*(AG23&lt;&gt;"Xg"))+((AG23&lt;&gt;"Xp")*(AG23&lt;&gt;"Xg"))+((AG23&lt;&gt;"Xn"))=3,AG$3&amp;", ",AG$3&amp;IF((AG23&lt;&gt;"Xm")*(AG23&lt;&gt;"Xg"),"_m","")&amp;IF((AG23&lt;&gt;"Xp")*(AG23&lt;&gt;"Xg"),"_p","")&amp;IF((AG23&lt;&gt;"Xn"),"_n","")&amp;", ")))</f>
        <v xml:space="preserve">VERDI, </v>
      </c>
      <c r="BV23" s="9" t="str">
        <f>IF(0+(AH23="X")&gt;0,"",IF(0+((AH23&lt;&gt;"Xm")*(AH23&lt;&gt;"Xg"))+((AH23&lt;&gt;"Xp")*(AH23&lt;&gt;"Xg"))+((AH23&lt;&gt;"Xn"))=0,"",IF(0+((AH23&lt;&gt;"Xm")*(AH23&lt;&gt;"Xg"))+((AH23&lt;&gt;"Xp")*(AH23&lt;&gt;"Xg"))+((AH23&lt;&gt;"Xn"))=3,AH$3&amp;", ",AH$3&amp;IF((AH23&lt;&gt;"Xm")*(AH23&lt;&gt;"Xg"),"_m","")&amp;IF((AH23&lt;&gt;"Xp")*(AH23&lt;&gt;"Xg"),"_p","")&amp;IF((AH23&lt;&gt;"Xn"),"_n","")&amp;", ")))</f>
        <v xml:space="preserve">HU, </v>
      </c>
      <c r="BW23" s="9" t="str">
        <f>IF(0+(AI23="X")&gt;0,"",IF(0+((AI23&lt;&gt;"Xm")*(AI23&lt;&gt;"Xg"))+((AI23&lt;&gt;"Xp")*(AI23&lt;&gt;"Xg"))+((AI23&lt;&gt;"Xn"))=0,"",IF(0+((AI23&lt;&gt;"Xm")*(AI23&lt;&gt;"Xg"))+((AI23&lt;&gt;"Xp")*(AI23&lt;&gt;"Xg"))+((AI23&lt;&gt;"Xn"))=3,AI$3&amp;", ",AI$3&amp;IF((AI23&lt;&gt;"Xm")*(AI23&lt;&gt;"Xg"),"_m","")&amp;IF((AI23&lt;&gt;"Xp")*(AI23&lt;&gt;"Xg"),"_p","")&amp;IF((AI23&lt;&gt;"Xn"),"_n","")&amp;", ")))</f>
        <v xml:space="preserve">MARINI, </v>
      </c>
      <c r="BX23" s="9" t="str">
        <f>IF(0+(AJ23="X")&gt;0,"",IF(0+((AJ23&lt;&gt;"Xm")*(AJ23&lt;&gt;"Xg"))+((AJ23&lt;&gt;"Xp")*(AJ23&lt;&gt;"Xg"))+((AJ23&lt;&gt;"Xn"))=0,"",IF(0+((AJ23&lt;&gt;"Xm")*(AJ23&lt;&gt;"Xg"))+((AJ23&lt;&gt;"Xp")*(AJ23&lt;&gt;"Xg"))+((AJ23&lt;&gt;"Xn"))=3,AJ$3&amp;", ",AJ$3&amp;IF((AJ23&lt;&gt;"Xm")*(AJ23&lt;&gt;"Xg"),"_m","")&amp;IF((AJ23&lt;&gt;"Xp")*(AJ23&lt;&gt;"Xg"),"_p","")&amp;IF((AJ23&lt;&gt;"Xn"),"_n","")&amp;", ")))</f>
        <v xml:space="preserve">CONTI A, </v>
      </c>
      <c r="BY23" s="9" t="str">
        <f>IF(0+(AK23="X")&gt;0,"",IF(0+((AK23&lt;&gt;"Xm")*(AK23&lt;&gt;"Xg"))+((AK23&lt;&gt;"Xp")*(AK23&lt;&gt;"Xg"))+((AK23&lt;&gt;"Xn"))=0,"",IF(0+((AK23&lt;&gt;"Xm")*(AK23&lt;&gt;"Xg"))+((AK23&lt;&gt;"Xp")*(AK23&lt;&gt;"Xg"))+((AK23&lt;&gt;"Xn"))=3,AK$3&amp;", ",AK$3&amp;IF((AK23&lt;&gt;"Xm")*(AK23&lt;&gt;"Xg"),"_m","")&amp;IF((AK23&lt;&gt;"Xp")*(AK23&lt;&gt;"Xg"),"_p","")&amp;IF((AK23&lt;&gt;"Xn"),"_n","")&amp;", ")))</f>
        <v xml:space="preserve">CONTI S, </v>
      </c>
      <c r="BZ23" s="9" t="str">
        <f>IF(0+(AL23="X")&gt;0,"",IF(0+((AL23&lt;&gt;"Xm")*(AL23&lt;&gt;"Xg"))+((AL23&lt;&gt;"Xp")*(AL23&lt;&gt;"Xg"))+((AL23&lt;&gt;"Xn"))=0,"",IF(0+((AL23&lt;&gt;"Xm")*(AL23&lt;&gt;"Xg"))+((AL23&lt;&gt;"Xp")*(AL23&lt;&gt;"Xg"))+((AL23&lt;&gt;"Xn"))=3,AL$3&amp;", ",AL$3&amp;IF((AL23&lt;&gt;"Xm")*(AL23&lt;&gt;"Xg"),"_m","")&amp;IF((AL23&lt;&gt;"Xp")*(AL23&lt;&gt;"Xg"),"_p","")&amp;IF((AL23&lt;&gt;"Xn"),"_n","")&amp;", ")))</f>
        <v xml:space="preserve">FERRARI, </v>
      </c>
      <c r="CA23" s="9" t="str">
        <f>IF(0+(AM23="X")&gt;0,"",IF(0+((AM23&lt;&gt;"Xm")*(AM23&lt;&gt;"Xg"))+((AM23&lt;&gt;"Xp")*(AM23&lt;&gt;"Xg"))+((AM23&lt;&gt;"Xn"))=0,"",IF(0+((AM23&lt;&gt;"Xm")*(AM23&lt;&gt;"Xg"))+((AM23&lt;&gt;"Xp")*(AM23&lt;&gt;"Xg"))+((AM23&lt;&gt;"Xn"))=3,AM$3&amp;", ",AM$3&amp;IF((AM23&lt;&gt;"Xm")*(AM23&lt;&gt;"Xg"),"_m","")&amp;IF((AM23&lt;&gt;"Xp")*(AM23&lt;&gt;"Xg"),"_p","")&amp;IF((AM23&lt;&gt;"Xn"),"_n","")&amp;", ")))</f>
        <v xml:space="preserve">GRECO, </v>
      </c>
      <c r="CB23" s="9" t="str">
        <f>IF(0+(AN23="X")&gt;0,"",IF(0+((AN23&lt;&gt;"Xm")*(AN23&lt;&gt;"Xg"))+((AN23&lt;&gt;"Xp")*(AN23&lt;&gt;"Xg"))+((AN23&lt;&gt;"Xn"))=0,"",IF(0+((AN23&lt;&gt;"Xm")*(AN23&lt;&gt;"Xg"))+((AN23&lt;&gt;"Xp")*(AN23&lt;&gt;"Xg"))+((AN23&lt;&gt;"Xn"))=3,AN$3&amp;", ",AN$3&amp;IF((AN23&lt;&gt;"Xm")*(AN23&lt;&gt;"Xg"),"_m","")&amp;IF((AN23&lt;&gt;"Xp")*(AN23&lt;&gt;"Xg"),"_p","")&amp;IF((AN23&lt;&gt;"Xn"),"_n","")&amp;", ")))</f>
        <v xml:space="preserve">SANNA, </v>
      </c>
      <c r="CC23" s="9" t="str">
        <f>IF(0+(AO23="X")&gt;0,"",IF(0+((AO23&lt;&gt;"Xm")*(AO23&lt;&gt;"Xg"))+((AO23&lt;&gt;"Xp")*(AO23&lt;&gt;"Xg"))+((AO23&lt;&gt;"Xn"))=0,"",IF(0+((AO23&lt;&gt;"Xm")*(AO23&lt;&gt;"Xg"))+((AO23&lt;&gt;"Xp")*(AO23&lt;&gt;"Xg"))+((AO23&lt;&gt;"Xn"))=3,AO$3&amp;", ",AO$3&amp;IF((AO23&lt;&gt;"Xm")*(AO23&lt;&gt;"Xg"),"_m","")&amp;IF((AO23&lt;&gt;"Xp")*(AO23&lt;&gt;"Xg"),"_p","")&amp;IF((AO23&lt;&gt;"Xn"),"_n","")&amp;", ")))</f>
        <v xml:space="preserve">LI, </v>
      </c>
      <c r="CD23" s="9" t="n"/>
      <c r="CE23" s="9" t="str">
        <f>IF(0+(AB23="X")&gt;0,"",IF(0+((AB23&lt;&gt;"Xm")*(AB23&lt;&gt;"Xg")*(COUNTIFS($C$3:$Q$3,"MAT",$C23:$Q23,AB$3)=0)*(COUNTIFS($C$3:$Q$3,"NOTTE",$C23:$Q23,AB$3)=0)*(COUNTIFS($C$3:$Q$3,"NOTTE",$C22:$Q22,AB$3)=0))+((AB23&lt;&gt;"Xp")*(AB23&lt;&gt;"Xg")*(COUNTIFS($C$3:$Q$3,"POM",$C23:$Q23,AB$3)=0)*(COUNTIFS($C$3:$Q$3,"NOTTE",$C23:$Q23,AB$3)=0)*(COUNTIFS($C$3:$Q$3,"NOTTE",$C22:$Q22,AB$3)=0))+((AB23&lt;&gt;"Xn")*(COUNTIFS($C$3:$Q$3,"MAT",$C23:$Q23,AB$3)=0)*(COUNTIFS($C$3:$Q$3,"POM",$C23:$Q23,AB$3)=0)*(COUNTIFS($C$3:$Q$3,"NOTTE",$C23:$Q23,AB$3)=0)*(COUNTIFS($C$3:$Q$3,"NOTTE",$C22:$Q22,AB$3)=0))=0,"",IF(0+((AB23&lt;&gt;"Xm")*(AB23&lt;&gt;"Xg")*(COUNTIFS($C$3:$Q$3,"MAT",$C23:$Q23,AB$3)=0)*(COUNTIFS($C$3:$Q$3,"NOTTE",$C23:$Q23,AB$3)=0)*(COUNTIFS($C$3:$Q$3,"NOTTE",$C22:$Q22,AB$3)=0))+((AB23&lt;&gt;"Xp")*(AB23&lt;&gt;"Xg")*(COUNTIFS($C$3:$Q$3,"POM",$C23:$Q23,AB$3)=0)*(COUNTIFS($C$3:$Q$3,"NOTTE",$C23:$Q23,AB$3)=0)*(COUNTIFS($C$3:$Q$3,"NOTTE",$C22:$Q22,AB$3)=0))+((AB23&lt;&gt;"Xn")*(COUNTIFS($C$3:$Q$3,"MAT",$C23:$Q23,AB$3)=0)*(COUNTIFS($C$3:$Q$3,"POM",$C23:$Q23,AB$3)=0)*(COUNTIFS($C$3:$Q$3,"NOTTE",$C23:$Q23,AB$3)=0)*(COUNTIFS($C$3:$Q$3,"NOTTE",$C22:$Q22,AB$3)=0))=3,AB$3&amp;", ",AB$3&amp;IF((AB23&lt;&gt;"Xm")*(AB23&lt;&gt;"Xg")*(COUNTIFS($C$3:$Q$3,"MAT",$C23:$Q23,AB$3)=0)*(COUNTIFS($C$3:$Q$3,"NOTTE",$C23:$Q23,AB$3)=0)*(COUNTIFS($C$3:$Q$3,"NOTTE",$C22:$Q22,AB$3)=0),"_m","")&amp;IF((AB23&lt;&gt;"Xp")*(AB23&lt;&gt;"Xg")*(COUNTIFS($C$3:$Q$3,"POM",$C23:$Q23,AB$3)=0)*(COUNTIFS($C$3:$Q$3,"NOTTE",$C23:$Q23,AB$3)=0)*(COUNTIFS($C$3:$Q$3,"NOTTE",$C22:$Q22,AB$3)=0),"_p","")&amp;IF((AB23&lt;&gt;"Xn")*(COUNTIFS($C$3:$Q$3,"MAT",$C23:$Q23,AB$3)=0)*(COUNTIFS($C$3:$Q$3,"POM",$C23:$Q23,AB$3)=0)*(COUNTIFS($C$3:$Q$3,"NOTTE",$C23:$Q23,AB$3)=0)*(COUNTIFS($C$3:$Q$3,"NOTTE",$C22:$Q22,AB$3)=0),"_n","")&amp;", ")))</f>
        <v xml:space="preserve">LEONI, </v>
      </c>
      <c r="CF23" s="9" t="str">
        <f>IF(0+(AC23="X")&gt;0,"",IF(0+((AC23&lt;&gt;"Xm")*(AC23&lt;&gt;"Xg")*(COUNTIFS($C$3:$Q$3,"MAT",$C23:$Q23,AC$3)=0)*(COUNTIFS($C$3:$Q$3,"NOTTE",$C23:$Q23,AC$3)=0)*(COUNTIFS($C$3:$Q$3,"NOTTE",$C22:$Q22,AC$3)=0))+((AC23&lt;&gt;"Xp")*(AC23&lt;&gt;"Xg")*(COUNTIFS($C$3:$Q$3,"POM",$C23:$Q23,AC$3)=0)*(COUNTIFS($C$3:$Q$3,"NOTTE",$C23:$Q23,AC$3)=0)*(COUNTIFS($C$3:$Q$3,"NOTTE",$C22:$Q22,AC$3)=0))+((AC23&lt;&gt;"Xn")*(COUNTIFS($C$3:$Q$3,"MAT",$C23:$Q23,AC$3)=0)*(COUNTIFS($C$3:$Q$3,"POM",$C23:$Q23,AC$3)=0)*(COUNTIFS($C$3:$Q$3,"NOTTE",$C23:$Q23,AC$3)=0)*(COUNTIFS($C$3:$Q$3,"NOTTE",$C22:$Q22,AC$3)=0))=0,"",IF(0+((AC23&lt;&gt;"Xm")*(AC23&lt;&gt;"Xg")*(COUNTIFS($C$3:$Q$3,"MAT",$C23:$Q23,AC$3)=0)*(COUNTIFS($C$3:$Q$3,"NOTTE",$C23:$Q23,AC$3)=0)*(COUNTIFS($C$3:$Q$3,"NOTTE",$C22:$Q22,AC$3)=0))+((AC23&lt;&gt;"Xp")*(AC23&lt;&gt;"Xg")*(COUNTIFS($C$3:$Q$3,"POM",$C23:$Q23,AC$3)=0)*(COUNTIFS($C$3:$Q$3,"NOTTE",$C23:$Q23,AC$3)=0)*(COUNTIFS($C$3:$Q$3,"NOTTE",$C22:$Q22,AC$3)=0))+((AC23&lt;&gt;"Xn")*(COUNTIFS($C$3:$Q$3,"MAT",$C23:$Q23,AC$3)=0)*(COUNTIFS($C$3:$Q$3,"POM",$C23:$Q23,AC$3)=0)*(COUNTIFS($C$3:$Q$3,"NOTTE",$C23:$Q23,AC$3)=0)*(COUNTIFS($C$3:$Q$3,"NOTTE",$C22:$Q22,AC$3)=0))=3,AC$3&amp;", ",AC$3&amp;IF((AC23&lt;&gt;"Xm")*(AC23&lt;&gt;"Xg")*(COUNTIFS($C$3:$Q$3,"MAT",$C23:$Q23,AC$3)=0)*(COUNTIFS($C$3:$Q$3,"NOTTE",$C23:$Q23,AC$3)=0)*(COUNTIFS($C$3:$Q$3,"NOTTE",$C22:$Q22,AC$3)=0),"_m","")&amp;IF((AC23&lt;&gt;"Xp")*(AC23&lt;&gt;"Xg")*(COUNTIFS($C$3:$Q$3,"POM",$C23:$Q23,AC$3)=0)*(COUNTIFS($C$3:$Q$3,"NOTTE",$C23:$Q23,AC$3)=0)*(COUNTIFS($C$3:$Q$3,"NOTTE",$C22:$Q22,AC$3)=0),"_p","")&amp;IF((AC23&lt;&gt;"Xn")*(COUNTIFS($C$3:$Q$3,"MAT",$C23:$Q23,AC$3)=0)*(COUNTIFS($C$3:$Q$3,"POM",$C23:$Q23,AC$3)=0)*(COUNTIFS($C$3:$Q$3,"NOTTE",$C23:$Q23,AC$3)=0)*(COUNTIFS($C$3:$Q$3,"NOTTE",$C22:$Q22,AC$3)=0),"_n","")&amp;", ")))</f>
        <v xml:space="preserve">ROSSI M, </v>
      </c>
      <c r="CG23" s="9" t="str">
        <f>IF(0+(AD23="X")&gt;0,"",IF(0+((AD23&lt;&gt;"Xm")*(AD23&lt;&gt;"Xg")*(COUNTIFS($C$3:$Q$3,"MAT",$C23:$Q23,AD$3)=0)*(COUNTIFS($C$3:$Q$3,"NOTTE",$C23:$Q23,AD$3)=0)*(COUNTIFS($C$3:$Q$3,"NOTTE",$C22:$Q22,AD$3)=0))+((AD23&lt;&gt;"Xp")*(AD23&lt;&gt;"Xg")*(COUNTIFS($C$3:$Q$3,"POM",$C23:$Q23,AD$3)=0)*(COUNTIFS($C$3:$Q$3,"NOTTE",$C23:$Q23,AD$3)=0)*(COUNTIFS($C$3:$Q$3,"NOTTE",$C22:$Q22,AD$3)=0))+((AD23&lt;&gt;"Xn")*(COUNTIFS($C$3:$Q$3,"MAT",$C23:$Q23,AD$3)=0)*(COUNTIFS($C$3:$Q$3,"POM",$C23:$Q23,AD$3)=0)*(COUNTIFS($C$3:$Q$3,"NOTTE",$C23:$Q23,AD$3)=0)*(COUNTIFS($C$3:$Q$3,"NOTTE",$C22:$Q22,AD$3)=0))=0,"",IF(0+((AD23&lt;&gt;"Xm")*(AD23&lt;&gt;"Xg")*(COUNTIFS($C$3:$Q$3,"MAT",$C23:$Q23,AD$3)=0)*(COUNTIFS($C$3:$Q$3,"NOTTE",$C23:$Q23,AD$3)=0)*(COUNTIFS($C$3:$Q$3,"NOTTE",$C22:$Q22,AD$3)=0))+((AD23&lt;&gt;"Xp")*(AD23&lt;&gt;"Xg")*(COUNTIFS($C$3:$Q$3,"POM",$C23:$Q23,AD$3)=0)*(COUNTIFS($C$3:$Q$3,"NOTTE",$C23:$Q23,AD$3)=0)*(COUNTIFS($C$3:$Q$3,"NOTTE",$C22:$Q22,AD$3)=0))+((AD23&lt;&gt;"Xn")*(COUNTIFS($C$3:$Q$3,"MAT",$C23:$Q23,AD$3)=0)*(COUNTIFS($C$3:$Q$3,"POM",$C23:$Q23,AD$3)=0)*(COUNTIFS($C$3:$Q$3,"NOTTE",$C23:$Q23,AD$3)=0)*(COUNTIFS($C$3:$Q$3,"NOTTE",$C22:$Q22,AD$3)=0))=3,AD$3&amp;", ",AD$3&amp;IF((AD23&lt;&gt;"Xm")*(AD23&lt;&gt;"Xg")*(COUNTIFS($C$3:$Q$3,"MAT",$C23:$Q23,AD$3)=0)*(COUNTIFS($C$3:$Q$3,"NOTTE",$C23:$Q23,AD$3)=0)*(COUNTIFS($C$3:$Q$3,"NOTTE",$C22:$Q22,AD$3)=0),"_m","")&amp;IF((AD23&lt;&gt;"Xp")*(AD23&lt;&gt;"Xg")*(COUNTIFS($C$3:$Q$3,"POM",$C23:$Q23,AD$3)=0)*(COUNTIFS($C$3:$Q$3,"NOTTE",$C23:$Q23,AD$3)=0)*(COUNTIFS($C$3:$Q$3,"NOTTE",$C22:$Q22,AD$3)=0),"_p","")&amp;IF((AD23&lt;&gt;"Xn")*(COUNTIFS($C$3:$Q$3,"MAT",$C23:$Q23,AD$3)=0)*(COUNTIFS($C$3:$Q$3,"POM",$C23:$Q23,AD$3)=0)*(COUNTIFS($C$3:$Q$3,"NOTTE",$C23:$Q23,AD$3)=0)*(COUNTIFS($C$3:$Q$3,"NOTTE",$C22:$Q22,AD$3)=0),"_n","")&amp;", ")))</f>
        <v xml:space="preserve">ROSSI L, </v>
      </c>
      <c r="CH23" s="9" t="str">
        <f>IF(0+(AE23="X")&gt;0,"",IF(0+((AE23&lt;&gt;"Xm")*(AE23&lt;&gt;"Xg")*(COUNTIFS($C$3:$Q$3,"MAT",$C23:$Q23,AE$3)=0)*(COUNTIFS($C$3:$Q$3,"NOTTE",$C23:$Q23,AE$3)=0)*(COUNTIFS($C$3:$Q$3,"NOTTE",$C22:$Q22,AE$3)=0))+((AE23&lt;&gt;"Xp")*(AE23&lt;&gt;"Xg")*(COUNTIFS($C$3:$Q$3,"POM",$C23:$Q23,AE$3)=0)*(COUNTIFS($C$3:$Q$3,"NOTTE",$C23:$Q23,AE$3)=0)*(COUNTIFS($C$3:$Q$3,"NOTTE",$C22:$Q22,AE$3)=0))+((AE23&lt;&gt;"Xn")*(COUNTIFS($C$3:$Q$3,"MAT",$C23:$Q23,AE$3)=0)*(COUNTIFS($C$3:$Q$3,"POM",$C23:$Q23,AE$3)=0)*(COUNTIFS($C$3:$Q$3,"NOTTE",$C23:$Q23,AE$3)=0)*(COUNTIFS($C$3:$Q$3,"NOTTE",$C22:$Q22,AE$3)=0))=0,"",IF(0+((AE23&lt;&gt;"Xm")*(AE23&lt;&gt;"Xg")*(COUNTIFS($C$3:$Q$3,"MAT",$C23:$Q23,AE$3)=0)*(COUNTIFS($C$3:$Q$3,"NOTTE",$C23:$Q23,AE$3)=0)*(COUNTIFS($C$3:$Q$3,"NOTTE",$C22:$Q22,AE$3)=0))+((AE23&lt;&gt;"Xp")*(AE23&lt;&gt;"Xg")*(COUNTIFS($C$3:$Q$3,"POM",$C23:$Q23,AE$3)=0)*(COUNTIFS($C$3:$Q$3,"NOTTE",$C23:$Q23,AE$3)=0)*(COUNTIFS($C$3:$Q$3,"NOTTE",$C22:$Q22,AE$3)=0))+((AE23&lt;&gt;"Xn")*(COUNTIFS($C$3:$Q$3,"MAT",$C23:$Q23,AE$3)=0)*(COUNTIFS($C$3:$Q$3,"POM",$C23:$Q23,AE$3)=0)*(COUNTIFS($C$3:$Q$3,"NOTTE",$C23:$Q23,AE$3)=0)*(COUNTIFS($C$3:$Q$3,"NOTTE",$C22:$Q22,AE$3)=0))=3,AE$3&amp;", ",AE$3&amp;IF((AE23&lt;&gt;"Xm")*(AE23&lt;&gt;"Xg")*(COUNTIFS($C$3:$Q$3,"MAT",$C23:$Q23,AE$3)=0)*(COUNTIFS($C$3:$Q$3,"NOTTE",$C23:$Q23,AE$3)=0)*(COUNTIFS($C$3:$Q$3,"NOTTE",$C22:$Q22,AE$3)=0),"_m","")&amp;IF((AE23&lt;&gt;"Xp")*(AE23&lt;&gt;"Xg")*(COUNTIFS($C$3:$Q$3,"POM",$C23:$Q23,AE$3)=0)*(COUNTIFS($C$3:$Q$3,"NOTTE",$C23:$Q23,AE$3)=0)*(COUNTIFS($C$3:$Q$3,"NOTTE",$C22:$Q22,AE$3)=0),"_p","")&amp;IF((AE23&lt;&gt;"Xn")*(COUNTIFS($C$3:$Q$3,"MAT",$C23:$Q23,AE$3)=0)*(COUNTIFS($C$3:$Q$3,"POM",$C23:$Q23,AE$3)=0)*(COUNTIFS($C$3:$Q$3,"NOTTE",$C23:$Q23,AE$3)=0)*(COUNTIFS($C$3:$Q$3,"NOTTE",$C22:$Q22,AE$3)=0),"_n","")&amp;", ")))</f>
        <v xml:space="preserve">GALLINA, </v>
      </c>
      <c r="CI23" s="9" t="str">
        <f>IF(0+(AF23="X")&gt;0,"",IF(0+((AF23&lt;&gt;"Xm")*(AF23&lt;&gt;"Xg")*(COUNTIFS($C$3:$Q$3,"MAT",$C23:$Q23,AF$3)=0)*(COUNTIFS($C$3:$Q$3,"NOTTE",$C23:$Q23,AF$3)=0)*(COUNTIFS($C$3:$Q$3,"NOTTE",$C22:$Q22,AF$3)=0))+((AF23&lt;&gt;"Xp")*(AF23&lt;&gt;"Xg")*(COUNTIFS($C$3:$Q$3,"POM",$C23:$Q23,AF$3)=0)*(COUNTIFS($C$3:$Q$3,"NOTTE",$C23:$Q23,AF$3)=0)*(COUNTIFS($C$3:$Q$3,"NOTTE",$C22:$Q22,AF$3)=0))+((AF23&lt;&gt;"Xn")*(COUNTIFS($C$3:$Q$3,"MAT",$C23:$Q23,AF$3)=0)*(COUNTIFS($C$3:$Q$3,"POM",$C23:$Q23,AF$3)=0)*(COUNTIFS($C$3:$Q$3,"NOTTE",$C23:$Q23,AF$3)=0)*(COUNTIFS($C$3:$Q$3,"NOTTE",$C22:$Q22,AF$3)=0))=0,"",IF(0+((AF23&lt;&gt;"Xm")*(AF23&lt;&gt;"Xg")*(COUNTIFS($C$3:$Q$3,"MAT",$C23:$Q23,AF$3)=0)*(COUNTIFS($C$3:$Q$3,"NOTTE",$C23:$Q23,AF$3)=0)*(COUNTIFS($C$3:$Q$3,"NOTTE",$C22:$Q22,AF$3)=0))+((AF23&lt;&gt;"Xp")*(AF23&lt;&gt;"Xg")*(COUNTIFS($C$3:$Q$3,"POM",$C23:$Q23,AF$3)=0)*(COUNTIFS($C$3:$Q$3,"NOTTE",$C23:$Q23,AF$3)=0)*(COUNTIFS($C$3:$Q$3,"NOTTE",$C22:$Q22,AF$3)=0))+((AF23&lt;&gt;"Xn")*(COUNTIFS($C$3:$Q$3,"MAT",$C23:$Q23,AF$3)=0)*(COUNTIFS($C$3:$Q$3,"POM",$C23:$Q23,AF$3)=0)*(COUNTIFS($C$3:$Q$3,"NOTTE",$C23:$Q23,AF$3)=0)*(COUNTIFS($C$3:$Q$3,"NOTTE",$C22:$Q22,AF$3)=0))=3,AF$3&amp;", ",AF$3&amp;IF((AF23&lt;&gt;"Xm")*(AF23&lt;&gt;"Xg")*(COUNTIFS($C$3:$Q$3,"MAT",$C23:$Q23,AF$3)=0)*(COUNTIFS($C$3:$Q$3,"NOTTE",$C23:$Q23,AF$3)=0)*(COUNTIFS($C$3:$Q$3,"NOTTE",$C22:$Q22,AF$3)=0),"_m","")&amp;IF((AF23&lt;&gt;"Xp")*(AF23&lt;&gt;"Xg")*(COUNTIFS($C$3:$Q$3,"POM",$C23:$Q23,AF$3)=0)*(COUNTIFS($C$3:$Q$3,"NOTTE",$C23:$Q23,AF$3)=0)*(COUNTIFS($C$3:$Q$3,"NOTTE",$C22:$Q22,AF$3)=0),"_p","")&amp;IF((AF23&lt;&gt;"Xn")*(COUNTIFS($C$3:$Q$3,"MAT",$C23:$Q23,AF$3)=0)*(COUNTIFS($C$3:$Q$3,"POM",$C23:$Q23,AF$3)=0)*(COUNTIFS($C$3:$Q$3,"NOTTE",$C23:$Q23,AF$3)=0)*(COUNTIFS($C$3:$Q$3,"NOTTE",$C22:$Q22,AF$3)=0),"_n","")&amp;", ")))</f>
        <v xml:space="preserve">RUSSO, </v>
      </c>
      <c r="CJ23" s="9" t="str">
        <f>IF(0+(AG23="X")&gt;0,"",IF(0+((AG23&lt;&gt;"Xm")*(AG23&lt;&gt;"Xg")*(COUNTIFS($C$3:$Q$3,"MAT",$C23:$Q23,AG$3)=0)*(COUNTIFS($C$3:$Q$3,"NOTTE",$C23:$Q23,AG$3)=0)*(COUNTIFS($C$3:$Q$3,"NOTTE",$C22:$Q22,AG$3)=0))+((AG23&lt;&gt;"Xp")*(AG23&lt;&gt;"Xg")*(COUNTIFS($C$3:$Q$3,"POM",$C23:$Q23,AG$3)=0)*(COUNTIFS($C$3:$Q$3,"NOTTE",$C23:$Q23,AG$3)=0)*(COUNTIFS($C$3:$Q$3,"NOTTE",$C22:$Q22,AG$3)=0))+((AG23&lt;&gt;"Xn")*(COUNTIFS($C$3:$Q$3,"MAT",$C23:$Q23,AG$3)=0)*(COUNTIFS($C$3:$Q$3,"POM",$C23:$Q23,AG$3)=0)*(COUNTIFS($C$3:$Q$3,"NOTTE",$C23:$Q23,AG$3)=0)*(COUNTIFS($C$3:$Q$3,"NOTTE",$C22:$Q22,AG$3)=0))=0,"",IF(0+((AG23&lt;&gt;"Xm")*(AG23&lt;&gt;"Xg")*(COUNTIFS($C$3:$Q$3,"MAT",$C23:$Q23,AG$3)=0)*(COUNTIFS($C$3:$Q$3,"NOTTE",$C23:$Q23,AG$3)=0)*(COUNTIFS($C$3:$Q$3,"NOTTE",$C22:$Q22,AG$3)=0))+((AG23&lt;&gt;"Xp")*(AG23&lt;&gt;"Xg")*(COUNTIFS($C$3:$Q$3,"POM",$C23:$Q23,AG$3)=0)*(COUNTIFS($C$3:$Q$3,"NOTTE",$C23:$Q23,AG$3)=0)*(COUNTIFS($C$3:$Q$3,"NOTTE",$C22:$Q22,AG$3)=0))+((AG23&lt;&gt;"Xn")*(COUNTIFS($C$3:$Q$3,"MAT",$C23:$Q23,AG$3)=0)*(COUNTIFS($C$3:$Q$3,"POM",$C23:$Q23,AG$3)=0)*(COUNTIFS($C$3:$Q$3,"NOTTE",$C23:$Q23,AG$3)=0)*(COUNTIFS($C$3:$Q$3,"NOTTE",$C22:$Q22,AG$3)=0))=3,AG$3&amp;", ",AG$3&amp;IF((AG23&lt;&gt;"Xm")*(AG23&lt;&gt;"Xg")*(COUNTIFS($C$3:$Q$3,"MAT",$C23:$Q23,AG$3)=0)*(COUNTIFS($C$3:$Q$3,"NOTTE",$C23:$Q23,AG$3)=0)*(COUNTIFS($C$3:$Q$3,"NOTTE",$C22:$Q22,AG$3)=0),"_m","")&amp;IF((AG23&lt;&gt;"Xp")*(AG23&lt;&gt;"Xg")*(COUNTIFS($C$3:$Q$3,"POM",$C23:$Q23,AG$3)=0)*(COUNTIFS($C$3:$Q$3,"NOTTE",$C23:$Q23,AG$3)=0)*(COUNTIFS($C$3:$Q$3,"NOTTE",$C22:$Q22,AG$3)=0),"_p","")&amp;IF((AG23&lt;&gt;"Xn")*(COUNTIFS($C$3:$Q$3,"MAT",$C23:$Q23,AG$3)=0)*(COUNTIFS($C$3:$Q$3,"POM",$C23:$Q23,AG$3)=0)*(COUNTIFS($C$3:$Q$3,"NOTTE",$C23:$Q23,AG$3)=0)*(COUNTIFS($C$3:$Q$3,"NOTTE",$C22:$Q22,AG$3)=0),"_n","")&amp;", ")))</f>
        <v xml:space="preserve">VERDI, </v>
      </c>
      <c r="CK23" s="9" t="str">
        <f>IF(0+(AH23="X")&gt;0,"",IF(0+((AH23&lt;&gt;"Xm")*(AH23&lt;&gt;"Xg")*(COUNTIFS($C$3:$Q$3,"MAT",$C23:$Q23,AH$3)=0)*(COUNTIFS($C$3:$Q$3,"NOTTE",$C23:$Q23,AH$3)=0)*(COUNTIFS($C$3:$Q$3,"NOTTE",$C22:$Q22,AH$3)=0))+((AH23&lt;&gt;"Xp")*(AH23&lt;&gt;"Xg")*(COUNTIFS($C$3:$Q$3,"POM",$C23:$Q23,AH$3)=0)*(COUNTIFS($C$3:$Q$3,"NOTTE",$C23:$Q23,AH$3)=0)*(COUNTIFS($C$3:$Q$3,"NOTTE",$C22:$Q22,AH$3)=0))+((AH23&lt;&gt;"Xn")*(COUNTIFS($C$3:$Q$3,"MAT",$C23:$Q23,AH$3)=0)*(COUNTIFS($C$3:$Q$3,"POM",$C23:$Q23,AH$3)=0)*(COUNTIFS($C$3:$Q$3,"NOTTE",$C23:$Q23,AH$3)=0)*(COUNTIFS($C$3:$Q$3,"NOTTE",$C22:$Q22,AH$3)=0))=0,"",IF(0+((AH23&lt;&gt;"Xm")*(AH23&lt;&gt;"Xg")*(COUNTIFS($C$3:$Q$3,"MAT",$C23:$Q23,AH$3)=0)*(COUNTIFS($C$3:$Q$3,"NOTTE",$C23:$Q23,AH$3)=0)*(COUNTIFS($C$3:$Q$3,"NOTTE",$C22:$Q22,AH$3)=0))+((AH23&lt;&gt;"Xp")*(AH23&lt;&gt;"Xg")*(COUNTIFS($C$3:$Q$3,"POM",$C23:$Q23,AH$3)=0)*(COUNTIFS($C$3:$Q$3,"NOTTE",$C23:$Q23,AH$3)=0)*(COUNTIFS($C$3:$Q$3,"NOTTE",$C22:$Q22,AH$3)=0))+((AH23&lt;&gt;"Xn")*(COUNTIFS($C$3:$Q$3,"MAT",$C23:$Q23,AH$3)=0)*(COUNTIFS($C$3:$Q$3,"POM",$C23:$Q23,AH$3)=0)*(COUNTIFS($C$3:$Q$3,"NOTTE",$C23:$Q23,AH$3)=0)*(COUNTIFS($C$3:$Q$3,"NOTTE",$C22:$Q22,AH$3)=0))=3,AH$3&amp;", ",AH$3&amp;IF((AH23&lt;&gt;"Xm")*(AH23&lt;&gt;"Xg")*(COUNTIFS($C$3:$Q$3,"MAT",$C23:$Q23,AH$3)=0)*(COUNTIFS($C$3:$Q$3,"NOTTE",$C23:$Q23,AH$3)=0)*(COUNTIFS($C$3:$Q$3,"NOTTE",$C22:$Q22,AH$3)=0),"_m","")&amp;IF((AH23&lt;&gt;"Xp")*(AH23&lt;&gt;"Xg")*(COUNTIFS($C$3:$Q$3,"POM",$C23:$Q23,AH$3)=0)*(COUNTIFS($C$3:$Q$3,"NOTTE",$C23:$Q23,AH$3)=0)*(COUNTIFS($C$3:$Q$3,"NOTTE",$C22:$Q22,AH$3)=0),"_p","")&amp;IF((AH23&lt;&gt;"Xn")*(COUNTIFS($C$3:$Q$3,"MAT",$C23:$Q23,AH$3)=0)*(COUNTIFS($C$3:$Q$3,"POM",$C23:$Q23,AH$3)=0)*(COUNTIFS($C$3:$Q$3,"NOTTE",$C23:$Q23,AH$3)=0)*(COUNTIFS($C$3:$Q$3,"NOTTE",$C22:$Q22,AH$3)=0),"_n","")&amp;", ")))</f>
        <v xml:space="preserve">HU, </v>
      </c>
      <c r="CL23" s="9" t="str">
        <f>IF(0+(AI23="X")&gt;0,"",IF(0+((AI23&lt;&gt;"Xm")*(AI23&lt;&gt;"Xg")*(COUNTIFS($C$3:$Q$3,"MAT",$C23:$Q23,AI$3)=0)*(COUNTIFS($C$3:$Q$3,"NOTTE",$C23:$Q23,AI$3)=0)*(COUNTIFS($C$3:$Q$3,"NOTTE",$C22:$Q22,AI$3)=0))+((AI23&lt;&gt;"Xp")*(AI23&lt;&gt;"Xg")*(COUNTIFS($C$3:$Q$3,"POM",$C23:$Q23,AI$3)=0)*(COUNTIFS($C$3:$Q$3,"NOTTE",$C23:$Q23,AI$3)=0)*(COUNTIFS($C$3:$Q$3,"NOTTE",$C22:$Q22,AI$3)=0))+((AI23&lt;&gt;"Xn")*(COUNTIFS($C$3:$Q$3,"MAT",$C23:$Q23,AI$3)=0)*(COUNTIFS($C$3:$Q$3,"POM",$C23:$Q23,AI$3)=0)*(COUNTIFS($C$3:$Q$3,"NOTTE",$C23:$Q23,AI$3)=0)*(COUNTIFS($C$3:$Q$3,"NOTTE",$C22:$Q22,AI$3)=0))=0,"",IF(0+((AI23&lt;&gt;"Xm")*(AI23&lt;&gt;"Xg")*(COUNTIFS($C$3:$Q$3,"MAT",$C23:$Q23,AI$3)=0)*(COUNTIFS($C$3:$Q$3,"NOTTE",$C23:$Q23,AI$3)=0)*(COUNTIFS($C$3:$Q$3,"NOTTE",$C22:$Q22,AI$3)=0))+((AI23&lt;&gt;"Xp")*(AI23&lt;&gt;"Xg")*(COUNTIFS($C$3:$Q$3,"POM",$C23:$Q23,AI$3)=0)*(COUNTIFS($C$3:$Q$3,"NOTTE",$C23:$Q23,AI$3)=0)*(COUNTIFS($C$3:$Q$3,"NOTTE",$C22:$Q22,AI$3)=0))+((AI23&lt;&gt;"Xn")*(COUNTIFS($C$3:$Q$3,"MAT",$C23:$Q23,AI$3)=0)*(COUNTIFS($C$3:$Q$3,"POM",$C23:$Q23,AI$3)=0)*(COUNTIFS($C$3:$Q$3,"NOTTE",$C23:$Q23,AI$3)=0)*(COUNTIFS($C$3:$Q$3,"NOTTE",$C22:$Q22,AI$3)=0))=3,AI$3&amp;", ",AI$3&amp;IF((AI23&lt;&gt;"Xm")*(AI23&lt;&gt;"Xg")*(COUNTIFS($C$3:$Q$3,"MAT",$C23:$Q23,AI$3)=0)*(COUNTIFS($C$3:$Q$3,"NOTTE",$C23:$Q23,AI$3)=0)*(COUNTIFS($C$3:$Q$3,"NOTTE",$C22:$Q22,AI$3)=0),"_m","")&amp;IF((AI23&lt;&gt;"Xp")*(AI23&lt;&gt;"Xg")*(COUNTIFS($C$3:$Q$3,"POM",$C23:$Q23,AI$3)=0)*(COUNTIFS($C$3:$Q$3,"NOTTE",$C23:$Q23,AI$3)=0)*(COUNTIFS($C$3:$Q$3,"NOTTE",$C22:$Q22,AI$3)=0),"_p","")&amp;IF((AI23&lt;&gt;"Xn")*(COUNTIFS($C$3:$Q$3,"MAT",$C23:$Q23,AI$3)=0)*(COUNTIFS($C$3:$Q$3,"POM",$C23:$Q23,AI$3)=0)*(COUNTIFS($C$3:$Q$3,"NOTTE",$C23:$Q23,AI$3)=0)*(COUNTIFS($C$3:$Q$3,"NOTTE",$C22:$Q22,AI$3)=0),"_n","")&amp;", ")))</f>
        <v xml:space="preserve">MARINI, </v>
      </c>
      <c r="CM23" s="9" t="str">
        <f>IF(0+(AJ23="X")&gt;0,"",IF(0+((AJ23&lt;&gt;"Xm")*(AJ23&lt;&gt;"Xg")*(COUNTIFS($C$3:$Q$3,"MAT",$C23:$Q23,AJ$3)=0)*(COUNTIFS($C$3:$Q$3,"NOTTE",$C23:$Q23,AJ$3)=0)*(COUNTIFS($C$3:$Q$3,"NOTTE",$C22:$Q22,AJ$3)=0))+((AJ23&lt;&gt;"Xp")*(AJ23&lt;&gt;"Xg")*(COUNTIFS($C$3:$Q$3,"POM",$C23:$Q23,AJ$3)=0)*(COUNTIFS($C$3:$Q$3,"NOTTE",$C23:$Q23,AJ$3)=0)*(COUNTIFS($C$3:$Q$3,"NOTTE",$C22:$Q22,AJ$3)=0))+((AJ23&lt;&gt;"Xn")*(COUNTIFS($C$3:$Q$3,"MAT",$C23:$Q23,AJ$3)=0)*(COUNTIFS($C$3:$Q$3,"POM",$C23:$Q23,AJ$3)=0)*(COUNTIFS($C$3:$Q$3,"NOTTE",$C23:$Q23,AJ$3)=0)*(COUNTIFS($C$3:$Q$3,"NOTTE",$C22:$Q22,AJ$3)=0))=0,"",IF(0+((AJ23&lt;&gt;"Xm")*(AJ23&lt;&gt;"Xg")*(COUNTIFS($C$3:$Q$3,"MAT",$C23:$Q23,AJ$3)=0)*(COUNTIFS($C$3:$Q$3,"NOTTE",$C23:$Q23,AJ$3)=0)*(COUNTIFS($C$3:$Q$3,"NOTTE",$C22:$Q22,AJ$3)=0))+((AJ23&lt;&gt;"Xp")*(AJ23&lt;&gt;"Xg")*(COUNTIFS($C$3:$Q$3,"POM",$C23:$Q23,AJ$3)=0)*(COUNTIFS($C$3:$Q$3,"NOTTE",$C23:$Q23,AJ$3)=0)*(COUNTIFS($C$3:$Q$3,"NOTTE",$C22:$Q22,AJ$3)=0))+((AJ23&lt;&gt;"Xn")*(COUNTIFS($C$3:$Q$3,"MAT",$C23:$Q23,AJ$3)=0)*(COUNTIFS($C$3:$Q$3,"POM",$C23:$Q23,AJ$3)=0)*(COUNTIFS($C$3:$Q$3,"NOTTE",$C23:$Q23,AJ$3)=0)*(COUNTIFS($C$3:$Q$3,"NOTTE",$C22:$Q22,AJ$3)=0))=3,AJ$3&amp;", ",AJ$3&amp;IF((AJ23&lt;&gt;"Xm")*(AJ23&lt;&gt;"Xg")*(COUNTIFS($C$3:$Q$3,"MAT",$C23:$Q23,AJ$3)=0)*(COUNTIFS($C$3:$Q$3,"NOTTE",$C23:$Q23,AJ$3)=0)*(COUNTIFS($C$3:$Q$3,"NOTTE",$C22:$Q22,AJ$3)=0),"_m","")&amp;IF((AJ23&lt;&gt;"Xp")*(AJ23&lt;&gt;"Xg")*(COUNTIFS($C$3:$Q$3,"POM",$C23:$Q23,AJ$3)=0)*(COUNTIFS($C$3:$Q$3,"NOTTE",$C23:$Q23,AJ$3)=0)*(COUNTIFS($C$3:$Q$3,"NOTTE",$C22:$Q22,AJ$3)=0),"_p","")&amp;IF((AJ23&lt;&gt;"Xn")*(COUNTIFS($C$3:$Q$3,"MAT",$C23:$Q23,AJ$3)=0)*(COUNTIFS($C$3:$Q$3,"POM",$C23:$Q23,AJ$3)=0)*(COUNTIFS($C$3:$Q$3,"NOTTE",$C23:$Q23,AJ$3)=0)*(COUNTIFS($C$3:$Q$3,"NOTTE",$C22:$Q22,AJ$3)=0),"_n","")&amp;", ")))</f>
        <v xml:space="preserve">CONTI A, </v>
      </c>
      <c r="CN23" s="9" t="str">
        <f>IF(0+(AK23="X")&gt;0,"",IF(0+((AK23&lt;&gt;"Xm")*(AK23&lt;&gt;"Xg")*(COUNTIFS($C$3:$Q$3,"MAT",$C23:$Q23,AK$3)=0)*(COUNTIFS($C$3:$Q$3,"NOTTE",$C23:$Q23,AK$3)=0)*(COUNTIFS($C$3:$Q$3,"NOTTE",$C22:$Q22,AK$3)=0))+((AK23&lt;&gt;"Xp")*(AK23&lt;&gt;"Xg")*(COUNTIFS($C$3:$Q$3,"POM",$C23:$Q23,AK$3)=0)*(COUNTIFS($C$3:$Q$3,"NOTTE",$C23:$Q23,AK$3)=0)*(COUNTIFS($C$3:$Q$3,"NOTTE",$C22:$Q22,AK$3)=0))+((AK23&lt;&gt;"Xn")*(COUNTIFS($C$3:$Q$3,"MAT",$C23:$Q23,AK$3)=0)*(COUNTIFS($C$3:$Q$3,"POM",$C23:$Q23,AK$3)=0)*(COUNTIFS($C$3:$Q$3,"NOTTE",$C23:$Q23,AK$3)=0)*(COUNTIFS($C$3:$Q$3,"NOTTE",$C22:$Q22,AK$3)=0))=0,"",IF(0+((AK23&lt;&gt;"Xm")*(AK23&lt;&gt;"Xg")*(COUNTIFS($C$3:$Q$3,"MAT",$C23:$Q23,AK$3)=0)*(COUNTIFS($C$3:$Q$3,"NOTTE",$C23:$Q23,AK$3)=0)*(COUNTIFS($C$3:$Q$3,"NOTTE",$C22:$Q22,AK$3)=0))+((AK23&lt;&gt;"Xp")*(AK23&lt;&gt;"Xg")*(COUNTIFS($C$3:$Q$3,"POM",$C23:$Q23,AK$3)=0)*(COUNTIFS($C$3:$Q$3,"NOTTE",$C23:$Q23,AK$3)=0)*(COUNTIFS($C$3:$Q$3,"NOTTE",$C22:$Q22,AK$3)=0))+((AK23&lt;&gt;"Xn")*(COUNTIFS($C$3:$Q$3,"MAT",$C23:$Q23,AK$3)=0)*(COUNTIFS($C$3:$Q$3,"POM",$C23:$Q23,AK$3)=0)*(COUNTIFS($C$3:$Q$3,"NOTTE",$C23:$Q23,AK$3)=0)*(COUNTIFS($C$3:$Q$3,"NOTTE",$C22:$Q22,AK$3)=0))=3,AK$3&amp;", ",AK$3&amp;IF((AK23&lt;&gt;"Xm")*(AK23&lt;&gt;"Xg")*(COUNTIFS($C$3:$Q$3,"MAT",$C23:$Q23,AK$3)=0)*(COUNTIFS($C$3:$Q$3,"NOTTE",$C23:$Q23,AK$3)=0)*(COUNTIFS($C$3:$Q$3,"NOTTE",$C22:$Q22,AK$3)=0),"_m","")&amp;IF((AK23&lt;&gt;"Xp")*(AK23&lt;&gt;"Xg")*(COUNTIFS($C$3:$Q$3,"POM",$C23:$Q23,AK$3)=0)*(COUNTIFS($C$3:$Q$3,"NOTTE",$C23:$Q23,AK$3)=0)*(COUNTIFS($C$3:$Q$3,"NOTTE",$C22:$Q22,AK$3)=0),"_p","")&amp;IF((AK23&lt;&gt;"Xn")*(COUNTIFS($C$3:$Q$3,"MAT",$C23:$Q23,AK$3)=0)*(COUNTIFS($C$3:$Q$3,"POM",$C23:$Q23,AK$3)=0)*(COUNTIFS($C$3:$Q$3,"NOTTE",$C23:$Q23,AK$3)=0)*(COUNTIFS($C$3:$Q$3,"NOTTE",$C22:$Q22,AK$3)=0),"_n","")&amp;", ")))</f>
        <v xml:space="preserve">CONTI S, </v>
      </c>
      <c r="CO23" s="9" t="str">
        <f>IF(0+(AL23="X")&gt;0,"",IF(0+((AL23&lt;&gt;"Xm")*(AL23&lt;&gt;"Xg")*(COUNTIFS($C$3:$Q$3,"MAT",$C23:$Q23,AL$3)=0)*(COUNTIFS($C$3:$Q$3,"NOTTE",$C23:$Q23,AL$3)=0)*(COUNTIFS($C$3:$Q$3,"NOTTE",$C22:$Q22,AL$3)=0))+((AL23&lt;&gt;"Xp")*(AL23&lt;&gt;"Xg")*(COUNTIFS($C$3:$Q$3,"POM",$C23:$Q23,AL$3)=0)*(COUNTIFS($C$3:$Q$3,"NOTTE",$C23:$Q23,AL$3)=0)*(COUNTIFS($C$3:$Q$3,"NOTTE",$C22:$Q22,AL$3)=0))+((AL23&lt;&gt;"Xn")*(COUNTIFS($C$3:$Q$3,"MAT",$C23:$Q23,AL$3)=0)*(COUNTIFS($C$3:$Q$3,"POM",$C23:$Q23,AL$3)=0)*(COUNTIFS($C$3:$Q$3,"NOTTE",$C23:$Q23,AL$3)=0)*(COUNTIFS($C$3:$Q$3,"NOTTE",$C22:$Q22,AL$3)=0))=0,"",IF(0+((AL23&lt;&gt;"Xm")*(AL23&lt;&gt;"Xg")*(COUNTIFS($C$3:$Q$3,"MAT",$C23:$Q23,AL$3)=0)*(COUNTIFS($C$3:$Q$3,"NOTTE",$C23:$Q23,AL$3)=0)*(COUNTIFS($C$3:$Q$3,"NOTTE",$C22:$Q22,AL$3)=0))+((AL23&lt;&gt;"Xp")*(AL23&lt;&gt;"Xg")*(COUNTIFS($C$3:$Q$3,"POM",$C23:$Q23,AL$3)=0)*(COUNTIFS($C$3:$Q$3,"NOTTE",$C23:$Q23,AL$3)=0)*(COUNTIFS($C$3:$Q$3,"NOTTE",$C22:$Q22,AL$3)=0))+((AL23&lt;&gt;"Xn")*(COUNTIFS($C$3:$Q$3,"MAT",$C23:$Q23,AL$3)=0)*(COUNTIFS($C$3:$Q$3,"POM",$C23:$Q23,AL$3)=0)*(COUNTIFS($C$3:$Q$3,"NOTTE",$C23:$Q23,AL$3)=0)*(COUNTIFS($C$3:$Q$3,"NOTTE",$C22:$Q22,AL$3)=0))=3,AL$3&amp;", ",AL$3&amp;IF((AL23&lt;&gt;"Xm")*(AL23&lt;&gt;"Xg")*(COUNTIFS($C$3:$Q$3,"MAT",$C23:$Q23,AL$3)=0)*(COUNTIFS($C$3:$Q$3,"NOTTE",$C23:$Q23,AL$3)=0)*(COUNTIFS($C$3:$Q$3,"NOTTE",$C22:$Q22,AL$3)=0),"_m","")&amp;IF((AL23&lt;&gt;"Xp")*(AL23&lt;&gt;"Xg")*(COUNTIFS($C$3:$Q$3,"POM",$C23:$Q23,AL$3)=0)*(COUNTIFS($C$3:$Q$3,"NOTTE",$C23:$Q23,AL$3)=0)*(COUNTIFS($C$3:$Q$3,"NOTTE",$C22:$Q22,AL$3)=0),"_p","")&amp;IF((AL23&lt;&gt;"Xn")*(COUNTIFS($C$3:$Q$3,"MAT",$C23:$Q23,AL$3)=0)*(COUNTIFS($C$3:$Q$3,"POM",$C23:$Q23,AL$3)=0)*(COUNTIFS($C$3:$Q$3,"NOTTE",$C23:$Q23,AL$3)=0)*(COUNTIFS($C$3:$Q$3,"NOTTE",$C22:$Q22,AL$3)=0),"_n","")&amp;", ")))</f>
        <v xml:space="preserve">FERRARI, </v>
      </c>
      <c r="CP23" s="9" t="str">
        <f>IF(0+(AM23="X")&gt;0,"",IF(0+((AM23&lt;&gt;"Xm")*(AM23&lt;&gt;"Xg")*(COUNTIFS($C$3:$Q$3,"MAT",$C23:$Q23,AM$3)=0)*(COUNTIFS($C$3:$Q$3,"NOTTE",$C23:$Q23,AM$3)=0)*(COUNTIFS($C$3:$Q$3,"NOTTE",$C22:$Q22,AM$3)=0))+((AM23&lt;&gt;"Xp")*(AM23&lt;&gt;"Xg")*(COUNTIFS($C$3:$Q$3,"POM",$C23:$Q23,AM$3)=0)*(COUNTIFS($C$3:$Q$3,"NOTTE",$C23:$Q23,AM$3)=0)*(COUNTIFS($C$3:$Q$3,"NOTTE",$C22:$Q22,AM$3)=0))+((AM23&lt;&gt;"Xn")*(COUNTIFS($C$3:$Q$3,"MAT",$C23:$Q23,AM$3)=0)*(COUNTIFS($C$3:$Q$3,"POM",$C23:$Q23,AM$3)=0)*(COUNTIFS($C$3:$Q$3,"NOTTE",$C23:$Q23,AM$3)=0)*(COUNTIFS($C$3:$Q$3,"NOTTE",$C22:$Q22,AM$3)=0))=0,"",IF(0+((AM23&lt;&gt;"Xm")*(AM23&lt;&gt;"Xg")*(COUNTIFS($C$3:$Q$3,"MAT",$C23:$Q23,AM$3)=0)*(COUNTIFS($C$3:$Q$3,"NOTTE",$C23:$Q23,AM$3)=0)*(COUNTIFS($C$3:$Q$3,"NOTTE",$C22:$Q22,AM$3)=0))+((AM23&lt;&gt;"Xp")*(AM23&lt;&gt;"Xg")*(COUNTIFS($C$3:$Q$3,"POM",$C23:$Q23,AM$3)=0)*(COUNTIFS($C$3:$Q$3,"NOTTE",$C23:$Q23,AM$3)=0)*(COUNTIFS($C$3:$Q$3,"NOTTE",$C22:$Q22,AM$3)=0))+((AM23&lt;&gt;"Xn")*(COUNTIFS($C$3:$Q$3,"MAT",$C23:$Q23,AM$3)=0)*(COUNTIFS($C$3:$Q$3,"POM",$C23:$Q23,AM$3)=0)*(COUNTIFS($C$3:$Q$3,"NOTTE",$C23:$Q23,AM$3)=0)*(COUNTIFS($C$3:$Q$3,"NOTTE",$C22:$Q22,AM$3)=0))=3,AM$3&amp;", ",AM$3&amp;IF((AM23&lt;&gt;"Xm")*(AM23&lt;&gt;"Xg")*(COUNTIFS($C$3:$Q$3,"MAT",$C23:$Q23,AM$3)=0)*(COUNTIFS($C$3:$Q$3,"NOTTE",$C23:$Q23,AM$3)=0)*(COUNTIFS($C$3:$Q$3,"NOTTE",$C22:$Q22,AM$3)=0),"_m","")&amp;IF((AM23&lt;&gt;"Xp")*(AM23&lt;&gt;"Xg")*(COUNTIFS($C$3:$Q$3,"POM",$C23:$Q23,AM$3)=0)*(COUNTIFS($C$3:$Q$3,"NOTTE",$C23:$Q23,AM$3)=0)*(COUNTIFS($C$3:$Q$3,"NOTTE",$C22:$Q22,AM$3)=0),"_p","")&amp;IF((AM23&lt;&gt;"Xn")*(COUNTIFS($C$3:$Q$3,"MAT",$C23:$Q23,AM$3)=0)*(COUNTIFS($C$3:$Q$3,"POM",$C23:$Q23,AM$3)=0)*(COUNTIFS($C$3:$Q$3,"NOTTE",$C23:$Q23,AM$3)=0)*(COUNTIFS($C$3:$Q$3,"NOTTE",$C22:$Q22,AM$3)=0),"_n","")&amp;", ")))</f>
        <v xml:space="preserve">GRECO, </v>
      </c>
      <c r="CQ23" s="9" t="str">
        <f>IF(0+(AN23="X")&gt;0,"",IF(0+((AN23&lt;&gt;"Xm")*(AN23&lt;&gt;"Xg")*(COUNTIFS($C$3:$Q$3,"MAT",$C23:$Q23,AN$3)=0)*(COUNTIFS($C$3:$Q$3,"NOTTE",$C23:$Q23,AN$3)=0)*(COUNTIFS($C$3:$Q$3,"NOTTE",$C22:$Q22,AN$3)=0))+((AN23&lt;&gt;"Xp")*(AN23&lt;&gt;"Xg")*(COUNTIFS($C$3:$Q$3,"POM",$C23:$Q23,AN$3)=0)*(COUNTIFS($C$3:$Q$3,"NOTTE",$C23:$Q23,AN$3)=0)*(COUNTIFS($C$3:$Q$3,"NOTTE",$C22:$Q22,AN$3)=0))+((AN23&lt;&gt;"Xn")*(COUNTIFS($C$3:$Q$3,"MAT",$C23:$Q23,AN$3)=0)*(COUNTIFS($C$3:$Q$3,"POM",$C23:$Q23,AN$3)=0)*(COUNTIFS($C$3:$Q$3,"NOTTE",$C23:$Q23,AN$3)=0)*(COUNTIFS($C$3:$Q$3,"NOTTE",$C22:$Q22,AN$3)=0))=0,"",IF(0+((AN23&lt;&gt;"Xm")*(AN23&lt;&gt;"Xg")*(COUNTIFS($C$3:$Q$3,"MAT",$C23:$Q23,AN$3)=0)*(COUNTIFS($C$3:$Q$3,"NOTTE",$C23:$Q23,AN$3)=0)*(COUNTIFS($C$3:$Q$3,"NOTTE",$C22:$Q22,AN$3)=0))+((AN23&lt;&gt;"Xp")*(AN23&lt;&gt;"Xg")*(COUNTIFS($C$3:$Q$3,"POM",$C23:$Q23,AN$3)=0)*(COUNTIFS($C$3:$Q$3,"NOTTE",$C23:$Q23,AN$3)=0)*(COUNTIFS($C$3:$Q$3,"NOTTE",$C22:$Q22,AN$3)=0))+((AN23&lt;&gt;"Xn")*(COUNTIFS($C$3:$Q$3,"MAT",$C23:$Q23,AN$3)=0)*(COUNTIFS($C$3:$Q$3,"POM",$C23:$Q23,AN$3)=0)*(COUNTIFS($C$3:$Q$3,"NOTTE",$C23:$Q23,AN$3)=0)*(COUNTIFS($C$3:$Q$3,"NOTTE",$C22:$Q22,AN$3)=0))=3,AN$3&amp;", ",AN$3&amp;IF((AN23&lt;&gt;"Xm")*(AN23&lt;&gt;"Xg")*(COUNTIFS($C$3:$Q$3,"MAT",$C23:$Q23,AN$3)=0)*(COUNTIFS($C$3:$Q$3,"NOTTE",$C23:$Q23,AN$3)=0)*(COUNTIFS($C$3:$Q$3,"NOTTE",$C22:$Q22,AN$3)=0),"_m","")&amp;IF((AN23&lt;&gt;"Xp")*(AN23&lt;&gt;"Xg")*(COUNTIFS($C$3:$Q$3,"POM",$C23:$Q23,AN$3)=0)*(COUNTIFS($C$3:$Q$3,"NOTTE",$C23:$Q23,AN$3)=0)*(COUNTIFS($C$3:$Q$3,"NOTTE",$C22:$Q22,AN$3)=0),"_p","")&amp;IF((AN23&lt;&gt;"Xn")*(COUNTIFS($C$3:$Q$3,"MAT",$C23:$Q23,AN$3)=0)*(COUNTIFS($C$3:$Q$3,"POM",$C23:$Q23,AN$3)=0)*(COUNTIFS($C$3:$Q$3,"NOTTE",$C23:$Q23,AN$3)=0)*(COUNTIFS($C$3:$Q$3,"NOTTE",$C22:$Q22,AN$3)=0),"_n","")&amp;", ")))</f>
        <v xml:space="preserve">SANNA, </v>
      </c>
      <c r="CR23" s="9" t="str">
        <f>IF(0+(AO23="X")&gt;0,"",IF(0+((AO23&lt;&gt;"Xm")*(AO23&lt;&gt;"Xg")*(COUNTIFS($C$3:$Q$3,"MAT",$C23:$Q23,AO$3)=0)*(COUNTIFS($C$3:$Q$3,"NOTTE",$C23:$Q23,AO$3)=0)*(COUNTIFS($C$3:$Q$3,"NOTTE",$C22:$Q22,AO$3)=0))+((AO23&lt;&gt;"Xp")*(AO23&lt;&gt;"Xg")*(COUNTIFS($C$3:$Q$3,"POM",$C23:$Q23,AO$3)=0)*(COUNTIFS($C$3:$Q$3,"NOTTE",$C23:$Q23,AO$3)=0)*(COUNTIFS($C$3:$Q$3,"NOTTE",$C22:$Q22,AO$3)=0))+((AO23&lt;&gt;"Xn")*(COUNTIFS($C$3:$Q$3,"MAT",$C23:$Q23,AO$3)=0)*(COUNTIFS($C$3:$Q$3,"POM",$C23:$Q23,AO$3)=0)*(COUNTIFS($C$3:$Q$3,"NOTTE",$C23:$Q23,AO$3)=0)*(COUNTIFS($C$3:$Q$3,"NOTTE",$C22:$Q22,AO$3)=0))=0,"",IF(0+((AO23&lt;&gt;"Xm")*(AO23&lt;&gt;"Xg")*(COUNTIFS($C$3:$Q$3,"MAT",$C23:$Q23,AO$3)=0)*(COUNTIFS($C$3:$Q$3,"NOTTE",$C23:$Q23,AO$3)=0)*(COUNTIFS($C$3:$Q$3,"NOTTE",$C22:$Q22,AO$3)=0))+((AO23&lt;&gt;"Xp")*(AO23&lt;&gt;"Xg")*(COUNTIFS($C$3:$Q$3,"POM",$C23:$Q23,AO$3)=0)*(COUNTIFS($C$3:$Q$3,"NOTTE",$C23:$Q23,AO$3)=0)*(COUNTIFS($C$3:$Q$3,"NOTTE",$C22:$Q22,AO$3)=0))+((AO23&lt;&gt;"Xn")*(COUNTIFS($C$3:$Q$3,"MAT",$C23:$Q23,AO$3)=0)*(COUNTIFS($C$3:$Q$3,"POM",$C23:$Q23,AO$3)=0)*(COUNTIFS($C$3:$Q$3,"NOTTE",$C23:$Q23,AO$3)=0)*(COUNTIFS($C$3:$Q$3,"NOTTE",$C22:$Q22,AO$3)=0))=3,AO$3&amp;", ",AO$3&amp;IF((AO23&lt;&gt;"Xm")*(AO23&lt;&gt;"Xg")*(COUNTIFS($C$3:$Q$3,"MAT",$C23:$Q23,AO$3)=0)*(COUNTIFS($C$3:$Q$3,"NOTTE",$C23:$Q23,AO$3)=0)*(COUNTIFS($C$3:$Q$3,"NOTTE",$C22:$Q22,AO$3)=0),"_m","")&amp;IF((AO23&lt;&gt;"Xp")*(AO23&lt;&gt;"Xg")*(COUNTIFS($C$3:$Q$3,"POM",$C23:$Q23,AO$3)=0)*(COUNTIFS($C$3:$Q$3,"NOTTE",$C23:$Q23,AO$3)=0)*(COUNTIFS($C$3:$Q$3,"NOTTE",$C22:$Q22,AO$3)=0),"_p","")&amp;IF((AO23&lt;&gt;"Xn")*(COUNTIFS($C$3:$Q$3,"MAT",$C23:$Q23,AO$3)=0)*(COUNTIFS($C$3:$Q$3,"POM",$C23:$Q23,AO$3)=0)*(COUNTIFS($C$3:$Q$3,"NOTTE",$C23:$Q23,AO$3)=0)*(COUNTIFS($C$3:$Q$3,"NOTTE",$C22:$Q22,AO$3)=0),"_n","")&amp;", ")))</f>
        <v xml:space="preserve">LI, </v>
      </c>
    </row>
    <row r="24">
      <c r="A24" s="3" t="str">
        <f>CHOOSE(WEEKDAY(DATE($B$1,$A$2,B24),2),"lunedì","martedì","mercoledì","giovedì","venerdì","sabato","domenica")</f>
        <v>sabato</v>
      </c>
      <c r="B24" s="3" t="n">
        <v>21</v>
      </c>
      <c r="C24" s="4" t="n"/>
      <c r="D24" s="4" t="n"/>
      <c r="E24" s="3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3" t="n"/>
      <c r="Q24" s="3" t="n"/>
      <c r="R24" s="3" t="n"/>
      <c r="S24" s="3">
        <f>IF(SUMPRODUCT(($C$3:$Q$3&lt;&gt;"")*($C24:$Q24&lt;&gt;"")*(LEFT($C24:$Q24,6)&lt;&gt;"chiuso")*(COUNTIFS($C24:$Q24,$C24:$Q24,$C$3:$Q$3,$C$3:$Q$3)&gt;1))&gt;0,"X","")</f>
      </c>
      <c r="T24" s="3" t="str">
        <f>IF(LEN(BP24&amp;BQ24&amp;BR24&amp;BS24&amp;BT24&amp;BU24&amp;BV24&amp;BW24&amp;BX24&amp;BY24&amp;BZ24&amp;CA24&amp;CB24&amp;CC24)=0,"",LEFT(BP24&amp;BQ24&amp;BR24&amp;BS24&amp;BT24&amp;BU24&amp;BV24&amp;BW24&amp;BX24&amp;BY24&amp;BZ24&amp;CA24&amp;CB24&amp;CC24,LEN(BP24&amp;BQ24&amp;BR24&amp;BS24&amp;BT24&amp;BU24&amp;BV24&amp;BW24&amp;BX24&amp;BY24&amp;BZ24&amp;CA24&amp;CB24&amp;CC24)-2))</f>
        <v>LEONI, ROSSI M, ROSSI L, GALLINA, RUSSO, VERDI, HU, MARINI, CONTI A, CONTI S, FERRARI, GRECO, SANNA, LI</v>
      </c>
      <c r="U24" s="3" t="str">
        <f>IF(LEN(CE24&amp;CF24&amp;CG24&amp;CH24&amp;CI24&amp;CJ24&amp;CK24&amp;CL24&amp;CM24&amp;CN24&amp;CO24&amp;CP24&amp;CQ24&amp;CR24)=0,"",LEFT(CE24&amp;CF24&amp;CG24&amp;CH24&amp;CI24&amp;CJ24&amp;CK24&amp;CL24&amp;CM24&amp;CN24&amp;CO24&amp;CP24&amp;CQ24&amp;CR24,LEN(CE24&amp;CF24&amp;CG24&amp;CH24&amp;CI24&amp;CJ24&amp;CK24&amp;CL24&amp;CM24&amp;CN24&amp;CO24&amp;CP24&amp;CQ24&amp;CR24)-2))</f>
        <v>LEONI, ROSSI M, ROSSI L, GALLINA, RUSSO, VERDI, HU, MARINI, CONTI A, CONTI S, FERRARI, GRECO, SANNA, LI</v>
      </c>
      <c r="Z24" s="3" t="str">
        <f>A24</f>
        <v>sabato</v>
      </c>
      <c r="AA24" s="3">
        <f>B24</f>
        <v>21</v>
      </c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BP24" s="9" t="str">
        <f>IF(0+(AB24="X")&gt;0,"",IF(0+((AB24&lt;&gt;"Xm")*(AB24&lt;&gt;"Xg"))+((AB24&lt;&gt;"Xm")*(AB24&lt;&gt;"Xp")*(AB24&lt;&gt;"Xg"))+((AB24&lt;&gt;"Xn"))=0,"",IF(0+((AB24&lt;&gt;"Xm")*(AB24&lt;&gt;"Xg"))+((AB24&lt;&gt;"Xm")*(AB24&lt;&gt;"Xp")*(AB24&lt;&gt;"Xg"))+((AB24&lt;&gt;"Xn"))=3,AB$3&amp;", ",AB$3&amp;IF((AB24&lt;&gt;"Xm")*(AB24&lt;&gt;"Xg"),"_m","")&amp;IF((AB24&lt;&gt;"Xm")*(AB24&lt;&gt;"Xp")*(AB24&lt;&gt;"Xg"),"_g","")&amp;IF((AB24&lt;&gt;"Xn"),"_n","")&amp;", ")))</f>
        <v xml:space="preserve">LEONI, </v>
      </c>
      <c r="BQ24" s="9" t="str">
        <f>IF(0+(AC24="X")&gt;0,"",IF(0+((AC24&lt;&gt;"Xm")*(AC24&lt;&gt;"Xg"))+((AC24&lt;&gt;"Xm")*(AC24&lt;&gt;"Xp")*(AC24&lt;&gt;"Xg"))+((AC24&lt;&gt;"Xn"))=0,"",IF(0+((AC24&lt;&gt;"Xm")*(AC24&lt;&gt;"Xg"))+((AC24&lt;&gt;"Xm")*(AC24&lt;&gt;"Xp")*(AC24&lt;&gt;"Xg"))+((AC24&lt;&gt;"Xn"))=3,AC$3&amp;", ",AC$3&amp;IF((AC24&lt;&gt;"Xm")*(AC24&lt;&gt;"Xg"),"_m","")&amp;IF((AC24&lt;&gt;"Xm")*(AC24&lt;&gt;"Xp")*(AC24&lt;&gt;"Xg"),"_g","")&amp;IF((AC24&lt;&gt;"Xn"),"_n","")&amp;", ")))</f>
        <v xml:space="preserve">ROSSI M, </v>
      </c>
      <c r="BR24" s="9" t="str">
        <f>IF(0+(AD24="X")&gt;0,"",IF(0+((AD24&lt;&gt;"Xm")*(AD24&lt;&gt;"Xg"))+((AD24&lt;&gt;"Xm")*(AD24&lt;&gt;"Xp")*(AD24&lt;&gt;"Xg"))+((AD24&lt;&gt;"Xn"))=0,"",IF(0+((AD24&lt;&gt;"Xm")*(AD24&lt;&gt;"Xg"))+((AD24&lt;&gt;"Xm")*(AD24&lt;&gt;"Xp")*(AD24&lt;&gt;"Xg"))+((AD24&lt;&gt;"Xn"))=3,AD$3&amp;", ",AD$3&amp;IF((AD24&lt;&gt;"Xm")*(AD24&lt;&gt;"Xg"),"_m","")&amp;IF((AD24&lt;&gt;"Xm")*(AD24&lt;&gt;"Xp")*(AD24&lt;&gt;"Xg"),"_g","")&amp;IF((AD24&lt;&gt;"Xn"),"_n","")&amp;", ")))</f>
        <v xml:space="preserve">ROSSI L, </v>
      </c>
      <c r="BS24" s="9" t="str">
        <f>IF(0+(AE24="X")&gt;0,"",IF(0+((AE24&lt;&gt;"Xm")*(AE24&lt;&gt;"Xg"))+((AE24&lt;&gt;"Xm")*(AE24&lt;&gt;"Xp")*(AE24&lt;&gt;"Xg"))+((AE24&lt;&gt;"Xn"))=0,"",IF(0+((AE24&lt;&gt;"Xm")*(AE24&lt;&gt;"Xg"))+((AE24&lt;&gt;"Xm")*(AE24&lt;&gt;"Xp")*(AE24&lt;&gt;"Xg"))+((AE24&lt;&gt;"Xn"))=3,AE$3&amp;", ",AE$3&amp;IF((AE24&lt;&gt;"Xm")*(AE24&lt;&gt;"Xg"),"_m","")&amp;IF((AE24&lt;&gt;"Xm")*(AE24&lt;&gt;"Xp")*(AE24&lt;&gt;"Xg"),"_g","")&amp;IF((AE24&lt;&gt;"Xn"),"_n","")&amp;", ")))</f>
        <v xml:space="preserve">GALLINA, </v>
      </c>
      <c r="BT24" s="9" t="str">
        <f>IF(0+(AF24="X")&gt;0,"",IF(0+((AF24&lt;&gt;"Xm")*(AF24&lt;&gt;"Xg"))+((AF24&lt;&gt;"Xm")*(AF24&lt;&gt;"Xp")*(AF24&lt;&gt;"Xg"))+((AF24&lt;&gt;"Xn"))=0,"",IF(0+((AF24&lt;&gt;"Xm")*(AF24&lt;&gt;"Xg"))+((AF24&lt;&gt;"Xm")*(AF24&lt;&gt;"Xp")*(AF24&lt;&gt;"Xg"))+((AF24&lt;&gt;"Xn"))=3,AF$3&amp;", ",AF$3&amp;IF((AF24&lt;&gt;"Xm")*(AF24&lt;&gt;"Xg"),"_m","")&amp;IF((AF24&lt;&gt;"Xm")*(AF24&lt;&gt;"Xp")*(AF24&lt;&gt;"Xg"),"_g","")&amp;IF((AF24&lt;&gt;"Xn"),"_n","")&amp;", ")))</f>
        <v xml:space="preserve">RUSSO, </v>
      </c>
      <c r="BU24" s="9" t="str">
        <f>IF(0+(AG24="X")&gt;0,"",IF(0+((AG24&lt;&gt;"Xm")*(AG24&lt;&gt;"Xg"))+((AG24&lt;&gt;"Xm")*(AG24&lt;&gt;"Xp")*(AG24&lt;&gt;"Xg"))+((AG24&lt;&gt;"Xn"))=0,"",IF(0+((AG24&lt;&gt;"Xm")*(AG24&lt;&gt;"Xg"))+((AG24&lt;&gt;"Xm")*(AG24&lt;&gt;"Xp")*(AG24&lt;&gt;"Xg"))+((AG24&lt;&gt;"Xn"))=3,AG$3&amp;", ",AG$3&amp;IF((AG24&lt;&gt;"Xm")*(AG24&lt;&gt;"Xg"),"_m","")&amp;IF((AG24&lt;&gt;"Xm")*(AG24&lt;&gt;"Xp")*(AG24&lt;&gt;"Xg"),"_g","")&amp;IF((AG24&lt;&gt;"Xn"),"_n","")&amp;", ")))</f>
        <v xml:space="preserve">VERDI, </v>
      </c>
      <c r="BV24" s="9" t="str">
        <f>IF(0+(AH24="X")&gt;0,"",IF(0+((AH24&lt;&gt;"Xm")*(AH24&lt;&gt;"Xg"))+((AH24&lt;&gt;"Xm")*(AH24&lt;&gt;"Xp")*(AH24&lt;&gt;"Xg"))+((AH24&lt;&gt;"Xn"))=0,"",IF(0+((AH24&lt;&gt;"Xm")*(AH24&lt;&gt;"Xg"))+((AH24&lt;&gt;"Xm")*(AH24&lt;&gt;"Xp")*(AH24&lt;&gt;"Xg"))+((AH24&lt;&gt;"Xn"))=3,AH$3&amp;", ",AH$3&amp;IF((AH24&lt;&gt;"Xm")*(AH24&lt;&gt;"Xg"),"_m","")&amp;IF((AH24&lt;&gt;"Xm")*(AH24&lt;&gt;"Xp")*(AH24&lt;&gt;"Xg"),"_g","")&amp;IF((AH24&lt;&gt;"Xn"),"_n","")&amp;", ")))</f>
        <v xml:space="preserve">HU, </v>
      </c>
      <c r="BW24" s="9" t="str">
        <f>IF(0+(AI24="X")&gt;0,"",IF(0+((AI24&lt;&gt;"Xm")*(AI24&lt;&gt;"Xg"))+((AI24&lt;&gt;"Xm")*(AI24&lt;&gt;"Xp")*(AI24&lt;&gt;"Xg"))+((AI24&lt;&gt;"Xn"))=0,"",IF(0+((AI24&lt;&gt;"Xm")*(AI24&lt;&gt;"Xg"))+((AI24&lt;&gt;"Xm")*(AI24&lt;&gt;"Xp")*(AI24&lt;&gt;"Xg"))+((AI24&lt;&gt;"Xn"))=3,AI$3&amp;", ",AI$3&amp;IF((AI24&lt;&gt;"Xm")*(AI24&lt;&gt;"Xg"),"_m","")&amp;IF((AI24&lt;&gt;"Xm")*(AI24&lt;&gt;"Xp")*(AI24&lt;&gt;"Xg"),"_g","")&amp;IF((AI24&lt;&gt;"Xn"),"_n","")&amp;", ")))</f>
        <v xml:space="preserve">MARINI, </v>
      </c>
      <c r="BX24" s="9" t="str">
        <f>IF(0+(AJ24="X")&gt;0,"",IF(0+((AJ24&lt;&gt;"Xm")*(AJ24&lt;&gt;"Xg"))+((AJ24&lt;&gt;"Xm")*(AJ24&lt;&gt;"Xp")*(AJ24&lt;&gt;"Xg"))+((AJ24&lt;&gt;"Xn"))=0,"",IF(0+((AJ24&lt;&gt;"Xm")*(AJ24&lt;&gt;"Xg"))+((AJ24&lt;&gt;"Xm")*(AJ24&lt;&gt;"Xp")*(AJ24&lt;&gt;"Xg"))+((AJ24&lt;&gt;"Xn"))=3,AJ$3&amp;", ",AJ$3&amp;IF((AJ24&lt;&gt;"Xm")*(AJ24&lt;&gt;"Xg"),"_m","")&amp;IF((AJ24&lt;&gt;"Xm")*(AJ24&lt;&gt;"Xp")*(AJ24&lt;&gt;"Xg"),"_g","")&amp;IF((AJ24&lt;&gt;"Xn"),"_n","")&amp;", ")))</f>
        <v xml:space="preserve">CONTI A, </v>
      </c>
      <c r="BY24" s="9" t="str">
        <f>IF(0+(AK24="X")&gt;0,"",IF(0+((AK24&lt;&gt;"Xm")*(AK24&lt;&gt;"Xg"))+((AK24&lt;&gt;"Xm")*(AK24&lt;&gt;"Xp")*(AK24&lt;&gt;"Xg"))+((AK24&lt;&gt;"Xn"))=0,"",IF(0+((AK24&lt;&gt;"Xm")*(AK24&lt;&gt;"Xg"))+((AK24&lt;&gt;"Xm")*(AK24&lt;&gt;"Xp")*(AK24&lt;&gt;"Xg"))+((AK24&lt;&gt;"Xn"))=3,AK$3&amp;", ",AK$3&amp;IF((AK24&lt;&gt;"Xm")*(AK24&lt;&gt;"Xg"),"_m","")&amp;IF((AK24&lt;&gt;"Xm")*(AK24&lt;&gt;"Xp")*(AK24&lt;&gt;"Xg"),"_g","")&amp;IF((AK24&lt;&gt;"Xn"),"_n","")&amp;", ")))</f>
        <v xml:space="preserve">CONTI S, </v>
      </c>
      <c r="BZ24" s="9" t="str">
        <f>IF(0+(AL24="X")&gt;0,"",IF(0+((AL24&lt;&gt;"Xm")*(AL24&lt;&gt;"Xg"))+((AL24&lt;&gt;"Xm")*(AL24&lt;&gt;"Xp")*(AL24&lt;&gt;"Xg"))+((AL24&lt;&gt;"Xn"))=0,"",IF(0+((AL24&lt;&gt;"Xm")*(AL24&lt;&gt;"Xg"))+((AL24&lt;&gt;"Xm")*(AL24&lt;&gt;"Xp")*(AL24&lt;&gt;"Xg"))+((AL24&lt;&gt;"Xn"))=3,AL$3&amp;", ",AL$3&amp;IF((AL24&lt;&gt;"Xm")*(AL24&lt;&gt;"Xg"),"_m","")&amp;IF((AL24&lt;&gt;"Xm")*(AL24&lt;&gt;"Xp")*(AL24&lt;&gt;"Xg"),"_g","")&amp;IF((AL24&lt;&gt;"Xn"),"_n","")&amp;", ")))</f>
        <v xml:space="preserve">FERRARI, </v>
      </c>
      <c r="CA24" s="9" t="str">
        <f>IF(0+(AM24="X")&gt;0,"",IF(0+((AM24&lt;&gt;"Xm")*(AM24&lt;&gt;"Xg"))+((AM24&lt;&gt;"Xm")*(AM24&lt;&gt;"Xp")*(AM24&lt;&gt;"Xg"))+((AM24&lt;&gt;"Xn"))=0,"",IF(0+((AM24&lt;&gt;"Xm")*(AM24&lt;&gt;"Xg"))+((AM24&lt;&gt;"Xm")*(AM24&lt;&gt;"Xp")*(AM24&lt;&gt;"Xg"))+((AM24&lt;&gt;"Xn"))=3,AM$3&amp;", ",AM$3&amp;IF((AM24&lt;&gt;"Xm")*(AM24&lt;&gt;"Xg"),"_m","")&amp;IF((AM24&lt;&gt;"Xm")*(AM24&lt;&gt;"Xp")*(AM24&lt;&gt;"Xg"),"_g","")&amp;IF((AM24&lt;&gt;"Xn"),"_n","")&amp;", ")))</f>
        <v xml:space="preserve">GRECO, </v>
      </c>
      <c r="CB24" s="9" t="str">
        <f>IF(0+(AN24="X")&gt;0,"",IF(0+((AN24&lt;&gt;"Xm")*(AN24&lt;&gt;"Xg"))+((AN24&lt;&gt;"Xm")*(AN24&lt;&gt;"Xp")*(AN24&lt;&gt;"Xg"))+((AN24&lt;&gt;"Xn"))=0,"",IF(0+((AN24&lt;&gt;"Xm")*(AN24&lt;&gt;"Xg"))+((AN24&lt;&gt;"Xm")*(AN24&lt;&gt;"Xp")*(AN24&lt;&gt;"Xg"))+((AN24&lt;&gt;"Xn"))=3,AN$3&amp;", ",AN$3&amp;IF((AN24&lt;&gt;"Xm")*(AN24&lt;&gt;"Xg"),"_m","")&amp;IF((AN24&lt;&gt;"Xm")*(AN24&lt;&gt;"Xp")*(AN24&lt;&gt;"Xg"),"_g","")&amp;IF((AN24&lt;&gt;"Xn"),"_n","")&amp;", ")))</f>
        <v xml:space="preserve">SANNA, </v>
      </c>
      <c r="CC24" s="9" t="str">
        <f>IF(0+(AO24="X")&gt;0,"",IF(0+((AO24&lt;&gt;"Xm")*(AO24&lt;&gt;"Xg"))+((AO24&lt;&gt;"Xm")*(AO24&lt;&gt;"Xp")*(AO24&lt;&gt;"Xg"))+((AO24&lt;&gt;"Xn"))=0,"",IF(0+((AO24&lt;&gt;"Xm")*(AO24&lt;&gt;"Xg"))+((AO24&lt;&gt;"Xm")*(AO24&lt;&gt;"Xp")*(AO24&lt;&gt;"Xg"))+((AO24&lt;&gt;"Xn"))=3,AO$3&amp;", ",AO$3&amp;IF((AO24&lt;&gt;"Xm")*(AO24&lt;&gt;"Xg"),"_m","")&amp;IF((AO24&lt;&gt;"Xm")*(AO24&lt;&gt;"Xp")*(AO24&lt;&gt;"Xg"),"_g","")&amp;IF((AO24&lt;&gt;"Xn"),"_n","")&amp;", ")))</f>
        <v xml:space="preserve">LI, </v>
      </c>
      <c r="CD24" s="9" t="n"/>
      <c r="CE24" s="9" t="str">
        <f>IF(0+(AB24="X")&gt;0,"",IF(0+((AB24&lt;&gt;"Xm")*(AB24&lt;&gt;"Xg")*(COUNTIFS($C$3:$Q$3,"MAT",$C24:$Q24,AB$3)=0)*(COUNTIFS($C$3:$Q$3,"GIORNO",$C24:$Q24,AB$3)=0)*(COUNTIFS($C$3:$Q$3,"NOTTE",$C24:$Q24,AB$3)=0)*(COUNTIFS($C$3:$Q$3,"NOTTE",$C23:$Q23,AB$3)=0))+((AB24&lt;&gt;"Xm")*(AB24&lt;&gt;"Xp")*(AB24&lt;&gt;"Xg")*(COUNTIFS($C$3:$Q$3,"MAT",$C24:$Q24,AB$3)=0)*(COUNTIFS($C$3:$Q$3,"GIORNO",$C24:$Q24,AB$3)=0)*(COUNTIFS($C$3:$Q$3,"NOTTE",$C24:$Q24,AB$3)=0)*(COUNTIFS($C$3:$Q$3,"NOTTE",$C23:$Q23,AB$3)=0))+((AB24&lt;&gt;"Xn")*(COUNTIFS($C$3:$Q$3,"MAT",$C24:$Q24,AB$3)=0)*(COUNTIFS($C$3:$Q$3,"GIORNO",$C24:$Q24,AB$3)=0)*(COUNTIFS($C$3:$Q$3,"NOTTE",$C24:$Q24,AB$3)=0)*(COUNTIFS($C$3:$Q$3,"NOTTE",$C23:$Q23,AB$3)=0))=0,"",IF(0+((AB24&lt;&gt;"Xm")*(AB24&lt;&gt;"Xg")*(COUNTIFS($C$3:$Q$3,"MAT",$C24:$Q24,AB$3)=0)*(COUNTIFS($C$3:$Q$3,"GIORNO",$C24:$Q24,AB$3)=0)*(COUNTIFS($C$3:$Q$3,"NOTTE",$C24:$Q24,AB$3)=0)*(COUNTIFS($C$3:$Q$3,"NOTTE",$C23:$Q23,AB$3)=0))+((AB24&lt;&gt;"Xm")*(AB24&lt;&gt;"Xp")*(AB24&lt;&gt;"Xg")*(COUNTIFS($C$3:$Q$3,"MAT",$C24:$Q24,AB$3)=0)*(COUNTIFS($C$3:$Q$3,"GIORNO",$C24:$Q24,AB$3)=0)*(COUNTIFS($C$3:$Q$3,"NOTTE",$C24:$Q24,AB$3)=0)*(COUNTIFS($C$3:$Q$3,"NOTTE",$C23:$Q23,AB$3)=0))+((AB24&lt;&gt;"Xn")*(COUNTIFS($C$3:$Q$3,"MAT",$C24:$Q24,AB$3)=0)*(COUNTIFS($C$3:$Q$3,"GIORNO",$C24:$Q24,AB$3)=0)*(COUNTIFS($C$3:$Q$3,"NOTTE",$C24:$Q24,AB$3)=0)*(COUNTIFS($C$3:$Q$3,"NOTTE",$C23:$Q23,AB$3)=0))=3,AB$3&amp;", ",AB$3&amp;IF((AB24&lt;&gt;"Xm")*(AB24&lt;&gt;"Xg")*(COUNTIFS($C$3:$Q$3,"MAT",$C24:$Q24,AB$3)=0)*(COUNTIFS($C$3:$Q$3,"GIORNO",$C24:$Q24,AB$3)=0)*(COUNTIFS($C$3:$Q$3,"NOTTE",$C24:$Q24,AB$3)=0)*(COUNTIFS($C$3:$Q$3,"NOTTE",$C23:$Q23,AB$3)=0),"_m","")&amp;IF((AB24&lt;&gt;"Xm")*(AB24&lt;&gt;"Xp")*(AB24&lt;&gt;"Xg")*(COUNTIFS($C$3:$Q$3,"MAT",$C24:$Q24,AB$3)=0)*(COUNTIFS($C$3:$Q$3,"GIORNO",$C24:$Q24,AB$3)=0)*(COUNTIFS($C$3:$Q$3,"NOTTE",$C24:$Q24,AB$3)=0)*(COUNTIFS($C$3:$Q$3,"NOTTE",$C23:$Q23,AB$3)=0),"_g","")&amp;IF((AB24&lt;&gt;"Xn")*(COUNTIFS($C$3:$Q$3,"MAT",$C24:$Q24,AB$3)=0)*(COUNTIFS($C$3:$Q$3,"GIORNO",$C24:$Q24,AB$3)=0)*(COUNTIFS($C$3:$Q$3,"NOTTE",$C24:$Q24,AB$3)=0)*(COUNTIFS($C$3:$Q$3,"NOTTE",$C23:$Q23,AB$3)=0),"_n","")&amp;", ")))</f>
        <v xml:space="preserve">LEONI, </v>
      </c>
      <c r="CF24" s="9" t="str">
        <f>IF(0+(AC24="X")&gt;0,"",IF(0+((AC24&lt;&gt;"Xm")*(AC24&lt;&gt;"Xg")*(COUNTIFS($C$3:$Q$3,"MAT",$C24:$Q24,AC$3)=0)*(COUNTIFS($C$3:$Q$3,"GIORNO",$C24:$Q24,AC$3)=0)*(COUNTIFS($C$3:$Q$3,"NOTTE",$C24:$Q24,AC$3)=0)*(COUNTIFS($C$3:$Q$3,"NOTTE",$C23:$Q23,AC$3)=0))+((AC24&lt;&gt;"Xm")*(AC24&lt;&gt;"Xp")*(AC24&lt;&gt;"Xg")*(COUNTIFS($C$3:$Q$3,"MAT",$C24:$Q24,AC$3)=0)*(COUNTIFS($C$3:$Q$3,"GIORNO",$C24:$Q24,AC$3)=0)*(COUNTIFS($C$3:$Q$3,"NOTTE",$C24:$Q24,AC$3)=0)*(COUNTIFS($C$3:$Q$3,"NOTTE",$C23:$Q23,AC$3)=0))+((AC24&lt;&gt;"Xn")*(COUNTIFS($C$3:$Q$3,"MAT",$C24:$Q24,AC$3)=0)*(COUNTIFS($C$3:$Q$3,"GIORNO",$C24:$Q24,AC$3)=0)*(COUNTIFS($C$3:$Q$3,"NOTTE",$C24:$Q24,AC$3)=0)*(COUNTIFS($C$3:$Q$3,"NOTTE",$C23:$Q23,AC$3)=0))=0,"",IF(0+((AC24&lt;&gt;"Xm")*(AC24&lt;&gt;"Xg")*(COUNTIFS($C$3:$Q$3,"MAT",$C24:$Q24,AC$3)=0)*(COUNTIFS($C$3:$Q$3,"GIORNO",$C24:$Q24,AC$3)=0)*(COUNTIFS($C$3:$Q$3,"NOTTE",$C24:$Q24,AC$3)=0)*(COUNTIFS($C$3:$Q$3,"NOTTE",$C23:$Q23,AC$3)=0))+((AC24&lt;&gt;"Xm")*(AC24&lt;&gt;"Xp")*(AC24&lt;&gt;"Xg")*(COUNTIFS($C$3:$Q$3,"MAT",$C24:$Q24,AC$3)=0)*(COUNTIFS($C$3:$Q$3,"GIORNO",$C24:$Q24,AC$3)=0)*(COUNTIFS($C$3:$Q$3,"NOTTE",$C24:$Q24,AC$3)=0)*(COUNTIFS($C$3:$Q$3,"NOTTE",$C23:$Q23,AC$3)=0))+((AC24&lt;&gt;"Xn")*(COUNTIFS($C$3:$Q$3,"MAT",$C24:$Q24,AC$3)=0)*(COUNTIFS($C$3:$Q$3,"GIORNO",$C24:$Q24,AC$3)=0)*(COUNTIFS($C$3:$Q$3,"NOTTE",$C24:$Q24,AC$3)=0)*(COUNTIFS($C$3:$Q$3,"NOTTE",$C23:$Q23,AC$3)=0))=3,AC$3&amp;", ",AC$3&amp;IF((AC24&lt;&gt;"Xm")*(AC24&lt;&gt;"Xg")*(COUNTIFS($C$3:$Q$3,"MAT",$C24:$Q24,AC$3)=0)*(COUNTIFS($C$3:$Q$3,"GIORNO",$C24:$Q24,AC$3)=0)*(COUNTIFS($C$3:$Q$3,"NOTTE",$C24:$Q24,AC$3)=0)*(COUNTIFS($C$3:$Q$3,"NOTTE",$C23:$Q23,AC$3)=0),"_m","")&amp;IF((AC24&lt;&gt;"Xm")*(AC24&lt;&gt;"Xp")*(AC24&lt;&gt;"Xg")*(COUNTIFS($C$3:$Q$3,"MAT",$C24:$Q24,AC$3)=0)*(COUNTIFS($C$3:$Q$3,"GIORNO",$C24:$Q24,AC$3)=0)*(COUNTIFS($C$3:$Q$3,"NOTTE",$C24:$Q24,AC$3)=0)*(COUNTIFS($C$3:$Q$3,"NOTTE",$C23:$Q23,AC$3)=0),"_g","")&amp;IF((AC24&lt;&gt;"Xn")*(COUNTIFS($C$3:$Q$3,"MAT",$C24:$Q24,AC$3)=0)*(COUNTIFS($C$3:$Q$3,"GIORNO",$C24:$Q24,AC$3)=0)*(COUNTIFS($C$3:$Q$3,"NOTTE",$C24:$Q24,AC$3)=0)*(COUNTIFS($C$3:$Q$3,"NOTTE",$C23:$Q23,AC$3)=0),"_n","")&amp;", ")))</f>
        <v xml:space="preserve">ROSSI M, </v>
      </c>
      <c r="CG24" s="9" t="str">
        <f>IF(0+(AD24="X")&gt;0,"",IF(0+((AD24&lt;&gt;"Xm")*(AD24&lt;&gt;"Xg")*(COUNTIFS($C$3:$Q$3,"MAT",$C24:$Q24,AD$3)=0)*(COUNTIFS($C$3:$Q$3,"GIORNO",$C24:$Q24,AD$3)=0)*(COUNTIFS($C$3:$Q$3,"NOTTE",$C24:$Q24,AD$3)=0)*(COUNTIFS($C$3:$Q$3,"NOTTE",$C23:$Q23,AD$3)=0))+((AD24&lt;&gt;"Xm")*(AD24&lt;&gt;"Xp")*(AD24&lt;&gt;"Xg")*(COUNTIFS($C$3:$Q$3,"MAT",$C24:$Q24,AD$3)=0)*(COUNTIFS($C$3:$Q$3,"GIORNO",$C24:$Q24,AD$3)=0)*(COUNTIFS($C$3:$Q$3,"NOTTE",$C24:$Q24,AD$3)=0)*(COUNTIFS($C$3:$Q$3,"NOTTE",$C23:$Q23,AD$3)=0))+((AD24&lt;&gt;"Xn")*(COUNTIFS($C$3:$Q$3,"MAT",$C24:$Q24,AD$3)=0)*(COUNTIFS($C$3:$Q$3,"GIORNO",$C24:$Q24,AD$3)=0)*(COUNTIFS($C$3:$Q$3,"NOTTE",$C24:$Q24,AD$3)=0)*(COUNTIFS($C$3:$Q$3,"NOTTE",$C23:$Q23,AD$3)=0))=0,"",IF(0+((AD24&lt;&gt;"Xm")*(AD24&lt;&gt;"Xg")*(COUNTIFS($C$3:$Q$3,"MAT",$C24:$Q24,AD$3)=0)*(COUNTIFS($C$3:$Q$3,"GIORNO",$C24:$Q24,AD$3)=0)*(COUNTIFS($C$3:$Q$3,"NOTTE",$C24:$Q24,AD$3)=0)*(COUNTIFS($C$3:$Q$3,"NOTTE",$C23:$Q23,AD$3)=0))+((AD24&lt;&gt;"Xm")*(AD24&lt;&gt;"Xp")*(AD24&lt;&gt;"Xg")*(COUNTIFS($C$3:$Q$3,"MAT",$C24:$Q24,AD$3)=0)*(COUNTIFS($C$3:$Q$3,"GIORNO",$C24:$Q24,AD$3)=0)*(COUNTIFS($C$3:$Q$3,"NOTTE",$C24:$Q24,AD$3)=0)*(COUNTIFS($C$3:$Q$3,"NOTTE",$C23:$Q23,AD$3)=0))+((AD24&lt;&gt;"Xn")*(COUNTIFS($C$3:$Q$3,"MAT",$C24:$Q24,AD$3)=0)*(COUNTIFS($C$3:$Q$3,"GIORNO",$C24:$Q24,AD$3)=0)*(COUNTIFS($C$3:$Q$3,"NOTTE",$C24:$Q24,AD$3)=0)*(COUNTIFS($C$3:$Q$3,"NOTTE",$C23:$Q23,AD$3)=0))=3,AD$3&amp;", ",AD$3&amp;IF((AD24&lt;&gt;"Xm")*(AD24&lt;&gt;"Xg")*(COUNTIFS($C$3:$Q$3,"MAT",$C24:$Q24,AD$3)=0)*(COUNTIFS($C$3:$Q$3,"GIORNO",$C24:$Q24,AD$3)=0)*(COUNTIFS($C$3:$Q$3,"NOTTE",$C24:$Q24,AD$3)=0)*(COUNTIFS($C$3:$Q$3,"NOTTE",$C23:$Q23,AD$3)=0),"_m","")&amp;IF((AD24&lt;&gt;"Xm")*(AD24&lt;&gt;"Xp")*(AD24&lt;&gt;"Xg")*(COUNTIFS($C$3:$Q$3,"MAT",$C24:$Q24,AD$3)=0)*(COUNTIFS($C$3:$Q$3,"GIORNO",$C24:$Q24,AD$3)=0)*(COUNTIFS($C$3:$Q$3,"NOTTE",$C24:$Q24,AD$3)=0)*(COUNTIFS($C$3:$Q$3,"NOTTE",$C23:$Q23,AD$3)=0),"_g","")&amp;IF((AD24&lt;&gt;"Xn")*(COUNTIFS($C$3:$Q$3,"MAT",$C24:$Q24,AD$3)=0)*(COUNTIFS($C$3:$Q$3,"GIORNO",$C24:$Q24,AD$3)=0)*(COUNTIFS($C$3:$Q$3,"NOTTE",$C24:$Q24,AD$3)=0)*(COUNTIFS($C$3:$Q$3,"NOTTE",$C23:$Q23,AD$3)=0),"_n","")&amp;", ")))</f>
        <v xml:space="preserve">ROSSI L, </v>
      </c>
      <c r="CH24" s="9" t="str">
        <f>IF(0+(AE24="X")&gt;0,"",IF(0+((AE24&lt;&gt;"Xm")*(AE24&lt;&gt;"Xg")*(COUNTIFS($C$3:$Q$3,"MAT",$C24:$Q24,AE$3)=0)*(COUNTIFS($C$3:$Q$3,"GIORNO",$C24:$Q24,AE$3)=0)*(COUNTIFS($C$3:$Q$3,"NOTTE",$C24:$Q24,AE$3)=0)*(COUNTIFS($C$3:$Q$3,"NOTTE",$C23:$Q23,AE$3)=0))+((AE24&lt;&gt;"Xm")*(AE24&lt;&gt;"Xp")*(AE24&lt;&gt;"Xg")*(COUNTIFS($C$3:$Q$3,"MAT",$C24:$Q24,AE$3)=0)*(COUNTIFS($C$3:$Q$3,"GIORNO",$C24:$Q24,AE$3)=0)*(COUNTIFS($C$3:$Q$3,"NOTTE",$C24:$Q24,AE$3)=0)*(COUNTIFS($C$3:$Q$3,"NOTTE",$C23:$Q23,AE$3)=0))+((AE24&lt;&gt;"Xn")*(COUNTIFS($C$3:$Q$3,"MAT",$C24:$Q24,AE$3)=0)*(COUNTIFS($C$3:$Q$3,"GIORNO",$C24:$Q24,AE$3)=0)*(COUNTIFS($C$3:$Q$3,"NOTTE",$C24:$Q24,AE$3)=0)*(COUNTIFS($C$3:$Q$3,"NOTTE",$C23:$Q23,AE$3)=0))=0,"",IF(0+((AE24&lt;&gt;"Xm")*(AE24&lt;&gt;"Xg")*(COUNTIFS($C$3:$Q$3,"MAT",$C24:$Q24,AE$3)=0)*(COUNTIFS($C$3:$Q$3,"GIORNO",$C24:$Q24,AE$3)=0)*(COUNTIFS($C$3:$Q$3,"NOTTE",$C24:$Q24,AE$3)=0)*(COUNTIFS($C$3:$Q$3,"NOTTE",$C23:$Q23,AE$3)=0))+((AE24&lt;&gt;"Xm")*(AE24&lt;&gt;"Xp")*(AE24&lt;&gt;"Xg")*(COUNTIFS($C$3:$Q$3,"MAT",$C24:$Q24,AE$3)=0)*(COUNTIFS($C$3:$Q$3,"GIORNO",$C24:$Q24,AE$3)=0)*(COUNTIFS($C$3:$Q$3,"NOTTE",$C24:$Q24,AE$3)=0)*(COUNTIFS($C$3:$Q$3,"NOTTE",$C23:$Q23,AE$3)=0))+((AE24&lt;&gt;"Xn")*(COUNTIFS($C$3:$Q$3,"MAT",$C24:$Q24,AE$3)=0)*(COUNTIFS($C$3:$Q$3,"GIORNO",$C24:$Q24,AE$3)=0)*(COUNTIFS($C$3:$Q$3,"NOTTE",$C24:$Q24,AE$3)=0)*(COUNTIFS($C$3:$Q$3,"NOTTE",$C23:$Q23,AE$3)=0))=3,AE$3&amp;", ",AE$3&amp;IF((AE24&lt;&gt;"Xm")*(AE24&lt;&gt;"Xg")*(COUNTIFS($C$3:$Q$3,"MAT",$C24:$Q24,AE$3)=0)*(COUNTIFS($C$3:$Q$3,"GIORNO",$C24:$Q24,AE$3)=0)*(COUNTIFS($C$3:$Q$3,"NOTTE",$C24:$Q24,AE$3)=0)*(COUNTIFS($C$3:$Q$3,"NOTTE",$C23:$Q23,AE$3)=0),"_m","")&amp;IF((AE24&lt;&gt;"Xm")*(AE24&lt;&gt;"Xp")*(AE24&lt;&gt;"Xg")*(COUNTIFS($C$3:$Q$3,"MAT",$C24:$Q24,AE$3)=0)*(COUNTIFS($C$3:$Q$3,"GIORNO",$C24:$Q24,AE$3)=0)*(COUNTIFS($C$3:$Q$3,"NOTTE",$C24:$Q24,AE$3)=0)*(COUNTIFS($C$3:$Q$3,"NOTTE",$C23:$Q23,AE$3)=0),"_g","")&amp;IF((AE24&lt;&gt;"Xn")*(COUNTIFS($C$3:$Q$3,"MAT",$C24:$Q24,AE$3)=0)*(COUNTIFS($C$3:$Q$3,"GIORNO",$C24:$Q24,AE$3)=0)*(COUNTIFS($C$3:$Q$3,"NOTTE",$C24:$Q24,AE$3)=0)*(COUNTIFS($C$3:$Q$3,"NOTTE",$C23:$Q23,AE$3)=0),"_n","")&amp;", ")))</f>
        <v xml:space="preserve">GALLINA, </v>
      </c>
      <c r="CI24" s="9" t="str">
        <f>IF(0+(AF24="X")&gt;0,"",IF(0+((AF24&lt;&gt;"Xm")*(AF24&lt;&gt;"Xg")*(COUNTIFS($C$3:$Q$3,"MAT",$C24:$Q24,AF$3)=0)*(COUNTIFS($C$3:$Q$3,"GIORNO",$C24:$Q24,AF$3)=0)*(COUNTIFS($C$3:$Q$3,"NOTTE",$C24:$Q24,AF$3)=0)*(COUNTIFS($C$3:$Q$3,"NOTTE",$C23:$Q23,AF$3)=0))+((AF24&lt;&gt;"Xm")*(AF24&lt;&gt;"Xp")*(AF24&lt;&gt;"Xg")*(COUNTIFS($C$3:$Q$3,"MAT",$C24:$Q24,AF$3)=0)*(COUNTIFS($C$3:$Q$3,"GIORNO",$C24:$Q24,AF$3)=0)*(COUNTIFS($C$3:$Q$3,"NOTTE",$C24:$Q24,AF$3)=0)*(COUNTIFS($C$3:$Q$3,"NOTTE",$C23:$Q23,AF$3)=0))+((AF24&lt;&gt;"Xn")*(COUNTIFS($C$3:$Q$3,"MAT",$C24:$Q24,AF$3)=0)*(COUNTIFS($C$3:$Q$3,"GIORNO",$C24:$Q24,AF$3)=0)*(COUNTIFS($C$3:$Q$3,"NOTTE",$C24:$Q24,AF$3)=0)*(COUNTIFS($C$3:$Q$3,"NOTTE",$C23:$Q23,AF$3)=0))=0,"",IF(0+((AF24&lt;&gt;"Xm")*(AF24&lt;&gt;"Xg")*(COUNTIFS($C$3:$Q$3,"MAT",$C24:$Q24,AF$3)=0)*(COUNTIFS($C$3:$Q$3,"GIORNO",$C24:$Q24,AF$3)=0)*(COUNTIFS($C$3:$Q$3,"NOTTE",$C24:$Q24,AF$3)=0)*(COUNTIFS($C$3:$Q$3,"NOTTE",$C23:$Q23,AF$3)=0))+((AF24&lt;&gt;"Xm")*(AF24&lt;&gt;"Xp")*(AF24&lt;&gt;"Xg")*(COUNTIFS($C$3:$Q$3,"MAT",$C24:$Q24,AF$3)=0)*(COUNTIFS($C$3:$Q$3,"GIORNO",$C24:$Q24,AF$3)=0)*(COUNTIFS($C$3:$Q$3,"NOTTE",$C24:$Q24,AF$3)=0)*(COUNTIFS($C$3:$Q$3,"NOTTE",$C23:$Q23,AF$3)=0))+((AF24&lt;&gt;"Xn")*(COUNTIFS($C$3:$Q$3,"MAT",$C24:$Q24,AF$3)=0)*(COUNTIFS($C$3:$Q$3,"GIORNO",$C24:$Q24,AF$3)=0)*(COUNTIFS($C$3:$Q$3,"NOTTE",$C24:$Q24,AF$3)=0)*(COUNTIFS($C$3:$Q$3,"NOTTE",$C23:$Q23,AF$3)=0))=3,AF$3&amp;", ",AF$3&amp;IF((AF24&lt;&gt;"Xm")*(AF24&lt;&gt;"Xg")*(COUNTIFS($C$3:$Q$3,"MAT",$C24:$Q24,AF$3)=0)*(COUNTIFS($C$3:$Q$3,"GIORNO",$C24:$Q24,AF$3)=0)*(COUNTIFS($C$3:$Q$3,"NOTTE",$C24:$Q24,AF$3)=0)*(COUNTIFS($C$3:$Q$3,"NOTTE",$C23:$Q23,AF$3)=0),"_m","")&amp;IF((AF24&lt;&gt;"Xm")*(AF24&lt;&gt;"Xp")*(AF24&lt;&gt;"Xg")*(COUNTIFS($C$3:$Q$3,"MAT",$C24:$Q24,AF$3)=0)*(COUNTIFS($C$3:$Q$3,"GIORNO",$C24:$Q24,AF$3)=0)*(COUNTIFS($C$3:$Q$3,"NOTTE",$C24:$Q24,AF$3)=0)*(COUNTIFS($C$3:$Q$3,"NOTTE",$C23:$Q23,AF$3)=0),"_g","")&amp;IF((AF24&lt;&gt;"Xn")*(COUNTIFS($C$3:$Q$3,"MAT",$C24:$Q24,AF$3)=0)*(COUNTIFS($C$3:$Q$3,"GIORNO",$C24:$Q24,AF$3)=0)*(COUNTIFS($C$3:$Q$3,"NOTTE",$C24:$Q24,AF$3)=0)*(COUNTIFS($C$3:$Q$3,"NOTTE",$C23:$Q23,AF$3)=0),"_n","")&amp;", ")))</f>
        <v xml:space="preserve">RUSSO, </v>
      </c>
      <c r="CJ24" s="9" t="str">
        <f>IF(0+(AG24="X")&gt;0,"",IF(0+((AG24&lt;&gt;"Xm")*(AG24&lt;&gt;"Xg")*(COUNTIFS($C$3:$Q$3,"MAT",$C24:$Q24,AG$3)=0)*(COUNTIFS($C$3:$Q$3,"GIORNO",$C24:$Q24,AG$3)=0)*(COUNTIFS($C$3:$Q$3,"NOTTE",$C24:$Q24,AG$3)=0)*(COUNTIFS($C$3:$Q$3,"NOTTE",$C23:$Q23,AG$3)=0))+((AG24&lt;&gt;"Xm")*(AG24&lt;&gt;"Xp")*(AG24&lt;&gt;"Xg")*(COUNTIFS($C$3:$Q$3,"MAT",$C24:$Q24,AG$3)=0)*(COUNTIFS($C$3:$Q$3,"GIORNO",$C24:$Q24,AG$3)=0)*(COUNTIFS($C$3:$Q$3,"NOTTE",$C24:$Q24,AG$3)=0)*(COUNTIFS($C$3:$Q$3,"NOTTE",$C23:$Q23,AG$3)=0))+((AG24&lt;&gt;"Xn")*(COUNTIFS($C$3:$Q$3,"MAT",$C24:$Q24,AG$3)=0)*(COUNTIFS($C$3:$Q$3,"GIORNO",$C24:$Q24,AG$3)=0)*(COUNTIFS($C$3:$Q$3,"NOTTE",$C24:$Q24,AG$3)=0)*(COUNTIFS($C$3:$Q$3,"NOTTE",$C23:$Q23,AG$3)=0))=0,"",IF(0+((AG24&lt;&gt;"Xm")*(AG24&lt;&gt;"Xg")*(COUNTIFS($C$3:$Q$3,"MAT",$C24:$Q24,AG$3)=0)*(COUNTIFS($C$3:$Q$3,"GIORNO",$C24:$Q24,AG$3)=0)*(COUNTIFS($C$3:$Q$3,"NOTTE",$C24:$Q24,AG$3)=0)*(COUNTIFS($C$3:$Q$3,"NOTTE",$C23:$Q23,AG$3)=0))+((AG24&lt;&gt;"Xm")*(AG24&lt;&gt;"Xp")*(AG24&lt;&gt;"Xg")*(COUNTIFS($C$3:$Q$3,"MAT",$C24:$Q24,AG$3)=0)*(COUNTIFS($C$3:$Q$3,"GIORNO",$C24:$Q24,AG$3)=0)*(COUNTIFS($C$3:$Q$3,"NOTTE",$C24:$Q24,AG$3)=0)*(COUNTIFS($C$3:$Q$3,"NOTTE",$C23:$Q23,AG$3)=0))+((AG24&lt;&gt;"Xn")*(COUNTIFS($C$3:$Q$3,"MAT",$C24:$Q24,AG$3)=0)*(COUNTIFS($C$3:$Q$3,"GIORNO",$C24:$Q24,AG$3)=0)*(COUNTIFS($C$3:$Q$3,"NOTTE",$C24:$Q24,AG$3)=0)*(COUNTIFS($C$3:$Q$3,"NOTTE",$C23:$Q23,AG$3)=0))=3,AG$3&amp;", ",AG$3&amp;IF((AG24&lt;&gt;"Xm")*(AG24&lt;&gt;"Xg")*(COUNTIFS($C$3:$Q$3,"MAT",$C24:$Q24,AG$3)=0)*(COUNTIFS($C$3:$Q$3,"GIORNO",$C24:$Q24,AG$3)=0)*(COUNTIFS($C$3:$Q$3,"NOTTE",$C24:$Q24,AG$3)=0)*(COUNTIFS($C$3:$Q$3,"NOTTE",$C23:$Q23,AG$3)=0),"_m","")&amp;IF((AG24&lt;&gt;"Xm")*(AG24&lt;&gt;"Xp")*(AG24&lt;&gt;"Xg")*(COUNTIFS($C$3:$Q$3,"MAT",$C24:$Q24,AG$3)=0)*(COUNTIFS($C$3:$Q$3,"GIORNO",$C24:$Q24,AG$3)=0)*(COUNTIFS($C$3:$Q$3,"NOTTE",$C24:$Q24,AG$3)=0)*(COUNTIFS($C$3:$Q$3,"NOTTE",$C23:$Q23,AG$3)=0),"_g","")&amp;IF((AG24&lt;&gt;"Xn")*(COUNTIFS($C$3:$Q$3,"MAT",$C24:$Q24,AG$3)=0)*(COUNTIFS($C$3:$Q$3,"GIORNO",$C24:$Q24,AG$3)=0)*(COUNTIFS($C$3:$Q$3,"NOTTE",$C24:$Q24,AG$3)=0)*(COUNTIFS($C$3:$Q$3,"NOTTE",$C23:$Q23,AG$3)=0),"_n","")&amp;", ")))</f>
        <v xml:space="preserve">VERDI, </v>
      </c>
      <c r="CK24" s="9" t="str">
        <f>IF(0+(AH24="X")&gt;0,"",IF(0+((AH24&lt;&gt;"Xm")*(AH24&lt;&gt;"Xg")*(COUNTIFS($C$3:$Q$3,"MAT",$C24:$Q24,AH$3)=0)*(COUNTIFS($C$3:$Q$3,"GIORNO",$C24:$Q24,AH$3)=0)*(COUNTIFS($C$3:$Q$3,"NOTTE",$C24:$Q24,AH$3)=0)*(COUNTIFS($C$3:$Q$3,"NOTTE",$C23:$Q23,AH$3)=0))+((AH24&lt;&gt;"Xm")*(AH24&lt;&gt;"Xp")*(AH24&lt;&gt;"Xg")*(COUNTIFS($C$3:$Q$3,"MAT",$C24:$Q24,AH$3)=0)*(COUNTIFS($C$3:$Q$3,"GIORNO",$C24:$Q24,AH$3)=0)*(COUNTIFS($C$3:$Q$3,"NOTTE",$C24:$Q24,AH$3)=0)*(COUNTIFS($C$3:$Q$3,"NOTTE",$C23:$Q23,AH$3)=0))+((AH24&lt;&gt;"Xn")*(COUNTIFS($C$3:$Q$3,"MAT",$C24:$Q24,AH$3)=0)*(COUNTIFS($C$3:$Q$3,"GIORNO",$C24:$Q24,AH$3)=0)*(COUNTIFS($C$3:$Q$3,"NOTTE",$C24:$Q24,AH$3)=0)*(COUNTIFS($C$3:$Q$3,"NOTTE",$C23:$Q23,AH$3)=0))=0,"",IF(0+((AH24&lt;&gt;"Xm")*(AH24&lt;&gt;"Xg")*(COUNTIFS($C$3:$Q$3,"MAT",$C24:$Q24,AH$3)=0)*(COUNTIFS($C$3:$Q$3,"GIORNO",$C24:$Q24,AH$3)=0)*(COUNTIFS($C$3:$Q$3,"NOTTE",$C24:$Q24,AH$3)=0)*(COUNTIFS($C$3:$Q$3,"NOTTE",$C23:$Q23,AH$3)=0))+((AH24&lt;&gt;"Xm")*(AH24&lt;&gt;"Xp")*(AH24&lt;&gt;"Xg")*(COUNTIFS($C$3:$Q$3,"MAT",$C24:$Q24,AH$3)=0)*(COUNTIFS($C$3:$Q$3,"GIORNO",$C24:$Q24,AH$3)=0)*(COUNTIFS($C$3:$Q$3,"NOTTE",$C24:$Q24,AH$3)=0)*(COUNTIFS($C$3:$Q$3,"NOTTE",$C23:$Q23,AH$3)=0))+((AH24&lt;&gt;"Xn")*(COUNTIFS($C$3:$Q$3,"MAT",$C24:$Q24,AH$3)=0)*(COUNTIFS($C$3:$Q$3,"GIORNO",$C24:$Q24,AH$3)=0)*(COUNTIFS($C$3:$Q$3,"NOTTE",$C24:$Q24,AH$3)=0)*(COUNTIFS($C$3:$Q$3,"NOTTE",$C23:$Q23,AH$3)=0))=3,AH$3&amp;", ",AH$3&amp;IF((AH24&lt;&gt;"Xm")*(AH24&lt;&gt;"Xg")*(COUNTIFS($C$3:$Q$3,"MAT",$C24:$Q24,AH$3)=0)*(COUNTIFS($C$3:$Q$3,"GIORNO",$C24:$Q24,AH$3)=0)*(COUNTIFS($C$3:$Q$3,"NOTTE",$C24:$Q24,AH$3)=0)*(COUNTIFS($C$3:$Q$3,"NOTTE",$C23:$Q23,AH$3)=0),"_m","")&amp;IF((AH24&lt;&gt;"Xm")*(AH24&lt;&gt;"Xp")*(AH24&lt;&gt;"Xg")*(COUNTIFS($C$3:$Q$3,"MAT",$C24:$Q24,AH$3)=0)*(COUNTIFS($C$3:$Q$3,"GIORNO",$C24:$Q24,AH$3)=0)*(COUNTIFS($C$3:$Q$3,"NOTTE",$C24:$Q24,AH$3)=0)*(COUNTIFS($C$3:$Q$3,"NOTTE",$C23:$Q23,AH$3)=0),"_g","")&amp;IF((AH24&lt;&gt;"Xn")*(COUNTIFS($C$3:$Q$3,"MAT",$C24:$Q24,AH$3)=0)*(COUNTIFS($C$3:$Q$3,"GIORNO",$C24:$Q24,AH$3)=0)*(COUNTIFS($C$3:$Q$3,"NOTTE",$C24:$Q24,AH$3)=0)*(COUNTIFS($C$3:$Q$3,"NOTTE",$C23:$Q23,AH$3)=0),"_n","")&amp;", ")))</f>
        <v xml:space="preserve">HU, </v>
      </c>
      <c r="CL24" s="9" t="str">
        <f>IF(0+(AI24="X")&gt;0,"",IF(0+((AI24&lt;&gt;"Xm")*(AI24&lt;&gt;"Xg")*(COUNTIFS($C$3:$Q$3,"MAT",$C24:$Q24,AI$3)=0)*(COUNTIFS($C$3:$Q$3,"GIORNO",$C24:$Q24,AI$3)=0)*(COUNTIFS($C$3:$Q$3,"NOTTE",$C24:$Q24,AI$3)=0)*(COUNTIFS($C$3:$Q$3,"NOTTE",$C23:$Q23,AI$3)=0))+((AI24&lt;&gt;"Xm")*(AI24&lt;&gt;"Xp")*(AI24&lt;&gt;"Xg")*(COUNTIFS($C$3:$Q$3,"MAT",$C24:$Q24,AI$3)=0)*(COUNTIFS($C$3:$Q$3,"GIORNO",$C24:$Q24,AI$3)=0)*(COUNTIFS($C$3:$Q$3,"NOTTE",$C24:$Q24,AI$3)=0)*(COUNTIFS($C$3:$Q$3,"NOTTE",$C23:$Q23,AI$3)=0))+((AI24&lt;&gt;"Xn")*(COUNTIFS($C$3:$Q$3,"MAT",$C24:$Q24,AI$3)=0)*(COUNTIFS($C$3:$Q$3,"GIORNO",$C24:$Q24,AI$3)=0)*(COUNTIFS($C$3:$Q$3,"NOTTE",$C24:$Q24,AI$3)=0)*(COUNTIFS($C$3:$Q$3,"NOTTE",$C23:$Q23,AI$3)=0))=0,"",IF(0+((AI24&lt;&gt;"Xm")*(AI24&lt;&gt;"Xg")*(COUNTIFS($C$3:$Q$3,"MAT",$C24:$Q24,AI$3)=0)*(COUNTIFS($C$3:$Q$3,"GIORNO",$C24:$Q24,AI$3)=0)*(COUNTIFS($C$3:$Q$3,"NOTTE",$C24:$Q24,AI$3)=0)*(COUNTIFS($C$3:$Q$3,"NOTTE",$C23:$Q23,AI$3)=0))+((AI24&lt;&gt;"Xm")*(AI24&lt;&gt;"Xp")*(AI24&lt;&gt;"Xg")*(COUNTIFS($C$3:$Q$3,"MAT",$C24:$Q24,AI$3)=0)*(COUNTIFS($C$3:$Q$3,"GIORNO",$C24:$Q24,AI$3)=0)*(COUNTIFS($C$3:$Q$3,"NOTTE",$C24:$Q24,AI$3)=0)*(COUNTIFS($C$3:$Q$3,"NOTTE",$C23:$Q23,AI$3)=0))+((AI24&lt;&gt;"Xn")*(COUNTIFS($C$3:$Q$3,"MAT",$C24:$Q24,AI$3)=0)*(COUNTIFS($C$3:$Q$3,"GIORNO",$C24:$Q24,AI$3)=0)*(COUNTIFS($C$3:$Q$3,"NOTTE",$C24:$Q24,AI$3)=0)*(COUNTIFS($C$3:$Q$3,"NOTTE",$C23:$Q23,AI$3)=0))=3,AI$3&amp;", ",AI$3&amp;IF((AI24&lt;&gt;"Xm")*(AI24&lt;&gt;"Xg")*(COUNTIFS($C$3:$Q$3,"MAT",$C24:$Q24,AI$3)=0)*(COUNTIFS($C$3:$Q$3,"GIORNO",$C24:$Q24,AI$3)=0)*(COUNTIFS($C$3:$Q$3,"NOTTE",$C24:$Q24,AI$3)=0)*(COUNTIFS($C$3:$Q$3,"NOTTE",$C23:$Q23,AI$3)=0),"_m","")&amp;IF((AI24&lt;&gt;"Xm")*(AI24&lt;&gt;"Xp")*(AI24&lt;&gt;"Xg")*(COUNTIFS($C$3:$Q$3,"MAT",$C24:$Q24,AI$3)=0)*(COUNTIFS($C$3:$Q$3,"GIORNO",$C24:$Q24,AI$3)=0)*(COUNTIFS($C$3:$Q$3,"NOTTE",$C24:$Q24,AI$3)=0)*(COUNTIFS($C$3:$Q$3,"NOTTE",$C23:$Q23,AI$3)=0),"_g","")&amp;IF((AI24&lt;&gt;"Xn")*(COUNTIFS($C$3:$Q$3,"MAT",$C24:$Q24,AI$3)=0)*(COUNTIFS($C$3:$Q$3,"GIORNO",$C24:$Q24,AI$3)=0)*(COUNTIFS($C$3:$Q$3,"NOTTE",$C24:$Q24,AI$3)=0)*(COUNTIFS($C$3:$Q$3,"NOTTE",$C23:$Q23,AI$3)=0),"_n","")&amp;", ")))</f>
        <v xml:space="preserve">MARINI, </v>
      </c>
      <c r="CM24" s="9" t="str">
        <f>IF(0+(AJ24="X")&gt;0,"",IF(0+((AJ24&lt;&gt;"Xm")*(AJ24&lt;&gt;"Xg")*(COUNTIFS($C$3:$Q$3,"MAT",$C24:$Q24,AJ$3)=0)*(COUNTIFS($C$3:$Q$3,"GIORNO",$C24:$Q24,AJ$3)=0)*(COUNTIFS($C$3:$Q$3,"NOTTE",$C24:$Q24,AJ$3)=0)*(COUNTIFS($C$3:$Q$3,"NOTTE",$C23:$Q23,AJ$3)=0))+((AJ24&lt;&gt;"Xm")*(AJ24&lt;&gt;"Xp")*(AJ24&lt;&gt;"Xg")*(COUNTIFS($C$3:$Q$3,"MAT",$C24:$Q24,AJ$3)=0)*(COUNTIFS($C$3:$Q$3,"GIORNO",$C24:$Q24,AJ$3)=0)*(COUNTIFS($C$3:$Q$3,"NOTTE",$C24:$Q24,AJ$3)=0)*(COUNTIFS($C$3:$Q$3,"NOTTE",$C23:$Q23,AJ$3)=0))+((AJ24&lt;&gt;"Xn")*(COUNTIFS($C$3:$Q$3,"MAT",$C24:$Q24,AJ$3)=0)*(COUNTIFS($C$3:$Q$3,"GIORNO",$C24:$Q24,AJ$3)=0)*(COUNTIFS($C$3:$Q$3,"NOTTE",$C24:$Q24,AJ$3)=0)*(COUNTIFS($C$3:$Q$3,"NOTTE",$C23:$Q23,AJ$3)=0))=0,"",IF(0+((AJ24&lt;&gt;"Xm")*(AJ24&lt;&gt;"Xg")*(COUNTIFS($C$3:$Q$3,"MAT",$C24:$Q24,AJ$3)=0)*(COUNTIFS($C$3:$Q$3,"GIORNO",$C24:$Q24,AJ$3)=0)*(COUNTIFS($C$3:$Q$3,"NOTTE",$C24:$Q24,AJ$3)=0)*(COUNTIFS($C$3:$Q$3,"NOTTE",$C23:$Q23,AJ$3)=0))+((AJ24&lt;&gt;"Xm")*(AJ24&lt;&gt;"Xp")*(AJ24&lt;&gt;"Xg")*(COUNTIFS($C$3:$Q$3,"MAT",$C24:$Q24,AJ$3)=0)*(COUNTIFS($C$3:$Q$3,"GIORNO",$C24:$Q24,AJ$3)=0)*(COUNTIFS($C$3:$Q$3,"NOTTE",$C24:$Q24,AJ$3)=0)*(COUNTIFS($C$3:$Q$3,"NOTTE",$C23:$Q23,AJ$3)=0))+((AJ24&lt;&gt;"Xn")*(COUNTIFS($C$3:$Q$3,"MAT",$C24:$Q24,AJ$3)=0)*(COUNTIFS($C$3:$Q$3,"GIORNO",$C24:$Q24,AJ$3)=0)*(COUNTIFS($C$3:$Q$3,"NOTTE",$C24:$Q24,AJ$3)=0)*(COUNTIFS($C$3:$Q$3,"NOTTE",$C23:$Q23,AJ$3)=0))=3,AJ$3&amp;", ",AJ$3&amp;IF((AJ24&lt;&gt;"Xm")*(AJ24&lt;&gt;"Xg")*(COUNTIFS($C$3:$Q$3,"MAT",$C24:$Q24,AJ$3)=0)*(COUNTIFS($C$3:$Q$3,"GIORNO",$C24:$Q24,AJ$3)=0)*(COUNTIFS($C$3:$Q$3,"NOTTE",$C24:$Q24,AJ$3)=0)*(COUNTIFS($C$3:$Q$3,"NOTTE",$C23:$Q23,AJ$3)=0),"_m","")&amp;IF((AJ24&lt;&gt;"Xm")*(AJ24&lt;&gt;"Xp")*(AJ24&lt;&gt;"Xg")*(COUNTIFS($C$3:$Q$3,"MAT",$C24:$Q24,AJ$3)=0)*(COUNTIFS($C$3:$Q$3,"GIORNO",$C24:$Q24,AJ$3)=0)*(COUNTIFS($C$3:$Q$3,"NOTTE",$C24:$Q24,AJ$3)=0)*(COUNTIFS($C$3:$Q$3,"NOTTE",$C23:$Q23,AJ$3)=0),"_g","")&amp;IF((AJ24&lt;&gt;"Xn")*(COUNTIFS($C$3:$Q$3,"MAT",$C24:$Q24,AJ$3)=0)*(COUNTIFS($C$3:$Q$3,"GIORNO",$C24:$Q24,AJ$3)=0)*(COUNTIFS($C$3:$Q$3,"NOTTE",$C24:$Q24,AJ$3)=0)*(COUNTIFS($C$3:$Q$3,"NOTTE",$C23:$Q23,AJ$3)=0),"_n","")&amp;", ")))</f>
        <v xml:space="preserve">CONTI A, </v>
      </c>
      <c r="CN24" s="9" t="str">
        <f>IF(0+(AK24="X")&gt;0,"",IF(0+((AK24&lt;&gt;"Xm")*(AK24&lt;&gt;"Xg")*(COUNTIFS($C$3:$Q$3,"MAT",$C24:$Q24,AK$3)=0)*(COUNTIFS($C$3:$Q$3,"GIORNO",$C24:$Q24,AK$3)=0)*(COUNTIFS($C$3:$Q$3,"NOTTE",$C24:$Q24,AK$3)=0)*(COUNTIFS($C$3:$Q$3,"NOTTE",$C23:$Q23,AK$3)=0))+((AK24&lt;&gt;"Xm")*(AK24&lt;&gt;"Xp")*(AK24&lt;&gt;"Xg")*(COUNTIFS($C$3:$Q$3,"MAT",$C24:$Q24,AK$3)=0)*(COUNTIFS($C$3:$Q$3,"GIORNO",$C24:$Q24,AK$3)=0)*(COUNTIFS($C$3:$Q$3,"NOTTE",$C24:$Q24,AK$3)=0)*(COUNTIFS($C$3:$Q$3,"NOTTE",$C23:$Q23,AK$3)=0))+((AK24&lt;&gt;"Xn")*(COUNTIFS($C$3:$Q$3,"MAT",$C24:$Q24,AK$3)=0)*(COUNTIFS($C$3:$Q$3,"GIORNO",$C24:$Q24,AK$3)=0)*(COUNTIFS($C$3:$Q$3,"NOTTE",$C24:$Q24,AK$3)=0)*(COUNTIFS($C$3:$Q$3,"NOTTE",$C23:$Q23,AK$3)=0))=0,"",IF(0+((AK24&lt;&gt;"Xm")*(AK24&lt;&gt;"Xg")*(COUNTIFS($C$3:$Q$3,"MAT",$C24:$Q24,AK$3)=0)*(COUNTIFS($C$3:$Q$3,"GIORNO",$C24:$Q24,AK$3)=0)*(COUNTIFS($C$3:$Q$3,"NOTTE",$C24:$Q24,AK$3)=0)*(COUNTIFS($C$3:$Q$3,"NOTTE",$C23:$Q23,AK$3)=0))+((AK24&lt;&gt;"Xm")*(AK24&lt;&gt;"Xp")*(AK24&lt;&gt;"Xg")*(COUNTIFS($C$3:$Q$3,"MAT",$C24:$Q24,AK$3)=0)*(COUNTIFS($C$3:$Q$3,"GIORNO",$C24:$Q24,AK$3)=0)*(COUNTIFS($C$3:$Q$3,"NOTTE",$C24:$Q24,AK$3)=0)*(COUNTIFS($C$3:$Q$3,"NOTTE",$C23:$Q23,AK$3)=0))+((AK24&lt;&gt;"Xn")*(COUNTIFS($C$3:$Q$3,"MAT",$C24:$Q24,AK$3)=0)*(COUNTIFS($C$3:$Q$3,"GIORNO",$C24:$Q24,AK$3)=0)*(COUNTIFS($C$3:$Q$3,"NOTTE",$C24:$Q24,AK$3)=0)*(COUNTIFS($C$3:$Q$3,"NOTTE",$C23:$Q23,AK$3)=0))=3,AK$3&amp;", ",AK$3&amp;IF((AK24&lt;&gt;"Xm")*(AK24&lt;&gt;"Xg")*(COUNTIFS($C$3:$Q$3,"MAT",$C24:$Q24,AK$3)=0)*(COUNTIFS($C$3:$Q$3,"GIORNO",$C24:$Q24,AK$3)=0)*(COUNTIFS($C$3:$Q$3,"NOTTE",$C24:$Q24,AK$3)=0)*(COUNTIFS($C$3:$Q$3,"NOTTE",$C23:$Q23,AK$3)=0),"_m","")&amp;IF((AK24&lt;&gt;"Xm")*(AK24&lt;&gt;"Xp")*(AK24&lt;&gt;"Xg")*(COUNTIFS($C$3:$Q$3,"MAT",$C24:$Q24,AK$3)=0)*(COUNTIFS($C$3:$Q$3,"GIORNO",$C24:$Q24,AK$3)=0)*(COUNTIFS($C$3:$Q$3,"NOTTE",$C24:$Q24,AK$3)=0)*(COUNTIFS($C$3:$Q$3,"NOTTE",$C23:$Q23,AK$3)=0),"_g","")&amp;IF((AK24&lt;&gt;"Xn")*(COUNTIFS($C$3:$Q$3,"MAT",$C24:$Q24,AK$3)=0)*(COUNTIFS($C$3:$Q$3,"GIORNO",$C24:$Q24,AK$3)=0)*(COUNTIFS($C$3:$Q$3,"NOTTE",$C24:$Q24,AK$3)=0)*(COUNTIFS($C$3:$Q$3,"NOTTE",$C23:$Q23,AK$3)=0),"_n","")&amp;", ")))</f>
        <v xml:space="preserve">CONTI S, </v>
      </c>
      <c r="CO24" s="9" t="str">
        <f>IF(0+(AL24="X")&gt;0,"",IF(0+((AL24&lt;&gt;"Xm")*(AL24&lt;&gt;"Xg")*(COUNTIFS($C$3:$Q$3,"MAT",$C24:$Q24,AL$3)=0)*(COUNTIFS($C$3:$Q$3,"GIORNO",$C24:$Q24,AL$3)=0)*(COUNTIFS($C$3:$Q$3,"NOTTE",$C24:$Q24,AL$3)=0)*(COUNTIFS($C$3:$Q$3,"NOTTE",$C23:$Q23,AL$3)=0))+((AL24&lt;&gt;"Xm")*(AL24&lt;&gt;"Xp")*(AL24&lt;&gt;"Xg")*(COUNTIFS($C$3:$Q$3,"MAT",$C24:$Q24,AL$3)=0)*(COUNTIFS($C$3:$Q$3,"GIORNO",$C24:$Q24,AL$3)=0)*(COUNTIFS($C$3:$Q$3,"NOTTE",$C24:$Q24,AL$3)=0)*(COUNTIFS($C$3:$Q$3,"NOTTE",$C23:$Q23,AL$3)=0))+((AL24&lt;&gt;"Xn")*(COUNTIFS($C$3:$Q$3,"MAT",$C24:$Q24,AL$3)=0)*(COUNTIFS($C$3:$Q$3,"GIORNO",$C24:$Q24,AL$3)=0)*(COUNTIFS($C$3:$Q$3,"NOTTE",$C24:$Q24,AL$3)=0)*(COUNTIFS($C$3:$Q$3,"NOTTE",$C23:$Q23,AL$3)=0))=0,"",IF(0+((AL24&lt;&gt;"Xm")*(AL24&lt;&gt;"Xg")*(COUNTIFS($C$3:$Q$3,"MAT",$C24:$Q24,AL$3)=0)*(COUNTIFS($C$3:$Q$3,"GIORNO",$C24:$Q24,AL$3)=0)*(COUNTIFS($C$3:$Q$3,"NOTTE",$C24:$Q24,AL$3)=0)*(COUNTIFS($C$3:$Q$3,"NOTTE",$C23:$Q23,AL$3)=0))+((AL24&lt;&gt;"Xm")*(AL24&lt;&gt;"Xp")*(AL24&lt;&gt;"Xg")*(COUNTIFS($C$3:$Q$3,"MAT",$C24:$Q24,AL$3)=0)*(COUNTIFS($C$3:$Q$3,"GIORNO",$C24:$Q24,AL$3)=0)*(COUNTIFS($C$3:$Q$3,"NOTTE",$C24:$Q24,AL$3)=0)*(COUNTIFS($C$3:$Q$3,"NOTTE",$C23:$Q23,AL$3)=0))+((AL24&lt;&gt;"Xn")*(COUNTIFS($C$3:$Q$3,"MAT",$C24:$Q24,AL$3)=0)*(COUNTIFS($C$3:$Q$3,"GIORNO",$C24:$Q24,AL$3)=0)*(COUNTIFS($C$3:$Q$3,"NOTTE",$C24:$Q24,AL$3)=0)*(COUNTIFS($C$3:$Q$3,"NOTTE",$C23:$Q23,AL$3)=0))=3,AL$3&amp;", ",AL$3&amp;IF((AL24&lt;&gt;"Xm")*(AL24&lt;&gt;"Xg")*(COUNTIFS($C$3:$Q$3,"MAT",$C24:$Q24,AL$3)=0)*(COUNTIFS($C$3:$Q$3,"GIORNO",$C24:$Q24,AL$3)=0)*(COUNTIFS($C$3:$Q$3,"NOTTE",$C24:$Q24,AL$3)=0)*(COUNTIFS($C$3:$Q$3,"NOTTE",$C23:$Q23,AL$3)=0),"_m","")&amp;IF((AL24&lt;&gt;"Xm")*(AL24&lt;&gt;"Xp")*(AL24&lt;&gt;"Xg")*(COUNTIFS($C$3:$Q$3,"MAT",$C24:$Q24,AL$3)=0)*(COUNTIFS($C$3:$Q$3,"GIORNO",$C24:$Q24,AL$3)=0)*(COUNTIFS($C$3:$Q$3,"NOTTE",$C24:$Q24,AL$3)=0)*(COUNTIFS($C$3:$Q$3,"NOTTE",$C23:$Q23,AL$3)=0),"_g","")&amp;IF((AL24&lt;&gt;"Xn")*(COUNTIFS($C$3:$Q$3,"MAT",$C24:$Q24,AL$3)=0)*(COUNTIFS($C$3:$Q$3,"GIORNO",$C24:$Q24,AL$3)=0)*(COUNTIFS($C$3:$Q$3,"NOTTE",$C24:$Q24,AL$3)=0)*(COUNTIFS($C$3:$Q$3,"NOTTE",$C23:$Q23,AL$3)=0),"_n","")&amp;", ")))</f>
        <v xml:space="preserve">FERRARI, </v>
      </c>
      <c r="CP24" s="9" t="str">
        <f>IF(0+(AM24="X")&gt;0,"",IF(0+((AM24&lt;&gt;"Xm")*(AM24&lt;&gt;"Xg")*(COUNTIFS($C$3:$Q$3,"MAT",$C24:$Q24,AM$3)=0)*(COUNTIFS($C$3:$Q$3,"GIORNO",$C24:$Q24,AM$3)=0)*(COUNTIFS($C$3:$Q$3,"NOTTE",$C24:$Q24,AM$3)=0)*(COUNTIFS($C$3:$Q$3,"NOTTE",$C23:$Q23,AM$3)=0))+((AM24&lt;&gt;"Xm")*(AM24&lt;&gt;"Xp")*(AM24&lt;&gt;"Xg")*(COUNTIFS($C$3:$Q$3,"MAT",$C24:$Q24,AM$3)=0)*(COUNTIFS($C$3:$Q$3,"GIORNO",$C24:$Q24,AM$3)=0)*(COUNTIFS($C$3:$Q$3,"NOTTE",$C24:$Q24,AM$3)=0)*(COUNTIFS($C$3:$Q$3,"NOTTE",$C23:$Q23,AM$3)=0))+((AM24&lt;&gt;"Xn")*(COUNTIFS($C$3:$Q$3,"MAT",$C24:$Q24,AM$3)=0)*(COUNTIFS($C$3:$Q$3,"GIORNO",$C24:$Q24,AM$3)=0)*(COUNTIFS($C$3:$Q$3,"NOTTE",$C24:$Q24,AM$3)=0)*(COUNTIFS($C$3:$Q$3,"NOTTE",$C23:$Q23,AM$3)=0))=0,"",IF(0+((AM24&lt;&gt;"Xm")*(AM24&lt;&gt;"Xg")*(COUNTIFS($C$3:$Q$3,"MAT",$C24:$Q24,AM$3)=0)*(COUNTIFS($C$3:$Q$3,"GIORNO",$C24:$Q24,AM$3)=0)*(COUNTIFS($C$3:$Q$3,"NOTTE",$C24:$Q24,AM$3)=0)*(COUNTIFS($C$3:$Q$3,"NOTTE",$C23:$Q23,AM$3)=0))+((AM24&lt;&gt;"Xm")*(AM24&lt;&gt;"Xp")*(AM24&lt;&gt;"Xg")*(COUNTIFS($C$3:$Q$3,"MAT",$C24:$Q24,AM$3)=0)*(COUNTIFS($C$3:$Q$3,"GIORNO",$C24:$Q24,AM$3)=0)*(COUNTIFS($C$3:$Q$3,"NOTTE",$C24:$Q24,AM$3)=0)*(COUNTIFS($C$3:$Q$3,"NOTTE",$C23:$Q23,AM$3)=0))+((AM24&lt;&gt;"Xn")*(COUNTIFS($C$3:$Q$3,"MAT",$C24:$Q24,AM$3)=0)*(COUNTIFS($C$3:$Q$3,"GIORNO",$C24:$Q24,AM$3)=0)*(COUNTIFS($C$3:$Q$3,"NOTTE",$C24:$Q24,AM$3)=0)*(COUNTIFS($C$3:$Q$3,"NOTTE",$C23:$Q23,AM$3)=0))=3,AM$3&amp;", ",AM$3&amp;IF((AM24&lt;&gt;"Xm")*(AM24&lt;&gt;"Xg")*(COUNTIFS($C$3:$Q$3,"MAT",$C24:$Q24,AM$3)=0)*(COUNTIFS($C$3:$Q$3,"GIORNO",$C24:$Q24,AM$3)=0)*(COUNTIFS($C$3:$Q$3,"NOTTE",$C24:$Q24,AM$3)=0)*(COUNTIFS($C$3:$Q$3,"NOTTE",$C23:$Q23,AM$3)=0),"_m","")&amp;IF((AM24&lt;&gt;"Xm")*(AM24&lt;&gt;"Xp")*(AM24&lt;&gt;"Xg")*(COUNTIFS($C$3:$Q$3,"MAT",$C24:$Q24,AM$3)=0)*(COUNTIFS($C$3:$Q$3,"GIORNO",$C24:$Q24,AM$3)=0)*(COUNTIFS($C$3:$Q$3,"NOTTE",$C24:$Q24,AM$3)=0)*(COUNTIFS($C$3:$Q$3,"NOTTE",$C23:$Q23,AM$3)=0),"_g","")&amp;IF((AM24&lt;&gt;"Xn")*(COUNTIFS($C$3:$Q$3,"MAT",$C24:$Q24,AM$3)=0)*(COUNTIFS($C$3:$Q$3,"GIORNO",$C24:$Q24,AM$3)=0)*(COUNTIFS($C$3:$Q$3,"NOTTE",$C24:$Q24,AM$3)=0)*(COUNTIFS($C$3:$Q$3,"NOTTE",$C23:$Q23,AM$3)=0),"_n","")&amp;", ")))</f>
        <v xml:space="preserve">GRECO, </v>
      </c>
      <c r="CQ24" s="9" t="str">
        <f>IF(0+(AN24="X")&gt;0,"",IF(0+((AN24&lt;&gt;"Xm")*(AN24&lt;&gt;"Xg")*(COUNTIFS($C$3:$Q$3,"MAT",$C24:$Q24,AN$3)=0)*(COUNTIFS($C$3:$Q$3,"GIORNO",$C24:$Q24,AN$3)=0)*(COUNTIFS($C$3:$Q$3,"NOTTE",$C24:$Q24,AN$3)=0)*(COUNTIFS($C$3:$Q$3,"NOTTE",$C23:$Q23,AN$3)=0))+((AN24&lt;&gt;"Xm")*(AN24&lt;&gt;"Xp")*(AN24&lt;&gt;"Xg")*(COUNTIFS($C$3:$Q$3,"MAT",$C24:$Q24,AN$3)=0)*(COUNTIFS($C$3:$Q$3,"GIORNO",$C24:$Q24,AN$3)=0)*(COUNTIFS($C$3:$Q$3,"NOTTE",$C24:$Q24,AN$3)=0)*(COUNTIFS($C$3:$Q$3,"NOTTE",$C23:$Q23,AN$3)=0))+((AN24&lt;&gt;"Xn")*(COUNTIFS($C$3:$Q$3,"MAT",$C24:$Q24,AN$3)=0)*(COUNTIFS($C$3:$Q$3,"GIORNO",$C24:$Q24,AN$3)=0)*(COUNTIFS($C$3:$Q$3,"NOTTE",$C24:$Q24,AN$3)=0)*(COUNTIFS($C$3:$Q$3,"NOTTE",$C23:$Q23,AN$3)=0))=0,"",IF(0+((AN24&lt;&gt;"Xm")*(AN24&lt;&gt;"Xg")*(COUNTIFS($C$3:$Q$3,"MAT",$C24:$Q24,AN$3)=0)*(COUNTIFS($C$3:$Q$3,"GIORNO",$C24:$Q24,AN$3)=0)*(COUNTIFS($C$3:$Q$3,"NOTTE",$C24:$Q24,AN$3)=0)*(COUNTIFS($C$3:$Q$3,"NOTTE",$C23:$Q23,AN$3)=0))+((AN24&lt;&gt;"Xm")*(AN24&lt;&gt;"Xp")*(AN24&lt;&gt;"Xg")*(COUNTIFS($C$3:$Q$3,"MAT",$C24:$Q24,AN$3)=0)*(COUNTIFS($C$3:$Q$3,"GIORNO",$C24:$Q24,AN$3)=0)*(COUNTIFS($C$3:$Q$3,"NOTTE",$C24:$Q24,AN$3)=0)*(COUNTIFS($C$3:$Q$3,"NOTTE",$C23:$Q23,AN$3)=0))+((AN24&lt;&gt;"Xn")*(COUNTIFS($C$3:$Q$3,"MAT",$C24:$Q24,AN$3)=0)*(COUNTIFS($C$3:$Q$3,"GIORNO",$C24:$Q24,AN$3)=0)*(COUNTIFS($C$3:$Q$3,"NOTTE",$C24:$Q24,AN$3)=0)*(COUNTIFS($C$3:$Q$3,"NOTTE",$C23:$Q23,AN$3)=0))=3,AN$3&amp;", ",AN$3&amp;IF((AN24&lt;&gt;"Xm")*(AN24&lt;&gt;"Xg")*(COUNTIFS($C$3:$Q$3,"MAT",$C24:$Q24,AN$3)=0)*(COUNTIFS($C$3:$Q$3,"GIORNO",$C24:$Q24,AN$3)=0)*(COUNTIFS($C$3:$Q$3,"NOTTE",$C24:$Q24,AN$3)=0)*(COUNTIFS($C$3:$Q$3,"NOTTE",$C23:$Q23,AN$3)=0),"_m","")&amp;IF((AN24&lt;&gt;"Xm")*(AN24&lt;&gt;"Xp")*(AN24&lt;&gt;"Xg")*(COUNTIFS($C$3:$Q$3,"MAT",$C24:$Q24,AN$3)=0)*(COUNTIFS($C$3:$Q$3,"GIORNO",$C24:$Q24,AN$3)=0)*(COUNTIFS($C$3:$Q$3,"NOTTE",$C24:$Q24,AN$3)=0)*(COUNTIFS($C$3:$Q$3,"NOTTE",$C23:$Q23,AN$3)=0),"_g","")&amp;IF((AN24&lt;&gt;"Xn")*(COUNTIFS($C$3:$Q$3,"MAT",$C24:$Q24,AN$3)=0)*(COUNTIFS($C$3:$Q$3,"GIORNO",$C24:$Q24,AN$3)=0)*(COUNTIFS($C$3:$Q$3,"NOTTE",$C24:$Q24,AN$3)=0)*(COUNTIFS($C$3:$Q$3,"NOTTE",$C23:$Q23,AN$3)=0),"_n","")&amp;", ")))</f>
        <v xml:space="preserve">SANNA, </v>
      </c>
      <c r="CR24" s="9" t="str">
        <f>IF(0+(AO24="X")&gt;0,"",IF(0+((AO24&lt;&gt;"Xm")*(AO24&lt;&gt;"Xg")*(COUNTIFS($C$3:$Q$3,"MAT",$C24:$Q24,AO$3)=0)*(COUNTIFS($C$3:$Q$3,"GIORNO",$C24:$Q24,AO$3)=0)*(COUNTIFS($C$3:$Q$3,"NOTTE",$C24:$Q24,AO$3)=0)*(COUNTIFS($C$3:$Q$3,"NOTTE",$C23:$Q23,AO$3)=0))+((AO24&lt;&gt;"Xm")*(AO24&lt;&gt;"Xp")*(AO24&lt;&gt;"Xg")*(COUNTIFS($C$3:$Q$3,"MAT",$C24:$Q24,AO$3)=0)*(COUNTIFS($C$3:$Q$3,"GIORNO",$C24:$Q24,AO$3)=0)*(COUNTIFS($C$3:$Q$3,"NOTTE",$C24:$Q24,AO$3)=0)*(COUNTIFS($C$3:$Q$3,"NOTTE",$C23:$Q23,AO$3)=0))+((AO24&lt;&gt;"Xn")*(COUNTIFS($C$3:$Q$3,"MAT",$C24:$Q24,AO$3)=0)*(COUNTIFS($C$3:$Q$3,"GIORNO",$C24:$Q24,AO$3)=0)*(COUNTIFS($C$3:$Q$3,"NOTTE",$C24:$Q24,AO$3)=0)*(COUNTIFS($C$3:$Q$3,"NOTTE",$C23:$Q23,AO$3)=0))=0,"",IF(0+((AO24&lt;&gt;"Xm")*(AO24&lt;&gt;"Xg")*(COUNTIFS($C$3:$Q$3,"MAT",$C24:$Q24,AO$3)=0)*(COUNTIFS($C$3:$Q$3,"GIORNO",$C24:$Q24,AO$3)=0)*(COUNTIFS($C$3:$Q$3,"NOTTE",$C24:$Q24,AO$3)=0)*(COUNTIFS($C$3:$Q$3,"NOTTE",$C23:$Q23,AO$3)=0))+((AO24&lt;&gt;"Xm")*(AO24&lt;&gt;"Xp")*(AO24&lt;&gt;"Xg")*(COUNTIFS($C$3:$Q$3,"MAT",$C24:$Q24,AO$3)=0)*(COUNTIFS($C$3:$Q$3,"GIORNO",$C24:$Q24,AO$3)=0)*(COUNTIFS($C$3:$Q$3,"NOTTE",$C24:$Q24,AO$3)=0)*(COUNTIFS($C$3:$Q$3,"NOTTE",$C23:$Q23,AO$3)=0))+((AO24&lt;&gt;"Xn")*(COUNTIFS($C$3:$Q$3,"MAT",$C24:$Q24,AO$3)=0)*(COUNTIFS($C$3:$Q$3,"GIORNO",$C24:$Q24,AO$3)=0)*(COUNTIFS($C$3:$Q$3,"NOTTE",$C24:$Q24,AO$3)=0)*(COUNTIFS($C$3:$Q$3,"NOTTE",$C23:$Q23,AO$3)=0))=3,AO$3&amp;", ",AO$3&amp;IF((AO24&lt;&gt;"Xm")*(AO24&lt;&gt;"Xg")*(COUNTIFS($C$3:$Q$3,"MAT",$C24:$Q24,AO$3)=0)*(COUNTIFS($C$3:$Q$3,"GIORNO",$C24:$Q24,AO$3)=0)*(COUNTIFS($C$3:$Q$3,"NOTTE",$C24:$Q24,AO$3)=0)*(COUNTIFS($C$3:$Q$3,"NOTTE",$C23:$Q23,AO$3)=0),"_m","")&amp;IF((AO24&lt;&gt;"Xm")*(AO24&lt;&gt;"Xp")*(AO24&lt;&gt;"Xg")*(COUNTIFS($C$3:$Q$3,"MAT",$C24:$Q24,AO$3)=0)*(COUNTIFS($C$3:$Q$3,"GIORNO",$C24:$Q24,AO$3)=0)*(COUNTIFS($C$3:$Q$3,"NOTTE",$C24:$Q24,AO$3)=0)*(COUNTIFS($C$3:$Q$3,"NOTTE",$C23:$Q23,AO$3)=0),"_g","")&amp;IF((AO24&lt;&gt;"Xn")*(COUNTIFS($C$3:$Q$3,"MAT",$C24:$Q24,AO$3)=0)*(COUNTIFS($C$3:$Q$3,"GIORNO",$C24:$Q24,AO$3)=0)*(COUNTIFS($C$3:$Q$3,"NOTTE",$C24:$Q24,AO$3)=0)*(COUNTIFS($C$3:$Q$3,"NOTTE",$C23:$Q23,AO$3)=0),"_n","")&amp;", ")))</f>
        <v xml:space="preserve">LI, </v>
      </c>
    </row>
    <row r="25">
      <c r="A25" s="3" t="str">
        <f>CHOOSE(WEEKDAY(DATE($B$1,$A$2,B25),2),"lunedì","martedì","mercoledì","giovedì","venerdì","sabato","domenica")</f>
        <v>domenica</v>
      </c>
      <c r="B25" s="3" t="n">
        <v>22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3" t="n"/>
      <c r="Q25" s="3" t="n"/>
      <c r="R25" s="3" t="n"/>
      <c r="S25" s="3">
        <f>IF(SUMPRODUCT(($C$3:$Q$3&lt;&gt;"")*($C25:$Q25&lt;&gt;"")*(LEFT($C25:$Q25,6)&lt;&gt;"chiuso")*(COUNTIFS($C25:$Q25,$C25:$Q25,$C$3:$Q$3,$C$3:$Q$3)&gt;1))&gt;0,"X","")</f>
      </c>
      <c r="T25" s="3" t="str">
        <f>IF(LEN(BP25&amp;BQ25&amp;BR25&amp;BS25&amp;BT25&amp;BU25&amp;BV25&amp;BW25&amp;BX25&amp;BY25&amp;BZ25&amp;CA25&amp;CB25&amp;CC25)=0,"",LEFT(BP25&amp;BQ25&amp;BR25&amp;BS25&amp;BT25&amp;BU25&amp;BV25&amp;BW25&amp;BX25&amp;BY25&amp;BZ25&amp;CA25&amp;CB25&amp;CC25,LEN(BP25&amp;BQ25&amp;BR25&amp;BS25&amp;BT25&amp;BU25&amp;BV25&amp;BW25&amp;BX25&amp;BY25&amp;BZ25&amp;CA25&amp;CB25&amp;CC25)-2))</f>
        <v>LEONI, ROSSI M, ROSSI L, GALLINA, RUSSO, VERDI, HU, MARINI, CONTI A, CONTI S, FERRARI, GRECO, SANNA, LI</v>
      </c>
      <c r="U25" s="3" t="str">
        <f>IF(LEN(CE25&amp;CF25&amp;CG25&amp;CH25&amp;CI25&amp;CJ25&amp;CK25&amp;CL25&amp;CM25&amp;CN25&amp;CO25&amp;CP25&amp;CQ25&amp;CR25)=0,"",LEFT(CE25&amp;CF25&amp;CG25&amp;CH25&amp;CI25&amp;CJ25&amp;CK25&amp;CL25&amp;CM25&amp;CN25&amp;CO25&amp;CP25&amp;CQ25&amp;CR25,LEN(CE25&amp;CF25&amp;CG25&amp;CH25&amp;CI25&amp;CJ25&amp;CK25&amp;CL25&amp;CM25&amp;CN25&amp;CO25&amp;CP25&amp;CQ25&amp;CR25)-2))</f>
        <v>LEONI, ROSSI M, ROSSI L, GALLINA, RUSSO, VERDI, HU, MARINI, CONTI A, CONTI S, FERRARI, GRECO, SANNA, LI</v>
      </c>
      <c r="Z25" s="3" t="str">
        <f>A25</f>
        <v>domenica</v>
      </c>
      <c r="AA25" s="3">
        <f>B25</f>
        <v>22</v>
      </c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BP25" s="9" t="str">
        <f>IF(0+(AB25="X")&gt;0,"",IF(0+((AB25&lt;&gt;"Xm")*(AB25&lt;&gt;"Xp")*(AB25&lt;&gt;"Xg"))+((AB25&lt;&gt;"Xn"))=0,"",IF(0+((AB25&lt;&gt;"Xm")*(AB25&lt;&gt;"Xp")*(AB25&lt;&gt;"Xg"))+((AB25&lt;&gt;"Xn"))=2,AB$3&amp;", ",AB$3&amp;IF((AB25&lt;&gt;"Xm")*(AB25&lt;&gt;"Xp")*(AB25&lt;&gt;"Xg"),"_g","")&amp;IF((AB25&lt;&gt;"Xn"),"_n","")&amp;", ")))</f>
        <v xml:space="preserve">LEONI, </v>
      </c>
      <c r="BQ25" s="9" t="str">
        <f>IF(0+(AC25="X")&gt;0,"",IF(0+((AC25&lt;&gt;"Xm")*(AC25&lt;&gt;"Xp")*(AC25&lt;&gt;"Xg"))+((AC25&lt;&gt;"Xn"))=0,"",IF(0+((AC25&lt;&gt;"Xm")*(AC25&lt;&gt;"Xp")*(AC25&lt;&gt;"Xg"))+((AC25&lt;&gt;"Xn"))=2,AC$3&amp;", ",AC$3&amp;IF((AC25&lt;&gt;"Xm")*(AC25&lt;&gt;"Xp")*(AC25&lt;&gt;"Xg"),"_g","")&amp;IF((AC25&lt;&gt;"Xn"),"_n","")&amp;", ")))</f>
        <v xml:space="preserve">ROSSI M, </v>
      </c>
      <c r="BR25" s="9" t="str">
        <f>IF(0+(AD25="X")&gt;0,"",IF(0+((AD25&lt;&gt;"Xm")*(AD25&lt;&gt;"Xp")*(AD25&lt;&gt;"Xg"))+((AD25&lt;&gt;"Xn"))=0,"",IF(0+((AD25&lt;&gt;"Xm")*(AD25&lt;&gt;"Xp")*(AD25&lt;&gt;"Xg"))+((AD25&lt;&gt;"Xn"))=2,AD$3&amp;", ",AD$3&amp;IF((AD25&lt;&gt;"Xm")*(AD25&lt;&gt;"Xp")*(AD25&lt;&gt;"Xg"),"_g","")&amp;IF((AD25&lt;&gt;"Xn"),"_n","")&amp;", ")))</f>
        <v xml:space="preserve">ROSSI L, </v>
      </c>
      <c r="BS25" s="9" t="str">
        <f>IF(0+(AE25="X")&gt;0,"",IF(0+((AE25&lt;&gt;"Xm")*(AE25&lt;&gt;"Xp")*(AE25&lt;&gt;"Xg"))+((AE25&lt;&gt;"Xn"))=0,"",IF(0+((AE25&lt;&gt;"Xm")*(AE25&lt;&gt;"Xp")*(AE25&lt;&gt;"Xg"))+((AE25&lt;&gt;"Xn"))=2,AE$3&amp;", ",AE$3&amp;IF((AE25&lt;&gt;"Xm")*(AE25&lt;&gt;"Xp")*(AE25&lt;&gt;"Xg"),"_g","")&amp;IF((AE25&lt;&gt;"Xn"),"_n","")&amp;", ")))</f>
        <v xml:space="preserve">GALLINA, </v>
      </c>
      <c r="BT25" s="9" t="str">
        <f>IF(0+(AF25="X")&gt;0,"",IF(0+((AF25&lt;&gt;"Xm")*(AF25&lt;&gt;"Xp")*(AF25&lt;&gt;"Xg"))+((AF25&lt;&gt;"Xn"))=0,"",IF(0+((AF25&lt;&gt;"Xm")*(AF25&lt;&gt;"Xp")*(AF25&lt;&gt;"Xg"))+((AF25&lt;&gt;"Xn"))=2,AF$3&amp;", ",AF$3&amp;IF((AF25&lt;&gt;"Xm")*(AF25&lt;&gt;"Xp")*(AF25&lt;&gt;"Xg"),"_g","")&amp;IF((AF25&lt;&gt;"Xn"),"_n","")&amp;", ")))</f>
        <v xml:space="preserve">RUSSO, </v>
      </c>
      <c r="BU25" s="9" t="str">
        <f>IF(0+(AG25="X")&gt;0,"",IF(0+((AG25&lt;&gt;"Xm")*(AG25&lt;&gt;"Xp")*(AG25&lt;&gt;"Xg"))+((AG25&lt;&gt;"Xn"))=0,"",IF(0+((AG25&lt;&gt;"Xm")*(AG25&lt;&gt;"Xp")*(AG25&lt;&gt;"Xg"))+((AG25&lt;&gt;"Xn"))=2,AG$3&amp;", ",AG$3&amp;IF((AG25&lt;&gt;"Xm")*(AG25&lt;&gt;"Xp")*(AG25&lt;&gt;"Xg"),"_g","")&amp;IF((AG25&lt;&gt;"Xn"),"_n","")&amp;", ")))</f>
        <v xml:space="preserve">VERDI, </v>
      </c>
      <c r="BV25" s="9" t="str">
        <f>IF(0+(AH25="X")&gt;0,"",IF(0+((AH25&lt;&gt;"Xm")*(AH25&lt;&gt;"Xp")*(AH25&lt;&gt;"Xg"))+((AH25&lt;&gt;"Xn"))=0,"",IF(0+((AH25&lt;&gt;"Xm")*(AH25&lt;&gt;"Xp")*(AH25&lt;&gt;"Xg"))+((AH25&lt;&gt;"Xn"))=2,AH$3&amp;", ",AH$3&amp;IF((AH25&lt;&gt;"Xm")*(AH25&lt;&gt;"Xp")*(AH25&lt;&gt;"Xg"),"_g","")&amp;IF((AH25&lt;&gt;"Xn"),"_n","")&amp;", ")))</f>
        <v xml:space="preserve">HU, </v>
      </c>
      <c r="BW25" s="9" t="str">
        <f>IF(0+(AI25="X")&gt;0,"",IF(0+((AI25&lt;&gt;"Xm")*(AI25&lt;&gt;"Xp")*(AI25&lt;&gt;"Xg"))+((AI25&lt;&gt;"Xn"))=0,"",IF(0+((AI25&lt;&gt;"Xm")*(AI25&lt;&gt;"Xp")*(AI25&lt;&gt;"Xg"))+((AI25&lt;&gt;"Xn"))=2,AI$3&amp;", ",AI$3&amp;IF((AI25&lt;&gt;"Xm")*(AI25&lt;&gt;"Xp")*(AI25&lt;&gt;"Xg"),"_g","")&amp;IF((AI25&lt;&gt;"Xn"),"_n","")&amp;", ")))</f>
        <v xml:space="preserve">MARINI, </v>
      </c>
      <c r="BX25" s="9" t="str">
        <f>IF(0+(AJ25="X")&gt;0,"",IF(0+((AJ25&lt;&gt;"Xm")*(AJ25&lt;&gt;"Xp")*(AJ25&lt;&gt;"Xg"))+((AJ25&lt;&gt;"Xn"))=0,"",IF(0+((AJ25&lt;&gt;"Xm")*(AJ25&lt;&gt;"Xp")*(AJ25&lt;&gt;"Xg"))+((AJ25&lt;&gt;"Xn"))=2,AJ$3&amp;", ",AJ$3&amp;IF((AJ25&lt;&gt;"Xm")*(AJ25&lt;&gt;"Xp")*(AJ25&lt;&gt;"Xg"),"_g","")&amp;IF((AJ25&lt;&gt;"Xn"),"_n","")&amp;", ")))</f>
        <v xml:space="preserve">CONTI A, </v>
      </c>
      <c r="BY25" s="9" t="str">
        <f>IF(0+(AK25="X")&gt;0,"",IF(0+((AK25&lt;&gt;"Xm")*(AK25&lt;&gt;"Xp")*(AK25&lt;&gt;"Xg"))+((AK25&lt;&gt;"Xn"))=0,"",IF(0+((AK25&lt;&gt;"Xm")*(AK25&lt;&gt;"Xp")*(AK25&lt;&gt;"Xg"))+((AK25&lt;&gt;"Xn"))=2,AK$3&amp;", ",AK$3&amp;IF((AK25&lt;&gt;"Xm")*(AK25&lt;&gt;"Xp")*(AK25&lt;&gt;"Xg"),"_g","")&amp;IF((AK25&lt;&gt;"Xn"),"_n","")&amp;", ")))</f>
        <v xml:space="preserve">CONTI S, </v>
      </c>
      <c r="BZ25" s="9" t="str">
        <f>IF(0+(AL25="X")&gt;0,"",IF(0+((AL25&lt;&gt;"Xm")*(AL25&lt;&gt;"Xp")*(AL25&lt;&gt;"Xg"))+((AL25&lt;&gt;"Xn"))=0,"",IF(0+((AL25&lt;&gt;"Xm")*(AL25&lt;&gt;"Xp")*(AL25&lt;&gt;"Xg"))+((AL25&lt;&gt;"Xn"))=2,AL$3&amp;", ",AL$3&amp;IF((AL25&lt;&gt;"Xm")*(AL25&lt;&gt;"Xp")*(AL25&lt;&gt;"Xg"),"_g","")&amp;IF((AL25&lt;&gt;"Xn"),"_n","")&amp;", ")))</f>
        <v xml:space="preserve">FERRARI, </v>
      </c>
      <c r="CA25" s="9" t="str">
        <f>IF(0+(AM25="X")&gt;0,"",IF(0+((AM25&lt;&gt;"Xm")*(AM25&lt;&gt;"Xp")*(AM25&lt;&gt;"Xg"))+((AM25&lt;&gt;"Xn"))=0,"",IF(0+((AM25&lt;&gt;"Xm")*(AM25&lt;&gt;"Xp")*(AM25&lt;&gt;"Xg"))+((AM25&lt;&gt;"Xn"))=2,AM$3&amp;", ",AM$3&amp;IF((AM25&lt;&gt;"Xm")*(AM25&lt;&gt;"Xp")*(AM25&lt;&gt;"Xg"),"_g","")&amp;IF((AM25&lt;&gt;"Xn"),"_n","")&amp;", ")))</f>
        <v xml:space="preserve">GRECO, </v>
      </c>
      <c r="CB25" s="9" t="str">
        <f>IF(0+(AN25="X")&gt;0,"",IF(0+((AN25&lt;&gt;"Xm")*(AN25&lt;&gt;"Xp")*(AN25&lt;&gt;"Xg"))+((AN25&lt;&gt;"Xn"))=0,"",IF(0+((AN25&lt;&gt;"Xm")*(AN25&lt;&gt;"Xp")*(AN25&lt;&gt;"Xg"))+((AN25&lt;&gt;"Xn"))=2,AN$3&amp;", ",AN$3&amp;IF((AN25&lt;&gt;"Xm")*(AN25&lt;&gt;"Xp")*(AN25&lt;&gt;"Xg"),"_g","")&amp;IF((AN25&lt;&gt;"Xn"),"_n","")&amp;", ")))</f>
        <v xml:space="preserve">SANNA, </v>
      </c>
      <c r="CC25" s="9" t="str">
        <f>IF(0+(AO25="X")&gt;0,"",IF(0+((AO25&lt;&gt;"Xm")*(AO25&lt;&gt;"Xp")*(AO25&lt;&gt;"Xg"))+((AO25&lt;&gt;"Xn"))=0,"",IF(0+((AO25&lt;&gt;"Xm")*(AO25&lt;&gt;"Xp")*(AO25&lt;&gt;"Xg"))+((AO25&lt;&gt;"Xn"))=2,AO$3&amp;", ",AO$3&amp;IF((AO25&lt;&gt;"Xm")*(AO25&lt;&gt;"Xp")*(AO25&lt;&gt;"Xg"),"_g","")&amp;IF((AO25&lt;&gt;"Xn"),"_n","")&amp;", ")))</f>
        <v xml:space="preserve">LI, </v>
      </c>
      <c r="CD25" s="9" t="n"/>
      <c r="CE25" s="9" t="str">
        <f>IF(0+(AB25="X")&gt;0,"",IF(0+((AB25&lt;&gt;"Xm")*(AB25&lt;&gt;"Xp")*(AB25&lt;&gt;"Xg")*(COUNTIFS($C$3:$Q$3,"GIORNO",$C25:$Q25,AB$3)=0)*(COUNTIFS($C$3:$Q$3,"NOTTE",$C25:$Q25,AB$3)=0)*(COUNTIFS($C$3:$Q$3,"NOTTE",$C24:$Q24,AB$3)=0))+((AB25&lt;&gt;"Xn")*(COUNTIFS($C$3:$Q$3,"GIORNO",$C25:$Q25,AB$3)=0)*(COUNTIFS($C$3:$Q$3,"NOTTE",$C25:$Q25,AB$3)=0)*(COUNTIFS($C$3:$Q$3,"NOTTE",$C24:$Q24,AB$3)=0))=0,"",IF(0+((AB25&lt;&gt;"Xm")*(AB25&lt;&gt;"Xp")*(AB25&lt;&gt;"Xg")*(COUNTIFS($C$3:$Q$3,"GIORNO",$C25:$Q25,AB$3)=0)*(COUNTIFS($C$3:$Q$3,"NOTTE",$C25:$Q25,AB$3)=0)*(COUNTIFS($C$3:$Q$3,"NOTTE",$C24:$Q24,AB$3)=0))+((AB25&lt;&gt;"Xn")*(COUNTIFS($C$3:$Q$3,"GIORNO",$C25:$Q25,AB$3)=0)*(COUNTIFS($C$3:$Q$3,"NOTTE",$C25:$Q25,AB$3)=0)*(COUNTIFS($C$3:$Q$3,"NOTTE",$C24:$Q24,AB$3)=0))=2,AB$3&amp;", ",AB$3&amp;IF((AB25&lt;&gt;"Xm")*(AB25&lt;&gt;"Xp")*(AB25&lt;&gt;"Xg")*(COUNTIFS($C$3:$Q$3,"GIORNO",$C25:$Q25,AB$3)=0)*(COUNTIFS($C$3:$Q$3,"NOTTE",$C25:$Q25,AB$3)=0)*(COUNTIFS($C$3:$Q$3,"NOTTE",$C24:$Q24,AB$3)=0),"_g","")&amp;IF((AB25&lt;&gt;"Xn")*(COUNTIFS($C$3:$Q$3,"GIORNO",$C25:$Q25,AB$3)=0)*(COUNTIFS($C$3:$Q$3,"NOTTE",$C25:$Q25,AB$3)=0)*(COUNTIFS($C$3:$Q$3,"NOTTE",$C24:$Q24,AB$3)=0),"_n","")&amp;", ")))</f>
        <v xml:space="preserve">LEONI, </v>
      </c>
      <c r="CF25" s="9" t="str">
        <f>IF(0+(AC25="X")&gt;0,"",IF(0+((AC25&lt;&gt;"Xm")*(AC25&lt;&gt;"Xp")*(AC25&lt;&gt;"Xg")*(COUNTIFS($C$3:$Q$3,"GIORNO",$C25:$Q25,AC$3)=0)*(COUNTIFS($C$3:$Q$3,"NOTTE",$C25:$Q25,AC$3)=0)*(COUNTIFS($C$3:$Q$3,"NOTTE",$C24:$Q24,AC$3)=0))+((AC25&lt;&gt;"Xn")*(COUNTIFS($C$3:$Q$3,"GIORNO",$C25:$Q25,AC$3)=0)*(COUNTIFS($C$3:$Q$3,"NOTTE",$C25:$Q25,AC$3)=0)*(COUNTIFS($C$3:$Q$3,"NOTTE",$C24:$Q24,AC$3)=0))=0,"",IF(0+((AC25&lt;&gt;"Xm")*(AC25&lt;&gt;"Xp")*(AC25&lt;&gt;"Xg")*(COUNTIFS($C$3:$Q$3,"GIORNO",$C25:$Q25,AC$3)=0)*(COUNTIFS($C$3:$Q$3,"NOTTE",$C25:$Q25,AC$3)=0)*(COUNTIFS($C$3:$Q$3,"NOTTE",$C24:$Q24,AC$3)=0))+((AC25&lt;&gt;"Xn")*(COUNTIFS($C$3:$Q$3,"GIORNO",$C25:$Q25,AC$3)=0)*(COUNTIFS($C$3:$Q$3,"NOTTE",$C25:$Q25,AC$3)=0)*(COUNTIFS($C$3:$Q$3,"NOTTE",$C24:$Q24,AC$3)=0))=2,AC$3&amp;", ",AC$3&amp;IF((AC25&lt;&gt;"Xm")*(AC25&lt;&gt;"Xp")*(AC25&lt;&gt;"Xg")*(COUNTIFS($C$3:$Q$3,"GIORNO",$C25:$Q25,AC$3)=0)*(COUNTIFS($C$3:$Q$3,"NOTTE",$C25:$Q25,AC$3)=0)*(COUNTIFS($C$3:$Q$3,"NOTTE",$C24:$Q24,AC$3)=0),"_g","")&amp;IF((AC25&lt;&gt;"Xn")*(COUNTIFS($C$3:$Q$3,"GIORNO",$C25:$Q25,AC$3)=0)*(COUNTIFS($C$3:$Q$3,"NOTTE",$C25:$Q25,AC$3)=0)*(COUNTIFS($C$3:$Q$3,"NOTTE",$C24:$Q24,AC$3)=0),"_n","")&amp;", ")))</f>
        <v xml:space="preserve">ROSSI M, </v>
      </c>
      <c r="CG25" s="9" t="str">
        <f>IF(0+(AD25="X")&gt;0,"",IF(0+((AD25&lt;&gt;"Xm")*(AD25&lt;&gt;"Xp")*(AD25&lt;&gt;"Xg")*(COUNTIFS($C$3:$Q$3,"GIORNO",$C25:$Q25,AD$3)=0)*(COUNTIFS($C$3:$Q$3,"NOTTE",$C25:$Q25,AD$3)=0)*(COUNTIFS($C$3:$Q$3,"NOTTE",$C24:$Q24,AD$3)=0))+((AD25&lt;&gt;"Xn")*(COUNTIFS($C$3:$Q$3,"GIORNO",$C25:$Q25,AD$3)=0)*(COUNTIFS($C$3:$Q$3,"NOTTE",$C25:$Q25,AD$3)=0)*(COUNTIFS($C$3:$Q$3,"NOTTE",$C24:$Q24,AD$3)=0))=0,"",IF(0+((AD25&lt;&gt;"Xm")*(AD25&lt;&gt;"Xp")*(AD25&lt;&gt;"Xg")*(COUNTIFS($C$3:$Q$3,"GIORNO",$C25:$Q25,AD$3)=0)*(COUNTIFS($C$3:$Q$3,"NOTTE",$C25:$Q25,AD$3)=0)*(COUNTIFS($C$3:$Q$3,"NOTTE",$C24:$Q24,AD$3)=0))+((AD25&lt;&gt;"Xn")*(COUNTIFS($C$3:$Q$3,"GIORNO",$C25:$Q25,AD$3)=0)*(COUNTIFS($C$3:$Q$3,"NOTTE",$C25:$Q25,AD$3)=0)*(COUNTIFS($C$3:$Q$3,"NOTTE",$C24:$Q24,AD$3)=0))=2,AD$3&amp;", ",AD$3&amp;IF((AD25&lt;&gt;"Xm")*(AD25&lt;&gt;"Xp")*(AD25&lt;&gt;"Xg")*(COUNTIFS($C$3:$Q$3,"GIORNO",$C25:$Q25,AD$3)=0)*(COUNTIFS($C$3:$Q$3,"NOTTE",$C25:$Q25,AD$3)=0)*(COUNTIFS($C$3:$Q$3,"NOTTE",$C24:$Q24,AD$3)=0),"_g","")&amp;IF((AD25&lt;&gt;"Xn")*(COUNTIFS($C$3:$Q$3,"GIORNO",$C25:$Q25,AD$3)=0)*(COUNTIFS($C$3:$Q$3,"NOTTE",$C25:$Q25,AD$3)=0)*(COUNTIFS($C$3:$Q$3,"NOTTE",$C24:$Q24,AD$3)=0),"_n","")&amp;", ")))</f>
        <v xml:space="preserve">ROSSI L, </v>
      </c>
      <c r="CH25" s="9" t="str">
        <f>IF(0+(AE25="X")&gt;0,"",IF(0+((AE25&lt;&gt;"Xm")*(AE25&lt;&gt;"Xp")*(AE25&lt;&gt;"Xg")*(COUNTIFS($C$3:$Q$3,"GIORNO",$C25:$Q25,AE$3)=0)*(COUNTIFS($C$3:$Q$3,"NOTTE",$C25:$Q25,AE$3)=0)*(COUNTIFS($C$3:$Q$3,"NOTTE",$C24:$Q24,AE$3)=0))+((AE25&lt;&gt;"Xn")*(COUNTIFS($C$3:$Q$3,"GIORNO",$C25:$Q25,AE$3)=0)*(COUNTIFS($C$3:$Q$3,"NOTTE",$C25:$Q25,AE$3)=0)*(COUNTIFS($C$3:$Q$3,"NOTTE",$C24:$Q24,AE$3)=0))=0,"",IF(0+((AE25&lt;&gt;"Xm")*(AE25&lt;&gt;"Xp")*(AE25&lt;&gt;"Xg")*(COUNTIFS($C$3:$Q$3,"GIORNO",$C25:$Q25,AE$3)=0)*(COUNTIFS($C$3:$Q$3,"NOTTE",$C25:$Q25,AE$3)=0)*(COUNTIFS($C$3:$Q$3,"NOTTE",$C24:$Q24,AE$3)=0))+((AE25&lt;&gt;"Xn")*(COUNTIFS($C$3:$Q$3,"GIORNO",$C25:$Q25,AE$3)=0)*(COUNTIFS($C$3:$Q$3,"NOTTE",$C25:$Q25,AE$3)=0)*(COUNTIFS($C$3:$Q$3,"NOTTE",$C24:$Q24,AE$3)=0))=2,AE$3&amp;", ",AE$3&amp;IF((AE25&lt;&gt;"Xm")*(AE25&lt;&gt;"Xp")*(AE25&lt;&gt;"Xg")*(COUNTIFS($C$3:$Q$3,"GIORNO",$C25:$Q25,AE$3)=0)*(COUNTIFS($C$3:$Q$3,"NOTTE",$C25:$Q25,AE$3)=0)*(COUNTIFS($C$3:$Q$3,"NOTTE",$C24:$Q24,AE$3)=0),"_g","")&amp;IF((AE25&lt;&gt;"Xn")*(COUNTIFS($C$3:$Q$3,"GIORNO",$C25:$Q25,AE$3)=0)*(COUNTIFS($C$3:$Q$3,"NOTTE",$C25:$Q25,AE$3)=0)*(COUNTIFS($C$3:$Q$3,"NOTTE",$C24:$Q24,AE$3)=0),"_n","")&amp;", ")))</f>
        <v xml:space="preserve">GALLINA, </v>
      </c>
      <c r="CI25" s="9" t="str">
        <f>IF(0+(AF25="X")&gt;0,"",IF(0+((AF25&lt;&gt;"Xm")*(AF25&lt;&gt;"Xp")*(AF25&lt;&gt;"Xg")*(COUNTIFS($C$3:$Q$3,"GIORNO",$C25:$Q25,AF$3)=0)*(COUNTIFS($C$3:$Q$3,"NOTTE",$C25:$Q25,AF$3)=0)*(COUNTIFS($C$3:$Q$3,"NOTTE",$C24:$Q24,AF$3)=0))+((AF25&lt;&gt;"Xn")*(COUNTIFS($C$3:$Q$3,"GIORNO",$C25:$Q25,AF$3)=0)*(COUNTIFS($C$3:$Q$3,"NOTTE",$C25:$Q25,AF$3)=0)*(COUNTIFS($C$3:$Q$3,"NOTTE",$C24:$Q24,AF$3)=0))=0,"",IF(0+((AF25&lt;&gt;"Xm")*(AF25&lt;&gt;"Xp")*(AF25&lt;&gt;"Xg")*(COUNTIFS($C$3:$Q$3,"GIORNO",$C25:$Q25,AF$3)=0)*(COUNTIFS($C$3:$Q$3,"NOTTE",$C25:$Q25,AF$3)=0)*(COUNTIFS($C$3:$Q$3,"NOTTE",$C24:$Q24,AF$3)=0))+((AF25&lt;&gt;"Xn")*(COUNTIFS($C$3:$Q$3,"GIORNO",$C25:$Q25,AF$3)=0)*(COUNTIFS($C$3:$Q$3,"NOTTE",$C25:$Q25,AF$3)=0)*(COUNTIFS($C$3:$Q$3,"NOTTE",$C24:$Q24,AF$3)=0))=2,AF$3&amp;", ",AF$3&amp;IF((AF25&lt;&gt;"Xm")*(AF25&lt;&gt;"Xp")*(AF25&lt;&gt;"Xg")*(COUNTIFS($C$3:$Q$3,"GIORNO",$C25:$Q25,AF$3)=0)*(COUNTIFS($C$3:$Q$3,"NOTTE",$C25:$Q25,AF$3)=0)*(COUNTIFS($C$3:$Q$3,"NOTTE",$C24:$Q24,AF$3)=0),"_g","")&amp;IF((AF25&lt;&gt;"Xn")*(COUNTIFS($C$3:$Q$3,"GIORNO",$C25:$Q25,AF$3)=0)*(COUNTIFS($C$3:$Q$3,"NOTTE",$C25:$Q25,AF$3)=0)*(COUNTIFS($C$3:$Q$3,"NOTTE",$C24:$Q24,AF$3)=0),"_n","")&amp;", ")))</f>
        <v xml:space="preserve">RUSSO, </v>
      </c>
      <c r="CJ25" s="9" t="str">
        <f>IF(0+(AG25="X")&gt;0,"",IF(0+((AG25&lt;&gt;"Xm")*(AG25&lt;&gt;"Xp")*(AG25&lt;&gt;"Xg")*(COUNTIFS($C$3:$Q$3,"GIORNO",$C25:$Q25,AG$3)=0)*(COUNTIFS($C$3:$Q$3,"NOTTE",$C25:$Q25,AG$3)=0)*(COUNTIFS($C$3:$Q$3,"NOTTE",$C24:$Q24,AG$3)=0))+((AG25&lt;&gt;"Xn")*(COUNTIFS($C$3:$Q$3,"GIORNO",$C25:$Q25,AG$3)=0)*(COUNTIFS($C$3:$Q$3,"NOTTE",$C25:$Q25,AG$3)=0)*(COUNTIFS($C$3:$Q$3,"NOTTE",$C24:$Q24,AG$3)=0))=0,"",IF(0+((AG25&lt;&gt;"Xm")*(AG25&lt;&gt;"Xp")*(AG25&lt;&gt;"Xg")*(COUNTIFS($C$3:$Q$3,"GIORNO",$C25:$Q25,AG$3)=0)*(COUNTIFS($C$3:$Q$3,"NOTTE",$C25:$Q25,AG$3)=0)*(COUNTIFS($C$3:$Q$3,"NOTTE",$C24:$Q24,AG$3)=0))+((AG25&lt;&gt;"Xn")*(COUNTIFS($C$3:$Q$3,"GIORNO",$C25:$Q25,AG$3)=0)*(COUNTIFS($C$3:$Q$3,"NOTTE",$C25:$Q25,AG$3)=0)*(COUNTIFS($C$3:$Q$3,"NOTTE",$C24:$Q24,AG$3)=0))=2,AG$3&amp;", ",AG$3&amp;IF((AG25&lt;&gt;"Xm")*(AG25&lt;&gt;"Xp")*(AG25&lt;&gt;"Xg")*(COUNTIFS($C$3:$Q$3,"GIORNO",$C25:$Q25,AG$3)=0)*(COUNTIFS($C$3:$Q$3,"NOTTE",$C25:$Q25,AG$3)=0)*(COUNTIFS($C$3:$Q$3,"NOTTE",$C24:$Q24,AG$3)=0),"_g","")&amp;IF((AG25&lt;&gt;"Xn")*(COUNTIFS($C$3:$Q$3,"GIORNO",$C25:$Q25,AG$3)=0)*(COUNTIFS($C$3:$Q$3,"NOTTE",$C25:$Q25,AG$3)=0)*(COUNTIFS($C$3:$Q$3,"NOTTE",$C24:$Q24,AG$3)=0),"_n","")&amp;", ")))</f>
        <v xml:space="preserve">VERDI, </v>
      </c>
      <c r="CK25" s="9" t="str">
        <f>IF(0+(AH25="X")&gt;0,"",IF(0+((AH25&lt;&gt;"Xm")*(AH25&lt;&gt;"Xp")*(AH25&lt;&gt;"Xg")*(COUNTIFS($C$3:$Q$3,"GIORNO",$C25:$Q25,AH$3)=0)*(COUNTIFS($C$3:$Q$3,"NOTTE",$C25:$Q25,AH$3)=0)*(COUNTIFS($C$3:$Q$3,"NOTTE",$C24:$Q24,AH$3)=0))+((AH25&lt;&gt;"Xn")*(COUNTIFS($C$3:$Q$3,"GIORNO",$C25:$Q25,AH$3)=0)*(COUNTIFS($C$3:$Q$3,"NOTTE",$C25:$Q25,AH$3)=0)*(COUNTIFS($C$3:$Q$3,"NOTTE",$C24:$Q24,AH$3)=0))=0,"",IF(0+((AH25&lt;&gt;"Xm")*(AH25&lt;&gt;"Xp")*(AH25&lt;&gt;"Xg")*(COUNTIFS($C$3:$Q$3,"GIORNO",$C25:$Q25,AH$3)=0)*(COUNTIFS($C$3:$Q$3,"NOTTE",$C25:$Q25,AH$3)=0)*(COUNTIFS($C$3:$Q$3,"NOTTE",$C24:$Q24,AH$3)=0))+((AH25&lt;&gt;"Xn")*(COUNTIFS($C$3:$Q$3,"GIORNO",$C25:$Q25,AH$3)=0)*(COUNTIFS($C$3:$Q$3,"NOTTE",$C25:$Q25,AH$3)=0)*(COUNTIFS($C$3:$Q$3,"NOTTE",$C24:$Q24,AH$3)=0))=2,AH$3&amp;", ",AH$3&amp;IF((AH25&lt;&gt;"Xm")*(AH25&lt;&gt;"Xp")*(AH25&lt;&gt;"Xg")*(COUNTIFS($C$3:$Q$3,"GIORNO",$C25:$Q25,AH$3)=0)*(COUNTIFS($C$3:$Q$3,"NOTTE",$C25:$Q25,AH$3)=0)*(COUNTIFS($C$3:$Q$3,"NOTTE",$C24:$Q24,AH$3)=0),"_g","")&amp;IF((AH25&lt;&gt;"Xn")*(COUNTIFS($C$3:$Q$3,"GIORNO",$C25:$Q25,AH$3)=0)*(COUNTIFS($C$3:$Q$3,"NOTTE",$C25:$Q25,AH$3)=0)*(COUNTIFS($C$3:$Q$3,"NOTTE",$C24:$Q24,AH$3)=0),"_n","")&amp;", ")))</f>
        <v xml:space="preserve">HU, </v>
      </c>
      <c r="CL25" s="9" t="str">
        <f>IF(0+(AI25="X")&gt;0,"",IF(0+((AI25&lt;&gt;"Xm")*(AI25&lt;&gt;"Xp")*(AI25&lt;&gt;"Xg")*(COUNTIFS($C$3:$Q$3,"GIORNO",$C25:$Q25,AI$3)=0)*(COUNTIFS($C$3:$Q$3,"NOTTE",$C25:$Q25,AI$3)=0)*(COUNTIFS($C$3:$Q$3,"NOTTE",$C24:$Q24,AI$3)=0))+((AI25&lt;&gt;"Xn")*(COUNTIFS($C$3:$Q$3,"GIORNO",$C25:$Q25,AI$3)=0)*(COUNTIFS($C$3:$Q$3,"NOTTE",$C25:$Q25,AI$3)=0)*(COUNTIFS($C$3:$Q$3,"NOTTE",$C24:$Q24,AI$3)=0))=0,"",IF(0+((AI25&lt;&gt;"Xm")*(AI25&lt;&gt;"Xp")*(AI25&lt;&gt;"Xg")*(COUNTIFS($C$3:$Q$3,"GIORNO",$C25:$Q25,AI$3)=0)*(COUNTIFS($C$3:$Q$3,"NOTTE",$C25:$Q25,AI$3)=0)*(COUNTIFS($C$3:$Q$3,"NOTTE",$C24:$Q24,AI$3)=0))+((AI25&lt;&gt;"Xn")*(COUNTIFS($C$3:$Q$3,"GIORNO",$C25:$Q25,AI$3)=0)*(COUNTIFS($C$3:$Q$3,"NOTTE",$C25:$Q25,AI$3)=0)*(COUNTIFS($C$3:$Q$3,"NOTTE",$C24:$Q24,AI$3)=0))=2,AI$3&amp;", ",AI$3&amp;IF((AI25&lt;&gt;"Xm")*(AI25&lt;&gt;"Xp")*(AI25&lt;&gt;"Xg")*(COUNTIFS($C$3:$Q$3,"GIORNO",$C25:$Q25,AI$3)=0)*(COUNTIFS($C$3:$Q$3,"NOTTE",$C25:$Q25,AI$3)=0)*(COUNTIFS($C$3:$Q$3,"NOTTE",$C24:$Q24,AI$3)=0),"_g","")&amp;IF((AI25&lt;&gt;"Xn")*(COUNTIFS($C$3:$Q$3,"GIORNO",$C25:$Q25,AI$3)=0)*(COUNTIFS($C$3:$Q$3,"NOTTE",$C25:$Q25,AI$3)=0)*(COUNTIFS($C$3:$Q$3,"NOTTE",$C24:$Q24,AI$3)=0),"_n","")&amp;", ")))</f>
        <v xml:space="preserve">MARINI, </v>
      </c>
      <c r="CM25" s="9" t="str">
        <f>IF(0+(AJ25="X")&gt;0,"",IF(0+((AJ25&lt;&gt;"Xm")*(AJ25&lt;&gt;"Xp")*(AJ25&lt;&gt;"Xg")*(COUNTIFS($C$3:$Q$3,"GIORNO",$C25:$Q25,AJ$3)=0)*(COUNTIFS($C$3:$Q$3,"NOTTE",$C25:$Q25,AJ$3)=0)*(COUNTIFS($C$3:$Q$3,"NOTTE",$C24:$Q24,AJ$3)=0))+((AJ25&lt;&gt;"Xn")*(COUNTIFS($C$3:$Q$3,"GIORNO",$C25:$Q25,AJ$3)=0)*(COUNTIFS($C$3:$Q$3,"NOTTE",$C25:$Q25,AJ$3)=0)*(COUNTIFS($C$3:$Q$3,"NOTTE",$C24:$Q24,AJ$3)=0))=0,"",IF(0+((AJ25&lt;&gt;"Xm")*(AJ25&lt;&gt;"Xp")*(AJ25&lt;&gt;"Xg")*(COUNTIFS($C$3:$Q$3,"GIORNO",$C25:$Q25,AJ$3)=0)*(COUNTIFS($C$3:$Q$3,"NOTTE",$C25:$Q25,AJ$3)=0)*(COUNTIFS($C$3:$Q$3,"NOTTE",$C24:$Q24,AJ$3)=0))+((AJ25&lt;&gt;"Xn")*(COUNTIFS($C$3:$Q$3,"GIORNO",$C25:$Q25,AJ$3)=0)*(COUNTIFS($C$3:$Q$3,"NOTTE",$C25:$Q25,AJ$3)=0)*(COUNTIFS($C$3:$Q$3,"NOTTE",$C24:$Q24,AJ$3)=0))=2,AJ$3&amp;", ",AJ$3&amp;IF((AJ25&lt;&gt;"Xm")*(AJ25&lt;&gt;"Xp")*(AJ25&lt;&gt;"Xg")*(COUNTIFS($C$3:$Q$3,"GIORNO",$C25:$Q25,AJ$3)=0)*(COUNTIFS($C$3:$Q$3,"NOTTE",$C25:$Q25,AJ$3)=0)*(COUNTIFS($C$3:$Q$3,"NOTTE",$C24:$Q24,AJ$3)=0),"_g","")&amp;IF((AJ25&lt;&gt;"Xn")*(COUNTIFS($C$3:$Q$3,"GIORNO",$C25:$Q25,AJ$3)=0)*(COUNTIFS($C$3:$Q$3,"NOTTE",$C25:$Q25,AJ$3)=0)*(COUNTIFS($C$3:$Q$3,"NOTTE",$C24:$Q24,AJ$3)=0),"_n","")&amp;", ")))</f>
        <v xml:space="preserve">CONTI A, </v>
      </c>
      <c r="CN25" s="9" t="str">
        <f>IF(0+(AK25="X")&gt;0,"",IF(0+((AK25&lt;&gt;"Xm")*(AK25&lt;&gt;"Xp")*(AK25&lt;&gt;"Xg")*(COUNTIFS($C$3:$Q$3,"GIORNO",$C25:$Q25,AK$3)=0)*(COUNTIFS($C$3:$Q$3,"NOTTE",$C25:$Q25,AK$3)=0)*(COUNTIFS($C$3:$Q$3,"NOTTE",$C24:$Q24,AK$3)=0))+((AK25&lt;&gt;"Xn")*(COUNTIFS($C$3:$Q$3,"GIORNO",$C25:$Q25,AK$3)=0)*(COUNTIFS($C$3:$Q$3,"NOTTE",$C25:$Q25,AK$3)=0)*(COUNTIFS($C$3:$Q$3,"NOTTE",$C24:$Q24,AK$3)=0))=0,"",IF(0+((AK25&lt;&gt;"Xm")*(AK25&lt;&gt;"Xp")*(AK25&lt;&gt;"Xg")*(COUNTIFS($C$3:$Q$3,"GIORNO",$C25:$Q25,AK$3)=0)*(COUNTIFS($C$3:$Q$3,"NOTTE",$C25:$Q25,AK$3)=0)*(COUNTIFS($C$3:$Q$3,"NOTTE",$C24:$Q24,AK$3)=0))+((AK25&lt;&gt;"Xn")*(COUNTIFS($C$3:$Q$3,"GIORNO",$C25:$Q25,AK$3)=0)*(COUNTIFS($C$3:$Q$3,"NOTTE",$C25:$Q25,AK$3)=0)*(COUNTIFS($C$3:$Q$3,"NOTTE",$C24:$Q24,AK$3)=0))=2,AK$3&amp;", ",AK$3&amp;IF((AK25&lt;&gt;"Xm")*(AK25&lt;&gt;"Xp")*(AK25&lt;&gt;"Xg")*(COUNTIFS($C$3:$Q$3,"GIORNO",$C25:$Q25,AK$3)=0)*(COUNTIFS($C$3:$Q$3,"NOTTE",$C25:$Q25,AK$3)=0)*(COUNTIFS($C$3:$Q$3,"NOTTE",$C24:$Q24,AK$3)=0),"_g","")&amp;IF((AK25&lt;&gt;"Xn")*(COUNTIFS($C$3:$Q$3,"GIORNO",$C25:$Q25,AK$3)=0)*(COUNTIFS($C$3:$Q$3,"NOTTE",$C25:$Q25,AK$3)=0)*(COUNTIFS($C$3:$Q$3,"NOTTE",$C24:$Q24,AK$3)=0),"_n","")&amp;", ")))</f>
        <v xml:space="preserve">CONTI S, </v>
      </c>
      <c r="CO25" s="9" t="str">
        <f>IF(0+(AL25="X")&gt;0,"",IF(0+((AL25&lt;&gt;"Xm")*(AL25&lt;&gt;"Xp")*(AL25&lt;&gt;"Xg")*(COUNTIFS($C$3:$Q$3,"GIORNO",$C25:$Q25,AL$3)=0)*(COUNTIFS($C$3:$Q$3,"NOTTE",$C25:$Q25,AL$3)=0)*(COUNTIFS($C$3:$Q$3,"NOTTE",$C24:$Q24,AL$3)=0))+((AL25&lt;&gt;"Xn")*(COUNTIFS($C$3:$Q$3,"GIORNO",$C25:$Q25,AL$3)=0)*(COUNTIFS($C$3:$Q$3,"NOTTE",$C25:$Q25,AL$3)=0)*(COUNTIFS($C$3:$Q$3,"NOTTE",$C24:$Q24,AL$3)=0))=0,"",IF(0+((AL25&lt;&gt;"Xm")*(AL25&lt;&gt;"Xp")*(AL25&lt;&gt;"Xg")*(COUNTIFS($C$3:$Q$3,"GIORNO",$C25:$Q25,AL$3)=0)*(COUNTIFS($C$3:$Q$3,"NOTTE",$C25:$Q25,AL$3)=0)*(COUNTIFS($C$3:$Q$3,"NOTTE",$C24:$Q24,AL$3)=0))+((AL25&lt;&gt;"Xn")*(COUNTIFS($C$3:$Q$3,"GIORNO",$C25:$Q25,AL$3)=0)*(COUNTIFS($C$3:$Q$3,"NOTTE",$C25:$Q25,AL$3)=0)*(COUNTIFS($C$3:$Q$3,"NOTTE",$C24:$Q24,AL$3)=0))=2,AL$3&amp;", ",AL$3&amp;IF((AL25&lt;&gt;"Xm")*(AL25&lt;&gt;"Xp")*(AL25&lt;&gt;"Xg")*(COUNTIFS($C$3:$Q$3,"GIORNO",$C25:$Q25,AL$3)=0)*(COUNTIFS($C$3:$Q$3,"NOTTE",$C25:$Q25,AL$3)=0)*(COUNTIFS($C$3:$Q$3,"NOTTE",$C24:$Q24,AL$3)=0),"_g","")&amp;IF((AL25&lt;&gt;"Xn")*(COUNTIFS($C$3:$Q$3,"GIORNO",$C25:$Q25,AL$3)=0)*(COUNTIFS($C$3:$Q$3,"NOTTE",$C25:$Q25,AL$3)=0)*(COUNTIFS($C$3:$Q$3,"NOTTE",$C24:$Q24,AL$3)=0),"_n","")&amp;", ")))</f>
        <v xml:space="preserve">FERRARI, </v>
      </c>
      <c r="CP25" s="9" t="str">
        <f>IF(0+(AM25="X")&gt;0,"",IF(0+((AM25&lt;&gt;"Xm")*(AM25&lt;&gt;"Xp")*(AM25&lt;&gt;"Xg")*(COUNTIFS($C$3:$Q$3,"GIORNO",$C25:$Q25,AM$3)=0)*(COUNTIFS($C$3:$Q$3,"NOTTE",$C25:$Q25,AM$3)=0)*(COUNTIFS($C$3:$Q$3,"NOTTE",$C24:$Q24,AM$3)=0))+((AM25&lt;&gt;"Xn")*(COUNTIFS($C$3:$Q$3,"GIORNO",$C25:$Q25,AM$3)=0)*(COUNTIFS($C$3:$Q$3,"NOTTE",$C25:$Q25,AM$3)=0)*(COUNTIFS($C$3:$Q$3,"NOTTE",$C24:$Q24,AM$3)=0))=0,"",IF(0+((AM25&lt;&gt;"Xm")*(AM25&lt;&gt;"Xp")*(AM25&lt;&gt;"Xg")*(COUNTIFS($C$3:$Q$3,"GIORNO",$C25:$Q25,AM$3)=0)*(COUNTIFS($C$3:$Q$3,"NOTTE",$C25:$Q25,AM$3)=0)*(COUNTIFS($C$3:$Q$3,"NOTTE",$C24:$Q24,AM$3)=0))+((AM25&lt;&gt;"Xn")*(COUNTIFS($C$3:$Q$3,"GIORNO",$C25:$Q25,AM$3)=0)*(COUNTIFS($C$3:$Q$3,"NOTTE",$C25:$Q25,AM$3)=0)*(COUNTIFS($C$3:$Q$3,"NOTTE",$C24:$Q24,AM$3)=0))=2,AM$3&amp;", ",AM$3&amp;IF((AM25&lt;&gt;"Xm")*(AM25&lt;&gt;"Xp")*(AM25&lt;&gt;"Xg")*(COUNTIFS($C$3:$Q$3,"GIORNO",$C25:$Q25,AM$3)=0)*(COUNTIFS($C$3:$Q$3,"NOTTE",$C25:$Q25,AM$3)=0)*(COUNTIFS($C$3:$Q$3,"NOTTE",$C24:$Q24,AM$3)=0),"_g","")&amp;IF((AM25&lt;&gt;"Xn")*(COUNTIFS($C$3:$Q$3,"GIORNO",$C25:$Q25,AM$3)=0)*(COUNTIFS($C$3:$Q$3,"NOTTE",$C25:$Q25,AM$3)=0)*(COUNTIFS($C$3:$Q$3,"NOTTE",$C24:$Q24,AM$3)=0),"_n","")&amp;", ")))</f>
        <v xml:space="preserve">GRECO, </v>
      </c>
      <c r="CQ25" s="9" t="str">
        <f>IF(0+(AN25="X")&gt;0,"",IF(0+((AN25&lt;&gt;"Xm")*(AN25&lt;&gt;"Xp")*(AN25&lt;&gt;"Xg")*(COUNTIFS($C$3:$Q$3,"GIORNO",$C25:$Q25,AN$3)=0)*(COUNTIFS($C$3:$Q$3,"NOTTE",$C25:$Q25,AN$3)=0)*(COUNTIFS($C$3:$Q$3,"NOTTE",$C24:$Q24,AN$3)=0))+((AN25&lt;&gt;"Xn")*(COUNTIFS($C$3:$Q$3,"GIORNO",$C25:$Q25,AN$3)=0)*(COUNTIFS($C$3:$Q$3,"NOTTE",$C25:$Q25,AN$3)=0)*(COUNTIFS($C$3:$Q$3,"NOTTE",$C24:$Q24,AN$3)=0))=0,"",IF(0+((AN25&lt;&gt;"Xm")*(AN25&lt;&gt;"Xp")*(AN25&lt;&gt;"Xg")*(COUNTIFS($C$3:$Q$3,"GIORNO",$C25:$Q25,AN$3)=0)*(COUNTIFS($C$3:$Q$3,"NOTTE",$C25:$Q25,AN$3)=0)*(COUNTIFS($C$3:$Q$3,"NOTTE",$C24:$Q24,AN$3)=0))+((AN25&lt;&gt;"Xn")*(COUNTIFS($C$3:$Q$3,"GIORNO",$C25:$Q25,AN$3)=0)*(COUNTIFS($C$3:$Q$3,"NOTTE",$C25:$Q25,AN$3)=0)*(COUNTIFS($C$3:$Q$3,"NOTTE",$C24:$Q24,AN$3)=0))=2,AN$3&amp;", ",AN$3&amp;IF((AN25&lt;&gt;"Xm")*(AN25&lt;&gt;"Xp")*(AN25&lt;&gt;"Xg")*(COUNTIFS($C$3:$Q$3,"GIORNO",$C25:$Q25,AN$3)=0)*(COUNTIFS($C$3:$Q$3,"NOTTE",$C25:$Q25,AN$3)=0)*(COUNTIFS($C$3:$Q$3,"NOTTE",$C24:$Q24,AN$3)=0),"_g","")&amp;IF((AN25&lt;&gt;"Xn")*(COUNTIFS($C$3:$Q$3,"GIORNO",$C25:$Q25,AN$3)=0)*(COUNTIFS($C$3:$Q$3,"NOTTE",$C25:$Q25,AN$3)=0)*(COUNTIFS($C$3:$Q$3,"NOTTE",$C24:$Q24,AN$3)=0),"_n","")&amp;", ")))</f>
        <v xml:space="preserve">SANNA, </v>
      </c>
      <c r="CR25" s="9" t="str">
        <f>IF(0+(AO25="X")&gt;0,"",IF(0+((AO25&lt;&gt;"Xm")*(AO25&lt;&gt;"Xp")*(AO25&lt;&gt;"Xg")*(COUNTIFS($C$3:$Q$3,"GIORNO",$C25:$Q25,AO$3)=0)*(COUNTIFS($C$3:$Q$3,"NOTTE",$C25:$Q25,AO$3)=0)*(COUNTIFS($C$3:$Q$3,"NOTTE",$C24:$Q24,AO$3)=0))+((AO25&lt;&gt;"Xn")*(COUNTIFS($C$3:$Q$3,"GIORNO",$C25:$Q25,AO$3)=0)*(COUNTIFS($C$3:$Q$3,"NOTTE",$C25:$Q25,AO$3)=0)*(COUNTIFS($C$3:$Q$3,"NOTTE",$C24:$Q24,AO$3)=0))=0,"",IF(0+((AO25&lt;&gt;"Xm")*(AO25&lt;&gt;"Xp")*(AO25&lt;&gt;"Xg")*(COUNTIFS($C$3:$Q$3,"GIORNO",$C25:$Q25,AO$3)=0)*(COUNTIFS($C$3:$Q$3,"NOTTE",$C25:$Q25,AO$3)=0)*(COUNTIFS($C$3:$Q$3,"NOTTE",$C24:$Q24,AO$3)=0))+((AO25&lt;&gt;"Xn")*(COUNTIFS($C$3:$Q$3,"GIORNO",$C25:$Q25,AO$3)=0)*(COUNTIFS($C$3:$Q$3,"NOTTE",$C25:$Q25,AO$3)=0)*(COUNTIFS($C$3:$Q$3,"NOTTE",$C24:$Q24,AO$3)=0))=2,AO$3&amp;", ",AO$3&amp;IF((AO25&lt;&gt;"Xm")*(AO25&lt;&gt;"Xp")*(AO25&lt;&gt;"Xg")*(COUNTIFS($C$3:$Q$3,"GIORNO",$C25:$Q25,AO$3)=0)*(COUNTIFS($C$3:$Q$3,"NOTTE",$C25:$Q25,AO$3)=0)*(COUNTIFS($C$3:$Q$3,"NOTTE",$C24:$Q24,AO$3)=0),"_g","")&amp;IF((AO25&lt;&gt;"Xn")*(COUNTIFS($C$3:$Q$3,"GIORNO",$C25:$Q25,AO$3)=0)*(COUNTIFS($C$3:$Q$3,"NOTTE",$C25:$Q25,AO$3)=0)*(COUNTIFS($C$3:$Q$3,"NOTTE",$C24:$Q24,AO$3)=0),"_n","")&amp;", ")))</f>
        <v xml:space="preserve">LI, </v>
      </c>
    </row>
    <row r="26">
      <c r="A26" s="10" t="str">
        <f>CHOOSE(WEEKDAY(DATE($B$1,$A$2,B26),2),"lunedì","martedì","mercoledì","giovedì","venerdì","sabato","domenica")</f>
        <v>lunedì</v>
      </c>
      <c r="B26" s="10" t="n">
        <v>23</v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4" t="n"/>
      <c r="M26" s="11" t="n"/>
      <c r="N26" s="11" t="n"/>
      <c r="O26" s="11" t="n"/>
      <c r="P26" s="4" t="n"/>
      <c r="Q26" s="11" t="n"/>
      <c r="R26" s="11" t="n"/>
      <c r="S26" s="11">
        <f>IF(SUMPRODUCT(($C$3:$Q$3&lt;&gt;"")*($C26:$Q26&lt;&gt;"")*(LEFT($C26:$Q26,6)&lt;&gt;"chiuso")*(COUNTIFS($C26:$Q26,$C26:$Q26,$C$3:$Q$3,$C$3:$Q$3)&gt;1))&gt;0,"X","")</f>
      </c>
      <c r="T26" s="11" t="str">
        <f>IF(LEN(BP26&amp;BQ26&amp;BR26&amp;BS26&amp;BT26&amp;BU26&amp;BV26&amp;BW26&amp;BX26&amp;BY26&amp;BZ26&amp;CA26&amp;CB26&amp;CC26)=0,"",LEFT(BP26&amp;BQ26&amp;BR26&amp;BS26&amp;BT26&amp;BU26&amp;BV26&amp;BW26&amp;BX26&amp;BY26&amp;BZ26&amp;CA26&amp;CB26&amp;CC26,LEN(BP26&amp;BQ26&amp;BR26&amp;BS26&amp;BT26&amp;BU26&amp;BV26&amp;BW26&amp;BX26&amp;BY26&amp;BZ26&amp;CA26&amp;CB26&amp;CC26)-2))</f>
        <v>LEONI, ROSSI M, ROSSI L, GALLINA, RUSSO, VERDI, HU, MARINI, CONTI A, CONTI S, FERRARI, GRECO, SANNA, LI</v>
      </c>
      <c r="U26" s="11" t="str">
        <f>IF(LEN(CE26&amp;CF26&amp;CG26&amp;CH26&amp;CI26&amp;CJ26&amp;CK26&amp;CL26&amp;CM26&amp;CN26&amp;CO26&amp;CP26&amp;CQ26&amp;CR26)=0,"",LEFT(CE26&amp;CF26&amp;CG26&amp;CH26&amp;CI26&amp;CJ26&amp;CK26&amp;CL26&amp;CM26&amp;CN26&amp;CO26&amp;CP26&amp;CQ26&amp;CR26,LEN(CE26&amp;CF26&amp;CG26&amp;CH26&amp;CI26&amp;CJ26&amp;CK26&amp;CL26&amp;CM26&amp;CN26&amp;CO26&amp;CP26&amp;CQ26&amp;CR26)-2))</f>
        <v>LEONI, ROSSI M, ROSSI L, GALLINA, RUSSO, VERDI, HU, MARINI, CONTI A, CONTI S, FERRARI, GRECO, SANNA, LI</v>
      </c>
      <c r="Z26" s="10" t="str">
        <f>A26</f>
        <v>lunedì</v>
      </c>
      <c r="AA26" s="10">
        <f>B26</f>
        <v>23</v>
      </c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BP26" s="9" t="str">
        <f>IF(0+(AB26="X")&gt;0,"",IF(0+((AB26&lt;&gt;"Xm")*(AB26&lt;&gt;"Xg"))+((AB26&lt;&gt;"Xp")*(AB26&lt;&gt;"Xg"))+((AB26&lt;&gt;"Xn"))=0,"",IF(0+((AB26&lt;&gt;"Xm")*(AB26&lt;&gt;"Xg"))+((AB26&lt;&gt;"Xp")*(AB26&lt;&gt;"Xg"))+((AB26&lt;&gt;"Xn"))=3,AB$3&amp;", ",AB$3&amp;IF((AB26&lt;&gt;"Xm")*(AB26&lt;&gt;"Xg"),"_m","")&amp;IF((AB26&lt;&gt;"Xp")*(AB26&lt;&gt;"Xg"),"_p","")&amp;IF((AB26&lt;&gt;"Xn"),"_n","")&amp;", ")))</f>
        <v xml:space="preserve">LEONI, </v>
      </c>
      <c r="BQ26" s="9" t="str">
        <f>IF(0+(AC26="X")&gt;0,"",IF(0+((AC26&lt;&gt;"Xm")*(AC26&lt;&gt;"Xg"))+((AC26&lt;&gt;"Xp")*(AC26&lt;&gt;"Xg"))+((AC26&lt;&gt;"Xn"))=0,"",IF(0+((AC26&lt;&gt;"Xm")*(AC26&lt;&gt;"Xg"))+((AC26&lt;&gt;"Xp")*(AC26&lt;&gt;"Xg"))+((AC26&lt;&gt;"Xn"))=3,AC$3&amp;", ",AC$3&amp;IF((AC26&lt;&gt;"Xm")*(AC26&lt;&gt;"Xg"),"_m","")&amp;IF((AC26&lt;&gt;"Xp")*(AC26&lt;&gt;"Xg"),"_p","")&amp;IF((AC26&lt;&gt;"Xn"),"_n","")&amp;", ")))</f>
        <v xml:space="preserve">ROSSI M, </v>
      </c>
      <c r="BR26" s="9" t="str">
        <f>IF(0+(AD26="X")&gt;0,"",IF(0+((AD26&lt;&gt;"Xm")*(AD26&lt;&gt;"Xg"))+((AD26&lt;&gt;"Xp")*(AD26&lt;&gt;"Xg"))+((AD26&lt;&gt;"Xn"))=0,"",IF(0+((AD26&lt;&gt;"Xm")*(AD26&lt;&gt;"Xg"))+((AD26&lt;&gt;"Xp")*(AD26&lt;&gt;"Xg"))+((AD26&lt;&gt;"Xn"))=3,AD$3&amp;", ",AD$3&amp;IF((AD26&lt;&gt;"Xm")*(AD26&lt;&gt;"Xg"),"_m","")&amp;IF((AD26&lt;&gt;"Xp")*(AD26&lt;&gt;"Xg"),"_p","")&amp;IF((AD26&lt;&gt;"Xn"),"_n","")&amp;", ")))</f>
        <v xml:space="preserve">ROSSI L, </v>
      </c>
      <c r="BS26" s="9" t="str">
        <f>IF(0+(AE26="X")&gt;0,"",IF(0+((AE26&lt;&gt;"Xm")*(AE26&lt;&gt;"Xg"))+((AE26&lt;&gt;"Xp")*(AE26&lt;&gt;"Xg"))+((AE26&lt;&gt;"Xn"))=0,"",IF(0+((AE26&lt;&gt;"Xm")*(AE26&lt;&gt;"Xg"))+((AE26&lt;&gt;"Xp")*(AE26&lt;&gt;"Xg"))+((AE26&lt;&gt;"Xn"))=3,AE$3&amp;", ",AE$3&amp;IF((AE26&lt;&gt;"Xm")*(AE26&lt;&gt;"Xg"),"_m","")&amp;IF((AE26&lt;&gt;"Xp")*(AE26&lt;&gt;"Xg"),"_p","")&amp;IF((AE26&lt;&gt;"Xn"),"_n","")&amp;", ")))</f>
        <v xml:space="preserve">GALLINA, </v>
      </c>
      <c r="BT26" s="9" t="str">
        <f>IF(0+(AF26="X")&gt;0,"",IF(0+((AF26&lt;&gt;"Xm")*(AF26&lt;&gt;"Xg"))+((AF26&lt;&gt;"Xp")*(AF26&lt;&gt;"Xg"))+((AF26&lt;&gt;"Xn"))=0,"",IF(0+((AF26&lt;&gt;"Xm")*(AF26&lt;&gt;"Xg"))+((AF26&lt;&gt;"Xp")*(AF26&lt;&gt;"Xg"))+((AF26&lt;&gt;"Xn"))=3,AF$3&amp;", ",AF$3&amp;IF((AF26&lt;&gt;"Xm")*(AF26&lt;&gt;"Xg"),"_m","")&amp;IF((AF26&lt;&gt;"Xp")*(AF26&lt;&gt;"Xg"),"_p","")&amp;IF((AF26&lt;&gt;"Xn"),"_n","")&amp;", ")))</f>
        <v xml:space="preserve">RUSSO, </v>
      </c>
      <c r="BU26" s="9" t="str">
        <f>IF(0+(AG26="X")&gt;0,"",IF(0+((AG26&lt;&gt;"Xm")*(AG26&lt;&gt;"Xg"))+((AG26&lt;&gt;"Xp")*(AG26&lt;&gt;"Xg"))+((AG26&lt;&gt;"Xn"))=0,"",IF(0+((AG26&lt;&gt;"Xm")*(AG26&lt;&gt;"Xg"))+((AG26&lt;&gt;"Xp")*(AG26&lt;&gt;"Xg"))+((AG26&lt;&gt;"Xn"))=3,AG$3&amp;", ",AG$3&amp;IF((AG26&lt;&gt;"Xm")*(AG26&lt;&gt;"Xg"),"_m","")&amp;IF((AG26&lt;&gt;"Xp")*(AG26&lt;&gt;"Xg"),"_p","")&amp;IF((AG26&lt;&gt;"Xn"),"_n","")&amp;", ")))</f>
        <v xml:space="preserve">VERDI, </v>
      </c>
      <c r="BV26" s="9" t="str">
        <f>IF(0+(AH26="X")&gt;0,"",IF(0+((AH26&lt;&gt;"Xm")*(AH26&lt;&gt;"Xg"))+((AH26&lt;&gt;"Xp")*(AH26&lt;&gt;"Xg"))+((AH26&lt;&gt;"Xn"))=0,"",IF(0+((AH26&lt;&gt;"Xm")*(AH26&lt;&gt;"Xg"))+((AH26&lt;&gt;"Xp")*(AH26&lt;&gt;"Xg"))+((AH26&lt;&gt;"Xn"))=3,AH$3&amp;", ",AH$3&amp;IF((AH26&lt;&gt;"Xm")*(AH26&lt;&gt;"Xg"),"_m","")&amp;IF((AH26&lt;&gt;"Xp")*(AH26&lt;&gt;"Xg"),"_p","")&amp;IF((AH26&lt;&gt;"Xn"),"_n","")&amp;", ")))</f>
        <v xml:space="preserve">HU, </v>
      </c>
      <c r="BW26" s="9" t="str">
        <f>IF(0+(AI26="X")&gt;0,"",IF(0+((AI26&lt;&gt;"Xm")*(AI26&lt;&gt;"Xg"))+((AI26&lt;&gt;"Xp")*(AI26&lt;&gt;"Xg"))+((AI26&lt;&gt;"Xn"))=0,"",IF(0+((AI26&lt;&gt;"Xm")*(AI26&lt;&gt;"Xg"))+((AI26&lt;&gt;"Xp")*(AI26&lt;&gt;"Xg"))+((AI26&lt;&gt;"Xn"))=3,AI$3&amp;", ",AI$3&amp;IF((AI26&lt;&gt;"Xm")*(AI26&lt;&gt;"Xg"),"_m","")&amp;IF((AI26&lt;&gt;"Xp")*(AI26&lt;&gt;"Xg"),"_p","")&amp;IF((AI26&lt;&gt;"Xn"),"_n","")&amp;", ")))</f>
        <v xml:space="preserve">MARINI, </v>
      </c>
      <c r="BX26" s="9" t="str">
        <f>IF(0+(AJ26="X")&gt;0,"",IF(0+((AJ26&lt;&gt;"Xm")*(AJ26&lt;&gt;"Xg"))+((AJ26&lt;&gt;"Xp")*(AJ26&lt;&gt;"Xg"))+((AJ26&lt;&gt;"Xn"))=0,"",IF(0+((AJ26&lt;&gt;"Xm")*(AJ26&lt;&gt;"Xg"))+((AJ26&lt;&gt;"Xp")*(AJ26&lt;&gt;"Xg"))+((AJ26&lt;&gt;"Xn"))=3,AJ$3&amp;", ",AJ$3&amp;IF((AJ26&lt;&gt;"Xm")*(AJ26&lt;&gt;"Xg"),"_m","")&amp;IF((AJ26&lt;&gt;"Xp")*(AJ26&lt;&gt;"Xg"),"_p","")&amp;IF((AJ26&lt;&gt;"Xn"),"_n","")&amp;", ")))</f>
        <v xml:space="preserve">CONTI A, </v>
      </c>
      <c r="BY26" s="9" t="str">
        <f>IF(0+(AK26="X")&gt;0,"",IF(0+((AK26&lt;&gt;"Xm")*(AK26&lt;&gt;"Xg"))+((AK26&lt;&gt;"Xp")*(AK26&lt;&gt;"Xg"))+((AK26&lt;&gt;"Xn"))=0,"",IF(0+((AK26&lt;&gt;"Xm")*(AK26&lt;&gt;"Xg"))+((AK26&lt;&gt;"Xp")*(AK26&lt;&gt;"Xg"))+((AK26&lt;&gt;"Xn"))=3,AK$3&amp;", ",AK$3&amp;IF((AK26&lt;&gt;"Xm")*(AK26&lt;&gt;"Xg"),"_m","")&amp;IF((AK26&lt;&gt;"Xp")*(AK26&lt;&gt;"Xg"),"_p","")&amp;IF((AK26&lt;&gt;"Xn"),"_n","")&amp;", ")))</f>
        <v xml:space="preserve">CONTI S, </v>
      </c>
      <c r="BZ26" s="9" t="str">
        <f>IF(0+(AL26="X")&gt;0,"",IF(0+((AL26&lt;&gt;"Xm")*(AL26&lt;&gt;"Xg"))+((AL26&lt;&gt;"Xp")*(AL26&lt;&gt;"Xg"))+((AL26&lt;&gt;"Xn"))=0,"",IF(0+((AL26&lt;&gt;"Xm")*(AL26&lt;&gt;"Xg"))+((AL26&lt;&gt;"Xp")*(AL26&lt;&gt;"Xg"))+((AL26&lt;&gt;"Xn"))=3,AL$3&amp;", ",AL$3&amp;IF((AL26&lt;&gt;"Xm")*(AL26&lt;&gt;"Xg"),"_m","")&amp;IF((AL26&lt;&gt;"Xp")*(AL26&lt;&gt;"Xg"),"_p","")&amp;IF((AL26&lt;&gt;"Xn"),"_n","")&amp;", ")))</f>
        <v xml:space="preserve">FERRARI, </v>
      </c>
      <c r="CA26" s="9" t="str">
        <f>IF(0+(AM26="X")&gt;0,"",IF(0+((AM26&lt;&gt;"Xm")*(AM26&lt;&gt;"Xg"))+((AM26&lt;&gt;"Xp")*(AM26&lt;&gt;"Xg"))+((AM26&lt;&gt;"Xn"))=0,"",IF(0+((AM26&lt;&gt;"Xm")*(AM26&lt;&gt;"Xg"))+((AM26&lt;&gt;"Xp")*(AM26&lt;&gt;"Xg"))+((AM26&lt;&gt;"Xn"))=3,AM$3&amp;", ",AM$3&amp;IF((AM26&lt;&gt;"Xm")*(AM26&lt;&gt;"Xg"),"_m","")&amp;IF((AM26&lt;&gt;"Xp")*(AM26&lt;&gt;"Xg"),"_p","")&amp;IF((AM26&lt;&gt;"Xn"),"_n","")&amp;", ")))</f>
        <v xml:space="preserve">GRECO, </v>
      </c>
      <c r="CB26" s="9" t="str">
        <f>IF(0+(AN26="X")&gt;0,"",IF(0+((AN26&lt;&gt;"Xm")*(AN26&lt;&gt;"Xg"))+((AN26&lt;&gt;"Xp")*(AN26&lt;&gt;"Xg"))+((AN26&lt;&gt;"Xn"))=0,"",IF(0+((AN26&lt;&gt;"Xm")*(AN26&lt;&gt;"Xg"))+((AN26&lt;&gt;"Xp")*(AN26&lt;&gt;"Xg"))+((AN26&lt;&gt;"Xn"))=3,AN$3&amp;", ",AN$3&amp;IF((AN26&lt;&gt;"Xm")*(AN26&lt;&gt;"Xg"),"_m","")&amp;IF((AN26&lt;&gt;"Xp")*(AN26&lt;&gt;"Xg"),"_p","")&amp;IF((AN26&lt;&gt;"Xn"),"_n","")&amp;", ")))</f>
        <v xml:space="preserve">SANNA, </v>
      </c>
      <c r="CC26" s="9" t="str">
        <f>IF(0+(AO26="X")&gt;0,"",IF(0+((AO26&lt;&gt;"Xm")*(AO26&lt;&gt;"Xg"))+((AO26&lt;&gt;"Xp")*(AO26&lt;&gt;"Xg"))+((AO26&lt;&gt;"Xn"))=0,"",IF(0+((AO26&lt;&gt;"Xm")*(AO26&lt;&gt;"Xg"))+((AO26&lt;&gt;"Xp")*(AO26&lt;&gt;"Xg"))+((AO26&lt;&gt;"Xn"))=3,AO$3&amp;", ",AO$3&amp;IF((AO26&lt;&gt;"Xm")*(AO26&lt;&gt;"Xg"),"_m","")&amp;IF((AO26&lt;&gt;"Xp")*(AO26&lt;&gt;"Xg"),"_p","")&amp;IF((AO26&lt;&gt;"Xn"),"_n","")&amp;", ")))</f>
        <v xml:space="preserve">LI, </v>
      </c>
      <c r="CD26" s="9" t="n"/>
      <c r="CE26" s="9" t="str">
        <f>IF(0+(AB26="X")&gt;0,"",IF(0+((AB26&lt;&gt;"Xm")*(AB26&lt;&gt;"Xg")*(COUNTIFS($C$3:$Q$3,"MAT",$C26:$Q26,AB$3)=0)*(COUNTIFS($C$3:$Q$3,"NOTTE",$C26:$Q26,AB$3)=0)*(COUNTIFS($C$3:$Q$3,"NOTTE",$C25:$Q25,AB$3)=0))+((AB26&lt;&gt;"Xp")*(AB26&lt;&gt;"Xg")*(COUNTIFS($C$3:$Q$3,"POM",$C26:$Q26,AB$3)=0)*(COUNTIFS($C$3:$Q$3,"NOTTE",$C26:$Q26,AB$3)=0)*(COUNTIFS($C$3:$Q$3,"NOTTE",$C25:$Q25,AB$3)=0))+((AB26&lt;&gt;"Xn")*(COUNTIFS($C$3:$Q$3,"MAT",$C26:$Q26,AB$3)=0)*(COUNTIFS($C$3:$Q$3,"POM",$C26:$Q26,AB$3)=0)*(COUNTIFS($C$3:$Q$3,"NOTTE",$C26:$Q26,AB$3)=0)*(COUNTIFS($C$3:$Q$3,"NOTTE",$C25:$Q25,AB$3)=0))=0,"",IF(0+((AB26&lt;&gt;"Xm")*(AB26&lt;&gt;"Xg")*(COUNTIFS($C$3:$Q$3,"MAT",$C26:$Q26,AB$3)=0)*(COUNTIFS($C$3:$Q$3,"NOTTE",$C26:$Q26,AB$3)=0)*(COUNTIFS($C$3:$Q$3,"NOTTE",$C25:$Q25,AB$3)=0))+((AB26&lt;&gt;"Xp")*(AB26&lt;&gt;"Xg")*(COUNTIFS($C$3:$Q$3,"POM",$C26:$Q26,AB$3)=0)*(COUNTIFS($C$3:$Q$3,"NOTTE",$C26:$Q26,AB$3)=0)*(COUNTIFS($C$3:$Q$3,"NOTTE",$C25:$Q25,AB$3)=0))+((AB26&lt;&gt;"Xn")*(COUNTIFS($C$3:$Q$3,"MAT",$C26:$Q26,AB$3)=0)*(COUNTIFS($C$3:$Q$3,"POM",$C26:$Q26,AB$3)=0)*(COUNTIFS($C$3:$Q$3,"NOTTE",$C26:$Q26,AB$3)=0)*(COUNTIFS($C$3:$Q$3,"NOTTE",$C25:$Q25,AB$3)=0))=3,AB$3&amp;", ",AB$3&amp;IF((AB26&lt;&gt;"Xm")*(AB26&lt;&gt;"Xg")*(COUNTIFS($C$3:$Q$3,"MAT",$C26:$Q26,AB$3)=0)*(COUNTIFS($C$3:$Q$3,"NOTTE",$C26:$Q26,AB$3)=0)*(COUNTIFS($C$3:$Q$3,"NOTTE",$C25:$Q25,AB$3)=0),"_m","")&amp;IF((AB26&lt;&gt;"Xp")*(AB26&lt;&gt;"Xg")*(COUNTIFS($C$3:$Q$3,"POM",$C26:$Q26,AB$3)=0)*(COUNTIFS($C$3:$Q$3,"NOTTE",$C26:$Q26,AB$3)=0)*(COUNTIFS($C$3:$Q$3,"NOTTE",$C25:$Q25,AB$3)=0),"_p","")&amp;IF((AB26&lt;&gt;"Xn")*(COUNTIFS($C$3:$Q$3,"MAT",$C26:$Q26,AB$3)=0)*(COUNTIFS($C$3:$Q$3,"POM",$C26:$Q26,AB$3)=0)*(COUNTIFS($C$3:$Q$3,"NOTTE",$C26:$Q26,AB$3)=0)*(COUNTIFS($C$3:$Q$3,"NOTTE",$C25:$Q25,AB$3)=0),"_n","")&amp;", ")))</f>
        <v xml:space="preserve">LEONI, </v>
      </c>
      <c r="CF26" s="9" t="str">
        <f>IF(0+(AC26="X")&gt;0,"",IF(0+((AC26&lt;&gt;"Xm")*(AC26&lt;&gt;"Xg")*(COUNTIFS($C$3:$Q$3,"MAT",$C26:$Q26,AC$3)=0)*(COUNTIFS($C$3:$Q$3,"NOTTE",$C26:$Q26,AC$3)=0)*(COUNTIFS($C$3:$Q$3,"NOTTE",$C25:$Q25,AC$3)=0))+((AC26&lt;&gt;"Xp")*(AC26&lt;&gt;"Xg")*(COUNTIFS($C$3:$Q$3,"POM",$C26:$Q26,AC$3)=0)*(COUNTIFS($C$3:$Q$3,"NOTTE",$C26:$Q26,AC$3)=0)*(COUNTIFS($C$3:$Q$3,"NOTTE",$C25:$Q25,AC$3)=0))+((AC26&lt;&gt;"Xn")*(COUNTIFS($C$3:$Q$3,"MAT",$C26:$Q26,AC$3)=0)*(COUNTIFS($C$3:$Q$3,"POM",$C26:$Q26,AC$3)=0)*(COUNTIFS($C$3:$Q$3,"NOTTE",$C26:$Q26,AC$3)=0)*(COUNTIFS($C$3:$Q$3,"NOTTE",$C25:$Q25,AC$3)=0))=0,"",IF(0+((AC26&lt;&gt;"Xm")*(AC26&lt;&gt;"Xg")*(COUNTIFS($C$3:$Q$3,"MAT",$C26:$Q26,AC$3)=0)*(COUNTIFS($C$3:$Q$3,"NOTTE",$C26:$Q26,AC$3)=0)*(COUNTIFS($C$3:$Q$3,"NOTTE",$C25:$Q25,AC$3)=0))+((AC26&lt;&gt;"Xp")*(AC26&lt;&gt;"Xg")*(COUNTIFS($C$3:$Q$3,"POM",$C26:$Q26,AC$3)=0)*(COUNTIFS($C$3:$Q$3,"NOTTE",$C26:$Q26,AC$3)=0)*(COUNTIFS($C$3:$Q$3,"NOTTE",$C25:$Q25,AC$3)=0))+((AC26&lt;&gt;"Xn")*(COUNTIFS($C$3:$Q$3,"MAT",$C26:$Q26,AC$3)=0)*(COUNTIFS($C$3:$Q$3,"POM",$C26:$Q26,AC$3)=0)*(COUNTIFS($C$3:$Q$3,"NOTTE",$C26:$Q26,AC$3)=0)*(COUNTIFS($C$3:$Q$3,"NOTTE",$C25:$Q25,AC$3)=0))=3,AC$3&amp;", ",AC$3&amp;IF((AC26&lt;&gt;"Xm")*(AC26&lt;&gt;"Xg")*(COUNTIFS($C$3:$Q$3,"MAT",$C26:$Q26,AC$3)=0)*(COUNTIFS($C$3:$Q$3,"NOTTE",$C26:$Q26,AC$3)=0)*(COUNTIFS($C$3:$Q$3,"NOTTE",$C25:$Q25,AC$3)=0),"_m","")&amp;IF((AC26&lt;&gt;"Xp")*(AC26&lt;&gt;"Xg")*(COUNTIFS($C$3:$Q$3,"POM",$C26:$Q26,AC$3)=0)*(COUNTIFS($C$3:$Q$3,"NOTTE",$C26:$Q26,AC$3)=0)*(COUNTIFS($C$3:$Q$3,"NOTTE",$C25:$Q25,AC$3)=0),"_p","")&amp;IF((AC26&lt;&gt;"Xn")*(COUNTIFS($C$3:$Q$3,"MAT",$C26:$Q26,AC$3)=0)*(COUNTIFS($C$3:$Q$3,"POM",$C26:$Q26,AC$3)=0)*(COUNTIFS($C$3:$Q$3,"NOTTE",$C26:$Q26,AC$3)=0)*(COUNTIFS($C$3:$Q$3,"NOTTE",$C25:$Q25,AC$3)=0),"_n","")&amp;", ")))</f>
        <v xml:space="preserve">ROSSI M, </v>
      </c>
      <c r="CG26" s="9" t="str">
        <f>IF(0+(AD26="X")&gt;0,"",IF(0+((AD26&lt;&gt;"Xm")*(AD26&lt;&gt;"Xg")*(COUNTIFS($C$3:$Q$3,"MAT",$C26:$Q26,AD$3)=0)*(COUNTIFS($C$3:$Q$3,"NOTTE",$C26:$Q26,AD$3)=0)*(COUNTIFS($C$3:$Q$3,"NOTTE",$C25:$Q25,AD$3)=0))+((AD26&lt;&gt;"Xp")*(AD26&lt;&gt;"Xg")*(COUNTIFS($C$3:$Q$3,"POM",$C26:$Q26,AD$3)=0)*(COUNTIFS($C$3:$Q$3,"NOTTE",$C26:$Q26,AD$3)=0)*(COUNTIFS($C$3:$Q$3,"NOTTE",$C25:$Q25,AD$3)=0))+((AD26&lt;&gt;"Xn")*(COUNTIFS($C$3:$Q$3,"MAT",$C26:$Q26,AD$3)=0)*(COUNTIFS($C$3:$Q$3,"POM",$C26:$Q26,AD$3)=0)*(COUNTIFS($C$3:$Q$3,"NOTTE",$C26:$Q26,AD$3)=0)*(COUNTIFS($C$3:$Q$3,"NOTTE",$C25:$Q25,AD$3)=0))=0,"",IF(0+((AD26&lt;&gt;"Xm")*(AD26&lt;&gt;"Xg")*(COUNTIFS($C$3:$Q$3,"MAT",$C26:$Q26,AD$3)=0)*(COUNTIFS($C$3:$Q$3,"NOTTE",$C26:$Q26,AD$3)=0)*(COUNTIFS($C$3:$Q$3,"NOTTE",$C25:$Q25,AD$3)=0))+((AD26&lt;&gt;"Xp")*(AD26&lt;&gt;"Xg")*(COUNTIFS($C$3:$Q$3,"POM",$C26:$Q26,AD$3)=0)*(COUNTIFS($C$3:$Q$3,"NOTTE",$C26:$Q26,AD$3)=0)*(COUNTIFS($C$3:$Q$3,"NOTTE",$C25:$Q25,AD$3)=0))+((AD26&lt;&gt;"Xn")*(COUNTIFS($C$3:$Q$3,"MAT",$C26:$Q26,AD$3)=0)*(COUNTIFS($C$3:$Q$3,"POM",$C26:$Q26,AD$3)=0)*(COUNTIFS($C$3:$Q$3,"NOTTE",$C26:$Q26,AD$3)=0)*(COUNTIFS($C$3:$Q$3,"NOTTE",$C25:$Q25,AD$3)=0))=3,AD$3&amp;", ",AD$3&amp;IF((AD26&lt;&gt;"Xm")*(AD26&lt;&gt;"Xg")*(COUNTIFS($C$3:$Q$3,"MAT",$C26:$Q26,AD$3)=0)*(COUNTIFS($C$3:$Q$3,"NOTTE",$C26:$Q26,AD$3)=0)*(COUNTIFS($C$3:$Q$3,"NOTTE",$C25:$Q25,AD$3)=0),"_m","")&amp;IF((AD26&lt;&gt;"Xp")*(AD26&lt;&gt;"Xg")*(COUNTIFS($C$3:$Q$3,"POM",$C26:$Q26,AD$3)=0)*(COUNTIFS($C$3:$Q$3,"NOTTE",$C26:$Q26,AD$3)=0)*(COUNTIFS($C$3:$Q$3,"NOTTE",$C25:$Q25,AD$3)=0),"_p","")&amp;IF((AD26&lt;&gt;"Xn")*(COUNTIFS($C$3:$Q$3,"MAT",$C26:$Q26,AD$3)=0)*(COUNTIFS($C$3:$Q$3,"POM",$C26:$Q26,AD$3)=0)*(COUNTIFS($C$3:$Q$3,"NOTTE",$C26:$Q26,AD$3)=0)*(COUNTIFS($C$3:$Q$3,"NOTTE",$C25:$Q25,AD$3)=0),"_n","")&amp;", ")))</f>
        <v xml:space="preserve">ROSSI L, </v>
      </c>
      <c r="CH26" s="9" t="str">
        <f>IF(0+(AE26="X")&gt;0,"",IF(0+((AE26&lt;&gt;"Xm")*(AE26&lt;&gt;"Xg")*(COUNTIFS($C$3:$Q$3,"MAT",$C26:$Q26,AE$3)=0)*(COUNTIFS($C$3:$Q$3,"NOTTE",$C26:$Q26,AE$3)=0)*(COUNTIFS($C$3:$Q$3,"NOTTE",$C25:$Q25,AE$3)=0))+((AE26&lt;&gt;"Xp")*(AE26&lt;&gt;"Xg")*(COUNTIFS($C$3:$Q$3,"POM",$C26:$Q26,AE$3)=0)*(COUNTIFS($C$3:$Q$3,"NOTTE",$C26:$Q26,AE$3)=0)*(COUNTIFS($C$3:$Q$3,"NOTTE",$C25:$Q25,AE$3)=0))+((AE26&lt;&gt;"Xn")*(COUNTIFS($C$3:$Q$3,"MAT",$C26:$Q26,AE$3)=0)*(COUNTIFS($C$3:$Q$3,"POM",$C26:$Q26,AE$3)=0)*(COUNTIFS($C$3:$Q$3,"NOTTE",$C26:$Q26,AE$3)=0)*(COUNTIFS($C$3:$Q$3,"NOTTE",$C25:$Q25,AE$3)=0))=0,"",IF(0+((AE26&lt;&gt;"Xm")*(AE26&lt;&gt;"Xg")*(COUNTIFS($C$3:$Q$3,"MAT",$C26:$Q26,AE$3)=0)*(COUNTIFS($C$3:$Q$3,"NOTTE",$C26:$Q26,AE$3)=0)*(COUNTIFS($C$3:$Q$3,"NOTTE",$C25:$Q25,AE$3)=0))+((AE26&lt;&gt;"Xp")*(AE26&lt;&gt;"Xg")*(COUNTIFS($C$3:$Q$3,"POM",$C26:$Q26,AE$3)=0)*(COUNTIFS($C$3:$Q$3,"NOTTE",$C26:$Q26,AE$3)=0)*(COUNTIFS($C$3:$Q$3,"NOTTE",$C25:$Q25,AE$3)=0))+((AE26&lt;&gt;"Xn")*(COUNTIFS($C$3:$Q$3,"MAT",$C26:$Q26,AE$3)=0)*(COUNTIFS($C$3:$Q$3,"POM",$C26:$Q26,AE$3)=0)*(COUNTIFS($C$3:$Q$3,"NOTTE",$C26:$Q26,AE$3)=0)*(COUNTIFS($C$3:$Q$3,"NOTTE",$C25:$Q25,AE$3)=0))=3,AE$3&amp;", ",AE$3&amp;IF((AE26&lt;&gt;"Xm")*(AE26&lt;&gt;"Xg")*(COUNTIFS($C$3:$Q$3,"MAT",$C26:$Q26,AE$3)=0)*(COUNTIFS($C$3:$Q$3,"NOTTE",$C26:$Q26,AE$3)=0)*(COUNTIFS($C$3:$Q$3,"NOTTE",$C25:$Q25,AE$3)=0),"_m","")&amp;IF((AE26&lt;&gt;"Xp")*(AE26&lt;&gt;"Xg")*(COUNTIFS($C$3:$Q$3,"POM",$C26:$Q26,AE$3)=0)*(COUNTIFS($C$3:$Q$3,"NOTTE",$C26:$Q26,AE$3)=0)*(COUNTIFS($C$3:$Q$3,"NOTTE",$C25:$Q25,AE$3)=0),"_p","")&amp;IF((AE26&lt;&gt;"Xn")*(COUNTIFS($C$3:$Q$3,"MAT",$C26:$Q26,AE$3)=0)*(COUNTIFS($C$3:$Q$3,"POM",$C26:$Q26,AE$3)=0)*(COUNTIFS($C$3:$Q$3,"NOTTE",$C26:$Q26,AE$3)=0)*(COUNTIFS($C$3:$Q$3,"NOTTE",$C25:$Q25,AE$3)=0),"_n","")&amp;", ")))</f>
        <v xml:space="preserve">GALLINA, </v>
      </c>
      <c r="CI26" s="9" t="str">
        <f>IF(0+(AF26="X")&gt;0,"",IF(0+((AF26&lt;&gt;"Xm")*(AF26&lt;&gt;"Xg")*(COUNTIFS($C$3:$Q$3,"MAT",$C26:$Q26,AF$3)=0)*(COUNTIFS($C$3:$Q$3,"NOTTE",$C26:$Q26,AF$3)=0)*(COUNTIFS($C$3:$Q$3,"NOTTE",$C25:$Q25,AF$3)=0))+((AF26&lt;&gt;"Xp")*(AF26&lt;&gt;"Xg")*(COUNTIFS($C$3:$Q$3,"POM",$C26:$Q26,AF$3)=0)*(COUNTIFS($C$3:$Q$3,"NOTTE",$C26:$Q26,AF$3)=0)*(COUNTIFS($C$3:$Q$3,"NOTTE",$C25:$Q25,AF$3)=0))+((AF26&lt;&gt;"Xn")*(COUNTIFS($C$3:$Q$3,"MAT",$C26:$Q26,AF$3)=0)*(COUNTIFS($C$3:$Q$3,"POM",$C26:$Q26,AF$3)=0)*(COUNTIFS($C$3:$Q$3,"NOTTE",$C26:$Q26,AF$3)=0)*(COUNTIFS($C$3:$Q$3,"NOTTE",$C25:$Q25,AF$3)=0))=0,"",IF(0+((AF26&lt;&gt;"Xm")*(AF26&lt;&gt;"Xg")*(COUNTIFS($C$3:$Q$3,"MAT",$C26:$Q26,AF$3)=0)*(COUNTIFS($C$3:$Q$3,"NOTTE",$C26:$Q26,AF$3)=0)*(COUNTIFS($C$3:$Q$3,"NOTTE",$C25:$Q25,AF$3)=0))+((AF26&lt;&gt;"Xp")*(AF26&lt;&gt;"Xg")*(COUNTIFS($C$3:$Q$3,"POM",$C26:$Q26,AF$3)=0)*(COUNTIFS($C$3:$Q$3,"NOTTE",$C26:$Q26,AF$3)=0)*(COUNTIFS($C$3:$Q$3,"NOTTE",$C25:$Q25,AF$3)=0))+((AF26&lt;&gt;"Xn")*(COUNTIFS($C$3:$Q$3,"MAT",$C26:$Q26,AF$3)=0)*(COUNTIFS($C$3:$Q$3,"POM",$C26:$Q26,AF$3)=0)*(COUNTIFS($C$3:$Q$3,"NOTTE",$C26:$Q26,AF$3)=0)*(COUNTIFS($C$3:$Q$3,"NOTTE",$C25:$Q25,AF$3)=0))=3,AF$3&amp;", ",AF$3&amp;IF((AF26&lt;&gt;"Xm")*(AF26&lt;&gt;"Xg")*(COUNTIFS($C$3:$Q$3,"MAT",$C26:$Q26,AF$3)=0)*(COUNTIFS($C$3:$Q$3,"NOTTE",$C26:$Q26,AF$3)=0)*(COUNTIFS($C$3:$Q$3,"NOTTE",$C25:$Q25,AF$3)=0),"_m","")&amp;IF((AF26&lt;&gt;"Xp")*(AF26&lt;&gt;"Xg")*(COUNTIFS($C$3:$Q$3,"POM",$C26:$Q26,AF$3)=0)*(COUNTIFS($C$3:$Q$3,"NOTTE",$C26:$Q26,AF$3)=0)*(COUNTIFS($C$3:$Q$3,"NOTTE",$C25:$Q25,AF$3)=0),"_p","")&amp;IF((AF26&lt;&gt;"Xn")*(COUNTIFS($C$3:$Q$3,"MAT",$C26:$Q26,AF$3)=0)*(COUNTIFS($C$3:$Q$3,"POM",$C26:$Q26,AF$3)=0)*(COUNTIFS($C$3:$Q$3,"NOTTE",$C26:$Q26,AF$3)=0)*(COUNTIFS($C$3:$Q$3,"NOTTE",$C25:$Q25,AF$3)=0),"_n","")&amp;", ")))</f>
        <v xml:space="preserve">RUSSO, </v>
      </c>
      <c r="CJ26" s="9" t="str">
        <f>IF(0+(AG26="X")&gt;0,"",IF(0+((AG26&lt;&gt;"Xm")*(AG26&lt;&gt;"Xg")*(COUNTIFS($C$3:$Q$3,"MAT",$C26:$Q26,AG$3)=0)*(COUNTIFS($C$3:$Q$3,"NOTTE",$C26:$Q26,AG$3)=0)*(COUNTIFS($C$3:$Q$3,"NOTTE",$C25:$Q25,AG$3)=0))+((AG26&lt;&gt;"Xp")*(AG26&lt;&gt;"Xg")*(COUNTIFS($C$3:$Q$3,"POM",$C26:$Q26,AG$3)=0)*(COUNTIFS($C$3:$Q$3,"NOTTE",$C26:$Q26,AG$3)=0)*(COUNTIFS($C$3:$Q$3,"NOTTE",$C25:$Q25,AG$3)=0))+((AG26&lt;&gt;"Xn")*(COUNTIFS($C$3:$Q$3,"MAT",$C26:$Q26,AG$3)=0)*(COUNTIFS($C$3:$Q$3,"POM",$C26:$Q26,AG$3)=0)*(COUNTIFS($C$3:$Q$3,"NOTTE",$C26:$Q26,AG$3)=0)*(COUNTIFS($C$3:$Q$3,"NOTTE",$C25:$Q25,AG$3)=0))=0,"",IF(0+((AG26&lt;&gt;"Xm")*(AG26&lt;&gt;"Xg")*(COUNTIFS($C$3:$Q$3,"MAT",$C26:$Q26,AG$3)=0)*(COUNTIFS($C$3:$Q$3,"NOTTE",$C26:$Q26,AG$3)=0)*(COUNTIFS($C$3:$Q$3,"NOTTE",$C25:$Q25,AG$3)=0))+((AG26&lt;&gt;"Xp")*(AG26&lt;&gt;"Xg")*(COUNTIFS($C$3:$Q$3,"POM",$C26:$Q26,AG$3)=0)*(COUNTIFS($C$3:$Q$3,"NOTTE",$C26:$Q26,AG$3)=0)*(COUNTIFS($C$3:$Q$3,"NOTTE",$C25:$Q25,AG$3)=0))+((AG26&lt;&gt;"Xn")*(COUNTIFS($C$3:$Q$3,"MAT",$C26:$Q26,AG$3)=0)*(COUNTIFS($C$3:$Q$3,"POM",$C26:$Q26,AG$3)=0)*(COUNTIFS($C$3:$Q$3,"NOTTE",$C26:$Q26,AG$3)=0)*(COUNTIFS($C$3:$Q$3,"NOTTE",$C25:$Q25,AG$3)=0))=3,AG$3&amp;", ",AG$3&amp;IF((AG26&lt;&gt;"Xm")*(AG26&lt;&gt;"Xg")*(COUNTIFS($C$3:$Q$3,"MAT",$C26:$Q26,AG$3)=0)*(COUNTIFS($C$3:$Q$3,"NOTTE",$C26:$Q26,AG$3)=0)*(COUNTIFS($C$3:$Q$3,"NOTTE",$C25:$Q25,AG$3)=0),"_m","")&amp;IF((AG26&lt;&gt;"Xp")*(AG26&lt;&gt;"Xg")*(COUNTIFS($C$3:$Q$3,"POM",$C26:$Q26,AG$3)=0)*(COUNTIFS($C$3:$Q$3,"NOTTE",$C26:$Q26,AG$3)=0)*(COUNTIFS($C$3:$Q$3,"NOTTE",$C25:$Q25,AG$3)=0),"_p","")&amp;IF((AG26&lt;&gt;"Xn")*(COUNTIFS($C$3:$Q$3,"MAT",$C26:$Q26,AG$3)=0)*(COUNTIFS($C$3:$Q$3,"POM",$C26:$Q26,AG$3)=0)*(COUNTIFS($C$3:$Q$3,"NOTTE",$C26:$Q26,AG$3)=0)*(COUNTIFS($C$3:$Q$3,"NOTTE",$C25:$Q25,AG$3)=0),"_n","")&amp;", ")))</f>
        <v xml:space="preserve">VERDI, </v>
      </c>
      <c r="CK26" s="9" t="str">
        <f>IF(0+(AH26="X")&gt;0,"",IF(0+((AH26&lt;&gt;"Xm")*(AH26&lt;&gt;"Xg")*(COUNTIFS($C$3:$Q$3,"MAT",$C26:$Q26,AH$3)=0)*(COUNTIFS($C$3:$Q$3,"NOTTE",$C26:$Q26,AH$3)=0)*(COUNTIFS($C$3:$Q$3,"NOTTE",$C25:$Q25,AH$3)=0))+((AH26&lt;&gt;"Xp")*(AH26&lt;&gt;"Xg")*(COUNTIFS($C$3:$Q$3,"POM",$C26:$Q26,AH$3)=0)*(COUNTIFS($C$3:$Q$3,"NOTTE",$C26:$Q26,AH$3)=0)*(COUNTIFS($C$3:$Q$3,"NOTTE",$C25:$Q25,AH$3)=0))+((AH26&lt;&gt;"Xn")*(COUNTIFS($C$3:$Q$3,"MAT",$C26:$Q26,AH$3)=0)*(COUNTIFS($C$3:$Q$3,"POM",$C26:$Q26,AH$3)=0)*(COUNTIFS($C$3:$Q$3,"NOTTE",$C26:$Q26,AH$3)=0)*(COUNTIFS($C$3:$Q$3,"NOTTE",$C25:$Q25,AH$3)=0))=0,"",IF(0+((AH26&lt;&gt;"Xm")*(AH26&lt;&gt;"Xg")*(COUNTIFS($C$3:$Q$3,"MAT",$C26:$Q26,AH$3)=0)*(COUNTIFS($C$3:$Q$3,"NOTTE",$C26:$Q26,AH$3)=0)*(COUNTIFS($C$3:$Q$3,"NOTTE",$C25:$Q25,AH$3)=0))+((AH26&lt;&gt;"Xp")*(AH26&lt;&gt;"Xg")*(COUNTIFS($C$3:$Q$3,"POM",$C26:$Q26,AH$3)=0)*(COUNTIFS($C$3:$Q$3,"NOTTE",$C26:$Q26,AH$3)=0)*(COUNTIFS($C$3:$Q$3,"NOTTE",$C25:$Q25,AH$3)=0))+((AH26&lt;&gt;"Xn")*(COUNTIFS($C$3:$Q$3,"MAT",$C26:$Q26,AH$3)=0)*(COUNTIFS($C$3:$Q$3,"POM",$C26:$Q26,AH$3)=0)*(COUNTIFS($C$3:$Q$3,"NOTTE",$C26:$Q26,AH$3)=0)*(COUNTIFS($C$3:$Q$3,"NOTTE",$C25:$Q25,AH$3)=0))=3,AH$3&amp;", ",AH$3&amp;IF((AH26&lt;&gt;"Xm")*(AH26&lt;&gt;"Xg")*(COUNTIFS($C$3:$Q$3,"MAT",$C26:$Q26,AH$3)=0)*(COUNTIFS($C$3:$Q$3,"NOTTE",$C26:$Q26,AH$3)=0)*(COUNTIFS($C$3:$Q$3,"NOTTE",$C25:$Q25,AH$3)=0),"_m","")&amp;IF((AH26&lt;&gt;"Xp")*(AH26&lt;&gt;"Xg")*(COUNTIFS($C$3:$Q$3,"POM",$C26:$Q26,AH$3)=0)*(COUNTIFS($C$3:$Q$3,"NOTTE",$C26:$Q26,AH$3)=0)*(COUNTIFS($C$3:$Q$3,"NOTTE",$C25:$Q25,AH$3)=0),"_p","")&amp;IF((AH26&lt;&gt;"Xn")*(COUNTIFS($C$3:$Q$3,"MAT",$C26:$Q26,AH$3)=0)*(COUNTIFS($C$3:$Q$3,"POM",$C26:$Q26,AH$3)=0)*(COUNTIFS($C$3:$Q$3,"NOTTE",$C26:$Q26,AH$3)=0)*(COUNTIFS($C$3:$Q$3,"NOTTE",$C25:$Q25,AH$3)=0),"_n","")&amp;", ")))</f>
        <v xml:space="preserve">HU, </v>
      </c>
      <c r="CL26" s="9" t="str">
        <f>IF(0+(AI26="X")&gt;0,"",IF(0+((AI26&lt;&gt;"Xm")*(AI26&lt;&gt;"Xg")*(COUNTIFS($C$3:$Q$3,"MAT",$C26:$Q26,AI$3)=0)*(COUNTIFS($C$3:$Q$3,"NOTTE",$C26:$Q26,AI$3)=0)*(COUNTIFS($C$3:$Q$3,"NOTTE",$C25:$Q25,AI$3)=0))+((AI26&lt;&gt;"Xp")*(AI26&lt;&gt;"Xg")*(COUNTIFS($C$3:$Q$3,"POM",$C26:$Q26,AI$3)=0)*(COUNTIFS($C$3:$Q$3,"NOTTE",$C26:$Q26,AI$3)=0)*(COUNTIFS($C$3:$Q$3,"NOTTE",$C25:$Q25,AI$3)=0))+((AI26&lt;&gt;"Xn")*(COUNTIFS($C$3:$Q$3,"MAT",$C26:$Q26,AI$3)=0)*(COUNTIFS($C$3:$Q$3,"POM",$C26:$Q26,AI$3)=0)*(COUNTIFS($C$3:$Q$3,"NOTTE",$C26:$Q26,AI$3)=0)*(COUNTIFS($C$3:$Q$3,"NOTTE",$C25:$Q25,AI$3)=0))=0,"",IF(0+((AI26&lt;&gt;"Xm")*(AI26&lt;&gt;"Xg")*(COUNTIFS($C$3:$Q$3,"MAT",$C26:$Q26,AI$3)=0)*(COUNTIFS($C$3:$Q$3,"NOTTE",$C26:$Q26,AI$3)=0)*(COUNTIFS($C$3:$Q$3,"NOTTE",$C25:$Q25,AI$3)=0))+((AI26&lt;&gt;"Xp")*(AI26&lt;&gt;"Xg")*(COUNTIFS($C$3:$Q$3,"POM",$C26:$Q26,AI$3)=0)*(COUNTIFS($C$3:$Q$3,"NOTTE",$C26:$Q26,AI$3)=0)*(COUNTIFS($C$3:$Q$3,"NOTTE",$C25:$Q25,AI$3)=0))+((AI26&lt;&gt;"Xn")*(COUNTIFS($C$3:$Q$3,"MAT",$C26:$Q26,AI$3)=0)*(COUNTIFS($C$3:$Q$3,"POM",$C26:$Q26,AI$3)=0)*(COUNTIFS($C$3:$Q$3,"NOTTE",$C26:$Q26,AI$3)=0)*(COUNTIFS($C$3:$Q$3,"NOTTE",$C25:$Q25,AI$3)=0))=3,AI$3&amp;", ",AI$3&amp;IF((AI26&lt;&gt;"Xm")*(AI26&lt;&gt;"Xg")*(COUNTIFS($C$3:$Q$3,"MAT",$C26:$Q26,AI$3)=0)*(COUNTIFS($C$3:$Q$3,"NOTTE",$C26:$Q26,AI$3)=0)*(COUNTIFS($C$3:$Q$3,"NOTTE",$C25:$Q25,AI$3)=0),"_m","")&amp;IF((AI26&lt;&gt;"Xp")*(AI26&lt;&gt;"Xg")*(COUNTIFS($C$3:$Q$3,"POM",$C26:$Q26,AI$3)=0)*(COUNTIFS($C$3:$Q$3,"NOTTE",$C26:$Q26,AI$3)=0)*(COUNTIFS($C$3:$Q$3,"NOTTE",$C25:$Q25,AI$3)=0),"_p","")&amp;IF((AI26&lt;&gt;"Xn")*(COUNTIFS($C$3:$Q$3,"MAT",$C26:$Q26,AI$3)=0)*(COUNTIFS($C$3:$Q$3,"POM",$C26:$Q26,AI$3)=0)*(COUNTIFS($C$3:$Q$3,"NOTTE",$C26:$Q26,AI$3)=0)*(COUNTIFS($C$3:$Q$3,"NOTTE",$C25:$Q25,AI$3)=0),"_n","")&amp;", ")))</f>
        <v xml:space="preserve">MARINI, </v>
      </c>
      <c r="CM26" s="9" t="str">
        <f>IF(0+(AJ26="X")&gt;0,"",IF(0+((AJ26&lt;&gt;"Xm")*(AJ26&lt;&gt;"Xg")*(COUNTIFS($C$3:$Q$3,"MAT",$C26:$Q26,AJ$3)=0)*(COUNTIFS($C$3:$Q$3,"NOTTE",$C26:$Q26,AJ$3)=0)*(COUNTIFS($C$3:$Q$3,"NOTTE",$C25:$Q25,AJ$3)=0))+((AJ26&lt;&gt;"Xp")*(AJ26&lt;&gt;"Xg")*(COUNTIFS($C$3:$Q$3,"POM",$C26:$Q26,AJ$3)=0)*(COUNTIFS($C$3:$Q$3,"NOTTE",$C26:$Q26,AJ$3)=0)*(COUNTIFS($C$3:$Q$3,"NOTTE",$C25:$Q25,AJ$3)=0))+((AJ26&lt;&gt;"Xn")*(COUNTIFS($C$3:$Q$3,"MAT",$C26:$Q26,AJ$3)=0)*(COUNTIFS($C$3:$Q$3,"POM",$C26:$Q26,AJ$3)=0)*(COUNTIFS($C$3:$Q$3,"NOTTE",$C26:$Q26,AJ$3)=0)*(COUNTIFS($C$3:$Q$3,"NOTTE",$C25:$Q25,AJ$3)=0))=0,"",IF(0+((AJ26&lt;&gt;"Xm")*(AJ26&lt;&gt;"Xg")*(COUNTIFS($C$3:$Q$3,"MAT",$C26:$Q26,AJ$3)=0)*(COUNTIFS($C$3:$Q$3,"NOTTE",$C26:$Q26,AJ$3)=0)*(COUNTIFS($C$3:$Q$3,"NOTTE",$C25:$Q25,AJ$3)=0))+((AJ26&lt;&gt;"Xp")*(AJ26&lt;&gt;"Xg")*(COUNTIFS($C$3:$Q$3,"POM",$C26:$Q26,AJ$3)=0)*(COUNTIFS($C$3:$Q$3,"NOTTE",$C26:$Q26,AJ$3)=0)*(COUNTIFS($C$3:$Q$3,"NOTTE",$C25:$Q25,AJ$3)=0))+((AJ26&lt;&gt;"Xn")*(COUNTIFS($C$3:$Q$3,"MAT",$C26:$Q26,AJ$3)=0)*(COUNTIFS($C$3:$Q$3,"POM",$C26:$Q26,AJ$3)=0)*(COUNTIFS($C$3:$Q$3,"NOTTE",$C26:$Q26,AJ$3)=0)*(COUNTIFS($C$3:$Q$3,"NOTTE",$C25:$Q25,AJ$3)=0))=3,AJ$3&amp;", ",AJ$3&amp;IF((AJ26&lt;&gt;"Xm")*(AJ26&lt;&gt;"Xg")*(COUNTIFS($C$3:$Q$3,"MAT",$C26:$Q26,AJ$3)=0)*(COUNTIFS($C$3:$Q$3,"NOTTE",$C26:$Q26,AJ$3)=0)*(COUNTIFS($C$3:$Q$3,"NOTTE",$C25:$Q25,AJ$3)=0),"_m","")&amp;IF((AJ26&lt;&gt;"Xp")*(AJ26&lt;&gt;"Xg")*(COUNTIFS($C$3:$Q$3,"POM",$C26:$Q26,AJ$3)=0)*(COUNTIFS($C$3:$Q$3,"NOTTE",$C26:$Q26,AJ$3)=0)*(COUNTIFS($C$3:$Q$3,"NOTTE",$C25:$Q25,AJ$3)=0),"_p","")&amp;IF((AJ26&lt;&gt;"Xn")*(COUNTIFS($C$3:$Q$3,"MAT",$C26:$Q26,AJ$3)=0)*(COUNTIFS($C$3:$Q$3,"POM",$C26:$Q26,AJ$3)=0)*(COUNTIFS($C$3:$Q$3,"NOTTE",$C26:$Q26,AJ$3)=0)*(COUNTIFS($C$3:$Q$3,"NOTTE",$C25:$Q25,AJ$3)=0),"_n","")&amp;", ")))</f>
        <v xml:space="preserve">CONTI A, </v>
      </c>
      <c r="CN26" s="9" t="str">
        <f>IF(0+(AK26="X")&gt;0,"",IF(0+((AK26&lt;&gt;"Xm")*(AK26&lt;&gt;"Xg")*(COUNTIFS($C$3:$Q$3,"MAT",$C26:$Q26,AK$3)=0)*(COUNTIFS($C$3:$Q$3,"NOTTE",$C26:$Q26,AK$3)=0)*(COUNTIFS($C$3:$Q$3,"NOTTE",$C25:$Q25,AK$3)=0))+((AK26&lt;&gt;"Xp")*(AK26&lt;&gt;"Xg")*(COUNTIFS($C$3:$Q$3,"POM",$C26:$Q26,AK$3)=0)*(COUNTIFS($C$3:$Q$3,"NOTTE",$C26:$Q26,AK$3)=0)*(COUNTIFS($C$3:$Q$3,"NOTTE",$C25:$Q25,AK$3)=0))+((AK26&lt;&gt;"Xn")*(COUNTIFS($C$3:$Q$3,"MAT",$C26:$Q26,AK$3)=0)*(COUNTIFS($C$3:$Q$3,"POM",$C26:$Q26,AK$3)=0)*(COUNTIFS($C$3:$Q$3,"NOTTE",$C26:$Q26,AK$3)=0)*(COUNTIFS($C$3:$Q$3,"NOTTE",$C25:$Q25,AK$3)=0))=0,"",IF(0+((AK26&lt;&gt;"Xm")*(AK26&lt;&gt;"Xg")*(COUNTIFS($C$3:$Q$3,"MAT",$C26:$Q26,AK$3)=0)*(COUNTIFS($C$3:$Q$3,"NOTTE",$C26:$Q26,AK$3)=0)*(COUNTIFS($C$3:$Q$3,"NOTTE",$C25:$Q25,AK$3)=0))+((AK26&lt;&gt;"Xp")*(AK26&lt;&gt;"Xg")*(COUNTIFS($C$3:$Q$3,"POM",$C26:$Q26,AK$3)=0)*(COUNTIFS($C$3:$Q$3,"NOTTE",$C26:$Q26,AK$3)=0)*(COUNTIFS($C$3:$Q$3,"NOTTE",$C25:$Q25,AK$3)=0))+((AK26&lt;&gt;"Xn")*(COUNTIFS($C$3:$Q$3,"MAT",$C26:$Q26,AK$3)=0)*(COUNTIFS($C$3:$Q$3,"POM",$C26:$Q26,AK$3)=0)*(COUNTIFS($C$3:$Q$3,"NOTTE",$C26:$Q26,AK$3)=0)*(COUNTIFS($C$3:$Q$3,"NOTTE",$C25:$Q25,AK$3)=0))=3,AK$3&amp;", ",AK$3&amp;IF((AK26&lt;&gt;"Xm")*(AK26&lt;&gt;"Xg")*(COUNTIFS($C$3:$Q$3,"MAT",$C26:$Q26,AK$3)=0)*(COUNTIFS($C$3:$Q$3,"NOTTE",$C26:$Q26,AK$3)=0)*(COUNTIFS($C$3:$Q$3,"NOTTE",$C25:$Q25,AK$3)=0),"_m","")&amp;IF((AK26&lt;&gt;"Xp")*(AK26&lt;&gt;"Xg")*(COUNTIFS($C$3:$Q$3,"POM",$C26:$Q26,AK$3)=0)*(COUNTIFS($C$3:$Q$3,"NOTTE",$C26:$Q26,AK$3)=0)*(COUNTIFS($C$3:$Q$3,"NOTTE",$C25:$Q25,AK$3)=0),"_p","")&amp;IF((AK26&lt;&gt;"Xn")*(COUNTIFS($C$3:$Q$3,"MAT",$C26:$Q26,AK$3)=0)*(COUNTIFS($C$3:$Q$3,"POM",$C26:$Q26,AK$3)=0)*(COUNTIFS($C$3:$Q$3,"NOTTE",$C26:$Q26,AK$3)=0)*(COUNTIFS($C$3:$Q$3,"NOTTE",$C25:$Q25,AK$3)=0),"_n","")&amp;", ")))</f>
        <v xml:space="preserve">CONTI S, </v>
      </c>
      <c r="CO26" s="9" t="str">
        <f>IF(0+(AL26="X")&gt;0,"",IF(0+((AL26&lt;&gt;"Xm")*(AL26&lt;&gt;"Xg")*(COUNTIFS($C$3:$Q$3,"MAT",$C26:$Q26,AL$3)=0)*(COUNTIFS($C$3:$Q$3,"NOTTE",$C26:$Q26,AL$3)=0)*(COUNTIFS($C$3:$Q$3,"NOTTE",$C25:$Q25,AL$3)=0))+((AL26&lt;&gt;"Xp")*(AL26&lt;&gt;"Xg")*(COUNTIFS($C$3:$Q$3,"POM",$C26:$Q26,AL$3)=0)*(COUNTIFS($C$3:$Q$3,"NOTTE",$C26:$Q26,AL$3)=0)*(COUNTIFS($C$3:$Q$3,"NOTTE",$C25:$Q25,AL$3)=0))+((AL26&lt;&gt;"Xn")*(COUNTIFS($C$3:$Q$3,"MAT",$C26:$Q26,AL$3)=0)*(COUNTIFS($C$3:$Q$3,"POM",$C26:$Q26,AL$3)=0)*(COUNTIFS($C$3:$Q$3,"NOTTE",$C26:$Q26,AL$3)=0)*(COUNTIFS($C$3:$Q$3,"NOTTE",$C25:$Q25,AL$3)=0))=0,"",IF(0+((AL26&lt;&gt;"Xm")*(AL26&lt;&gt;"Xg")*(COUNTIFS($C$3:$Q$3,"MAT",$C26:$Q26,AL$3)=0)*(COUNTIFS($C$3:$Q$3,"NOTTE",$C26:$Q26,AL$3)=0)*(COUNTIFS($C$3:$Q$3,"NOTTE",$C25:$Q25,AL$3)=0))+((AL26&lt;&gt;"Xp")*(AL26&lt;&gt;"Xg")*(COUNTIFS($C$3:$Q$3,"POM",$C26:$Q26,AL$3)=0)*(COUNTIFS($C$3:$Q$3,"NOTTE",$C26:$Q26,AL$3)=0)*(COUNTIFS($C$3:$Q$3,"NOTTE",$C25:$Q25,AL$3)=0))+((AL26&lt;&gt;"Xn")*(COUNTIFS($C$3:$Q$3,"MAT",$C26:$Q26,AL$3)=0)*(COUNTIFS($C$3:$Q$3,"POM",$C26:$Q26,AL$3)=0)*(COUNTIFS($C$3:$Q$3,"NOTTE",$C26:$Q26,AL$3)=0)*(COUNTIFS($C$3:$Q$3,"NOTTE",$C25:$Q25,AL$3)=0))=3,AL$3&amp;", ",AL$3&amp;IF((AL26&lt;&gt;"Xm")*(AL26&lt;&gt;"Xg")*(COUNTIFS($C$3:$Q$3,"MAT",$C26:$Q26,AL$3)=0)*(COUNTIFS($C$3:$Q$3,"NOTTE",$C26:$Q26,AL$3)=0)*(COUNTIFS($C$3:$Q$3,"NOTTE",$C25:$Q25,AL$3)=0),"_m","")&amp;IF((AL26&lt;&gt;"Xp")*(AL26&lt;&gt;"Xg")*(COUNTIFS($C$3:$Q$3,"POM",$C26:$Q26,AL$3)=0)*(COUNTIFS($C$3:$Q$3,"NOTTE",$C26:$Q26,AL$3)=0)*(COUNTIFS($C$3:$Q$3,"NOTTE",$C25:$Q25,AL$3)=0),"_p","")&amp;IF((AL26&lt;&gt;"Xn")*(COUNTIFS($C$3:$Q$3,"MAT",$C26:$Q26,AL$3)=0)*(COUNTIFS($C$3:$Q$3,"POM",$C26:$Q26,AL$3)=0)*(COUNTIFS($C$3:$Q$3,"NOTTE",$C26:$Q26,AL$3)=0)*(COUNTIFS($C$3:$Q$3,"NOTTE",$C25:$Q25,AL$3)=0),"_n","")&amp;", ")))</f>
        <v xml:space="preserve">FERRARI, </v>
      </c>
      <c r="CP26" s="9" t="str">
        <f>IF(0+(AM26="X")&gt;0,"",IF(0+((AM26&lt;&gt;"Xm")*(AM26&lt;&gt;"Xg")*(COUNTIFS($C$3:$Q$3,"MAT",$C26:$Q26,AM$3)=0)*(COUNTIFS($C$3:$Q$3,"NOTTE",$C26:$Q26,AM$3)=0)*(COUNTIFS($C$3:$Q$3,"NOTTE",$C25:$Q25,AM$3)=0))+((AM26&lt;&gt;"Xp")*(AM26&lt;&gt;"Xg")*(COUNTIFS($C$3:$Q$3,"POM",$C26:$Q26,AM$3)=0)*(COUNTIFS($C$3:$Q$3,"NOTTE",$C26:$Q26,AM$3)=0)*(COUNTIFS($C$3:$Q$3,"NOTTE",$C25:$Q25,AM$3)=0))+((AM26&lt;&gt;"Xn")*(COUNTIFS($C$3:$Q$3,"MAT",$C26:$Q26,AM$3)=0)*(COUNTIFS($C$3:$Q$3,"POM",$C26:$Q26,AM$3)=0)*(COUNTIFS($C$3:$Q$3,"NOTTE",$C26:$Q26,AM$3)=0)*(COUNTIFS($C$3:$Q$3,"NOTTE",$C25:$Q25,AM$3)=0))=0,"",IF(0+((AM26&lt;&gt;"Xm")*(AM26&lt;&gt;"Xg")*(COUNTIFS($C$3:$Q$3,"MAT",$C26:$Q26,AM$3)=0)*(COUNTIFS($C$3:$Q$3,"NOTTE",$C26:$Q26,AM$3)=0)*(COUNTIFS($C$3:$Q$3,"NOTTE",$C25:$Q25,AM$3)=0))+((AM26&lt;&gt;"Xp")*(AM26&lt;&gt;"Xg")*(COUNTIFS($C$3:$Q$3,"POM",$C26:$Q26,AM$3)=0)*(COUNTIFS($C$3:$Q$3,"NOTTE",$C26:$Q26,AM$3)=0)*(COUNTIFS($C$3:$Q$3,"NOTTE",$C25:$Q25,AM$3)=0))+((AM26&lt;&gt;"Xn")*(COUNTIFS($C$3:$Q$3,"MAT",$C26:$Q26,AM$3)=0)*(COUNTIFS($C$3:$Q$3,"POM",$C26:$Q26,AM$3)=0)*(COUNTIFS($C$3:$Q$3,"NOTTE",$C26:$Q26,AM$3)=0)*(COUNTIFS($C$3:$Q$3,"NOTTE",$C25:$Q25,AM$3)=0))=3,AM$3&amp;", ",AM$3&amp;IF((AM26&lt;&gt;"Xm")*(AM26&lt;&gt;"Xg")*(COUNTIFS($C$3:$Q$3,"MAT",$C26:$Q26,AM$3)=0)*(COUNTIFS($C$3:$Q$3,"NOTTE",$C26:$Q26,AM$3)=0)*(COUNTIFS($C$3:$Q$3,"NOTTE",$C25:$Q25,AM$3)=0),"_m","")&amp;IF((AM26&lt;&gt;"Xp")*(AM26&lt;&gt;"Xg")*(COUNTIFS($C$3:$Q$3,"POM",$C26:$Q26,AM$3)=0)*(COUNTIFS($C$3:$Q$3,"NOTTE",$C26:$Q26,AM$3)=0)*(COUNTIFS($C$3:$Q$3,"NOTTE",$C25:$Q25,AM$3)=0),"_p","")&amp;IF((AM26&lt;&gt;"Xn")*(COUNTIFS($C$3:$Q$3,"MAT",$C26:$Q26,AM$3)=0)*(COUNTIFS($C$3:$Q$3,"POM",$C26:$Q26,AM$3)=0)*(COUNTIFS($C$3:$Q$3,"NOTTE",$C26:$Q26,AM$3)=0)*(COUNTIFS($C$3:$Q$3,"NOTTE",$C25:$Q25,AM$3)=0),"_n","")&amp;", ")))</f>
        <v xml:space="preserve">GRECO, </v>
      </c>
      <c r="CQ26" s="9" t="str">
        <f>IF(0+(AN26="X")&gt;0,"",IF(0+((AN26&lt;&gt;"Xm")*(AN26&lt;&gt;"Xg")*(COUNTIFS($C$3:$Q$3,"MAT",$C26:$Q26,AN$3)=0)*(COUNTIFS($C$3:$Q$3,"NOTTE",$C26:$Q26,AN$3)=0)*(COUNTIFS($C$3:$Q$3,"NOTTE",$C25:$Q25,AN$3)=0))+((AN26&lt;&gt;"Xp")*(AN26&lt;&gt;"Xg")*(COUNTIFS($C$3:$Q$3,"POM",$C26:$Q26,AN$3)=0)*(COUNTIFS($C$3:$Q$3,"NOTTE",$C26:$Q26,AN$3)=0)*(COUNTIFS($C$3:$Q$3,"NOTTE",$C25:$Q25,AN$3)=0))+((AN26&lt;&gt;"Xn")*(COUNTIFS($C$3:$Q$3,"MAT",$C26:$Q26,AN$3)=0)*(COUNTIFS($C$3:$Q$3,"POM",$C26:$Q26,AN$3)=0)*(COUNTIFS($C$3:$Q$3,"NOTTE",$C26:$Q26,AN$3)=0)*(COUNTIFS($C$3:$Q$3,"NOTTE",$C25:$Q25,AN$3)=0))=0,"",IF(0+((AN26&lt;&gt;"Xm")*(AN26&lt;&gt;"Xg")*(COUNTIFS($C$3:$Q$3,"MAT",$C26:$Q26,AN$3)=0)*(COUNTIFS($C$3:$Q$3,"NOTTE",$C26:$Q26,AN$3)=0)*(COUNTIFS($C$3:$Q$3,"NOTTE",$C25:$Q25,AN$3)=0))+((AN26&lt;&gt;"Xp")*(AN26&lt;&gt;"Xg")*(COUNTIFS($C$3:$Q$3,"POM",$C26:$Q26,AN$3)=0)*(COUNTIFS($C$3:$Q$3,"NOTTE",$C26:$Q26,AN$3)=0)*(COUNTIFS($C$3:$Q$3,"NOTTE",$C25:$Q25,AN$3)=0))+((AN26&lt;&gt;"Xn")*(COUNTIFS($C$3:$Q$3,"MAT",$C26:$Q26,AN$3)=0)*(COUNTIFS($C$3:$Q$3,"POM",$C26:$Q26,AN$3)=0)*(COUNTIFS($C$3:$Q$3,"NOTTE",$C26:$Q26,AN$3)=0)*(COUNTIFS($C$3:$Q$3,"NOTTE",$C25:$Q25,AN$3)=0))=3,AN$3&amp;", ",AN$3&amp;IF((AN26&lt;&gt;"Xm")*(AN26&lt;&gt;"Xg")*(COUNTIFS($C$3:$Q$3,"MAT",$C26:$Q26,AN$3)=0)*(COUNTIFS($C$3:$Q$3,"NOTTE",$C26:$Q26,AN$3)=0)*(COUNTIFS($C$3:$Q$3,"NOTTE",$C25:$Q25,AN$3)=0),"_m","")&amp;IF((AN26&lt;&gt;"Xp")*(AN26&lt;&gt;"Xg")*(COUNTIFS($C$3:$Q$3,"POM",$C26:$Q26,AN$3)=0)*(COUNTIFS($C$3:$Q$3,"NOTTE",$C26:$Q26,AN$3)=0)*(COUNTIFS($C$3:$Q$3,"NOTTE",$C25:$Q25,AN$3)=0),"_p","")&amp;IF((AN26&lt;&gt;"Xn")*(COUNTIFS($C$3:$Q$3,"MAT",$C26:$Q26,AN$3)=0)*(COUNTIFS($C$3:$Q$3,"POM",$C26:$Q26,AN$3)=0)*(COUNTIFS($C$3:$Q$3,"NOTTE",$C26:$Q26,AN$3)=0)*(COUNTIFS($C$3:$Q$3,"NOTTE",$C25:$Q25,AN$3)=0),"_n","")&amp;", ")))</f>
        <v xml:space="preserve">SANNA, </v>
      </c>
      <c r="CR26" s="9" t="str">
        <f>IF(0+(AO26="X")&gt;0,"",IF(0+((AO26&lt;&gt;"Xm")*(AO26&lt;&gt;"Xg")*(COUNTIFS($C$3:$Q$3,"MAT",$C26:$Q26,AO$3)=0)*(COUNTIFS($C$3:$Q$3,"NOTTE",$C26:$Q26,AO$3)=0)*(COUNTIFS($C$3:$Q$3,"NOTTE",$C25:$Q25,AO$3)=0))+((AO26&lt;&gt;"Xp")*(AO26&lt;&gt;"Xg")*(COUNTIFS($C$3:$Q$3,"POM",$C26:$Q26,AO$3)=0)*(COUNTIFS($C$3:$Q$3,"NOTTE",$C26:$Q26,AO$3)=0)*(COUNTIFS($C$3:$Q$3,"NOTTE",$C25:$Q25,AO$3)=0))+((AO26&lt;&gt;"Xn")*(COUNTIFS($C$3:$Q$3,"MAT",$C26:$Q26,AO$3)=0)*(COUNTIFS($C$3:$Q$3,"POM",$C26:$Q26,AO$3)=0)*(COUNTIFS($C$3:$Q$3,"NOTTE",$C26:$Q26,AO$3)=0)*(COUNTIFS($C$3:$Q$3,"NOTTE",$C25:$Q25,AO$3)=0))=0,"",IF(0+((AO26&lt;&gt;"Xm")*(AO26&lt;&gt;"Xg")*(COUNTIFS($C$3:$Q$3,"MAT",$C26:$Q26,AO$3)=0)*(COUNTIFS($C$3:$Q$3,"NOTTE",$C26:$Q26,AO$3)=0)*(COUNTIFS($C$3:$Q$3,"NOTTE",$C25:$Q25,AO$3)=0))+((AO26&lt;&gt;"Xp")*(AO26&lt;&gt;"Xg")*(COUNTIFS($C$3:$Q$3,"POM",$C26:$Q26,AO$3)=0)*(COUNTIFS($C$3:$Q$3,"NOTTE",$C26:$Q26,AO$3)=0)*(COUNTIFS($C$3:$Q$3,"NOTTE",$C25:$Q25,AO$3)=0))+((AO26&lt;&gt;"Xn")*(COUNTIFS($C$3:$Q$3,"MAT",$C26:$Q26,AO$3)=0)*(COUNTIFS($C$3:$Q$3,"POM",$C26:$Q26,AO$3)=0)*(COUNTIFS($C$3:$Q$3,"NOTTE",$C26:$Q26,AO$3)=0)*(COUNTIFS($C$3:$Q$3,"NOTTE",$C25:$Q25,AO$3)=0))=3,AO$3&amp;", ",AO$3&amp;IF((AO26&lt;&gt;"Xm")*(AO26&lt;&gt;"Xg")*(COUNTIFS($C$3:$Q$3,"MAT",$C26:$Q26,AO$3)=0)*(COUNTIFS($C$3:$Q$3,"NOTTE",$C26:$Q26,AO$3)=0)*(COUNTIFS($C$3:$Q$3,"NOTTE",$C25:$Q25,AO$3)=0),"_m","")&amp;IF((AO26&lt;&gt;"Xp")*(AO26&lt;&gt;"Xg")*(COUNTIFS($C$3:$Q$3,"POM",$C26:$Q26,AO$3)=0)*(COUNTIFS($C$3:$Q$3,"NOTTE",$C26:$Q26,AO$3)=0)*(COUNTIFS($C$3:$Q$3,"NOTTE",$C25:$Q25,AO$3)=0),"_p","")&amp;IF((AO26&lt;&gt;"Xn")*(COUNTIFS($C$3:$Q$3,"MAT",$C26:$Q26,AO$3)=0)*(COUNTIFS($C$3:$Q$3,"POM",$C26:$Q26,AO$3)=0)*(COUNTIFS($C$3:$Q$3,"NOTTE",$C26:$Q26,AO$3)=0)*(COUNTIFS($C$3:$Q$3,"NOTTE",$C25:$Q25,AO$3)=0),"_n","")&amp;", ")))</f>
        <v xml:space="preserve">LI, </v>
      </c>
    </row>
    <row r="27">
      <c r="A27" s="10" t="str">
        <f>CHOOSE(WEEKDAY(DATE($B$1,$A$2,B27),2),"lunedì","martedì","mercoledì","giovedì","venerdì","sabato","domenica")</f>
        <v>martedì</v>
      </c>
      <c r="B27" s="10" t="n">
        <v>24</v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4" t="n"/>
      <c r="Q27" s="11" t="n"/>
      <c r="R27" s="11" t="n"/>
      <c r="S27" s="11">
        <f>IF(SUMPRODUCT(($C$3:$Q$3&lt;&gt;"")*($C27:$Q27&lt;&gt;"")*(LEFT($C27:$Q27,6)&lt;&gt;"chiuso")*(COUNTIFS($C27:$Q27,$C27:$Q27,$C$3:$Q$3,$C$3:$Q$3)&gt;1))&gt;0,"X","")</f>
      </c>
      <c r="T27" s="11" t="str">
        <f>IF(LEN(BP27&amp;BQ27&amp;BR27&amp;BS27&amp;BT27&amp;BU27&amp;BV27&amp;BW27&amp;BX27&amp;BY27&amp;BZ27&amp;CA27&amp;CB27&amp;CC27)=0,"",LEFT(BP27&amp;BQ27&amp;BR27&amp;BS27&amp;BT27&amp;BU27&amp;BV27&amp;BW27&amp;BX27&amp;BY27&amp;BZ27&amp;CA27&amp;CB27&amp;CC27,LEN(BP27&amp;BQ27&amp;BR27&amp;BS27&amp;BT27&amp;BU27&amp;BV27&amp;BW27&amp;BX27&amp;BY27&amp;BZ27&amp;CA27&amp;CB27&amp;CC27)-2))</f>
        <v>LEONI, ROSSI M, ROSSI L, GALLINA, RUSSO, VERDI, HU, MARINI, CONTI A, CONTI S, FERRARI, GRECO, SANNA, LI</v>
      </c>
      <c r="U27" s="11" t="str">
        <f>IF(LEN(CE27&amp;CF27&amp;CG27&amp;CH27&amp;CI27&amp;CJ27&amp;CK27&amp;CL27&amp;CM27&amp;CN27&amp;CO27&amp;CP27&amp;CQ27&amp;CR27)=0,"",LEFT(CE27&amp;CF27&amp;CG27&amp;CH27&amp;CI27&amp;CJ27&amp;CK27&amp;CL27&amp;CM27&amp;CN27&amp;CO27&amp;CP27&amp;CQ27&amp;CR27,LEN(CE27&amp;CF27&amp;CG27&amp;CH27&amp;CI27&amp;CJ27&amp;CK27&amp;CL27&amp;CM27&amp;CN27&amp;CO27&amp;CP27&amp;CQ27&amp;CR27)-2))</f>
        <v>LEONI, ROSSI M, ROSSI L, GALLINA, RUSSO, VERDI, HU, MARINI, CONTI A, CONTI S, FERRARI, GRECO, SANNA, LI</v>
      </c>
      <c r="Z27" s="10" t="str">
        <f>A27</f>
        <v>martedì</v>
      </c>
      <c r="AA27" s="10">
        <f>B27</f>
        <v>24</v>
      </c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BP27" s="9" t="str">
        <f>IF(0+(AB27="X")&gt;0,"",IF(0+((AB27&lt;&gt;"Xm")*(AB27&lt;&gt;"Xg"))+((AB27&lt;&gt;"Xp")*(AB27&lt;&gt;"Xg"))+((AB27&lt;&gt;"Xn"))=0,"",IF(0+((AB27&lt;&gt;"Xm")*(AB27&lt;&gt;"Xg"))+((AB27&lt;&gt;"Xp")*(AB27&lt;&gt;"Xg"))+((AB27&lt;&gt;"Xn"))=3,AB$3&amp;", ",AB$3&amp;IF((AB27&lt;&gt;"Xm")*(AB27&lt;&gt;"Xg"),"_m","")&amp;IF((AB27&lt;&gt;"Xp")*(AB27&lt;&gt;"Xg"),"_p","")&amp;IF((AB27&lt;&gt;"Xn"),"_n","")&amp;", ")))</f>
        <v xml:space="preserve">LEONI, </v>
      </c>
      <c r="BQ27" s="9" t="str">
        <f>IF(0+(AC27="X")&gt;0,"",IF(0+((AC27&lt;&gt;"Xm")*(AC27&lt;&gt;"Xg"))+((AC27&lt;&gt;"Xp")*(AC27&lt;&gt;"Xg"))+((AC27&lt;&gt;"Xn"))=0,"",IF(0+((AC27&lt;&gt;"Xm")*(AC27&lt;&gt;"Xg"))+((AC27&lt;&gt;"Xp")*(AC27&lt;&gt;"Xg"))+((AC27&lt;&gt;"Xn"))=3,AC$3&amp;", ",AC$3&amp;IF((AC27&lt;&gt;"Xm")*(AC27&lt;&gt;"Xg"),"_m","")&amp;IF((AC27&lt;&gt;"Xp")*(AC27&lt;&gt;"Xg"),"_p","")&amp;IF((AC27&lt;&gt;"Xn"),"_n","")&amp;", ")))</f>
        <v xml:space="preserve">ROSSI M, </v>
      </c>
      <c r="BR27" s="9" t="str">
        <f>IF(0+(AD27="X")&gt;0,"",IF(0+((AD27&lt;&gt;"Xm")*(AD27&lt;&gt;"Xg"))+((AD27&lt;&gt;"Xp")*(AD27&lt;&gt;"Xg"))+((AD27&lt;&gt;"Xn"))=0,"",IF(0+((AD27&lt;&gt;"Xm")*(AD27&lt;&gt;"Xg"))+((AD27&lt;&gt;"Xp")*(AD27&lt;&gt;"Xg"))+((AD27&lt;&gt;"Xn"))=3,AD$3&amp;", ",AD$3&amp;IF((AD27&lt;&gt;"Xm")*(AD27&lt;&gt;"Xg"),"_m","")&amp;IF((AD27&lt;&gt;"Xp")*(AD27&lt;&gt;"Xg"),"_p","")&amp;IF((AD27&lt;&gt;"Xn"),"_n","")&amp;", ")))</f>
        <v xml:space="preserve">ROSSI L, </v>
      </c>
      <c r="BS27" s="9" t="str">
        <f>IF(0+(AE27="X")&gt;0,"",IF(0+((AE27&lt;&gt;"Xm")*(AE27&lt;&gt;"Xg"))+((AE27&lt;&gt;"Xp")*(AE27&lt;&gt;"Xg"))+((AE27&lt;&gt;"Xn"))=0,"",IF(0+((AE27&lt;&gt;"Xm")*(AE27&lt;&gt;"Xg"))+((AE27&lt;&gt;"Xp")*(AE27&lt;&gt;"Xg"))+((AE27&lt;&gt;"Xn"))=3,AE$3&amp;", ",AE$3&amp;IF((AE27&lt;&gt;"Xm")*(AE27&lt;&gt;"Xg"),"_m","")&amp;IF((AE27&lt;&gt;"Xp")*(AE27&lt;&gt;"Xg"),"_p","")&amp;IF((AE27&lt;&gt;"Xn"),"_n","")&amp;", ")))</f>
        <v xml:space="preserve">GALLINA, </v>
      </c>
      <c r="BT27" s="9" t="str">
        <f>IF(0+(AF27="X")&gt;0,"",IF(0+((AF27&lt;&gt;"Xm")*(AF27&lt;&gt;"Xg"))+((AF27&lt;&gt;"Xp")*(AF27&lt;&gt;"Xg"))+((AF27&lt;&gt;"Xn"))=0,"",IF(0+((AF27&lt;&gt;"Xm")*(AF27&lt;&gt;"Xg"))+((AF27&lt;&gt;"Xp")*(AF27&lt;&gt;"Xg"))+((AF27&lt;&gt;"Xn"))=3,AF$3&amp;", ",AF$3&amp;IF((AF27&lt;&gt;"Xm")*(AF27&lt;&gt;"Xg"),"_m","")&amp;IF((AF27&lt;&gt;"Xp")*(AF27&lt;&gt;"Xg"),"_p","")&amp;IF((AF27&lt;&gt;"Xn"),"_n","")&amp;", ")))</f>
        <v xml:space="preserve">RUSSO, </v>
      </c>
      <c r="BU27" s="9" t="str">
        <f>IF(0+(AG27="X")&gt;0,"",IF(0+((AG27&lt;&gt;"Xm")*(AG27&lt;&gt;"Xg"))+((AG27&lt;&gt;"Xp")*(AG27&lt;&gt;"Xg"))+((AG27&lt;&gt;"Xn"))=0,"",IF(0+((AG27&lt;&gt;"Xm")*(AG27&lt;&gt;"Xg"))+((AG27&lt;&gt;"Xp")*(AG27&lt;&gt;"Xg"))+((AG27&lt;&gt;"Xn"))=3,AG$3&amp;", ",AG$3&amp;IF((AG27&lt;&gt;"Xm")*(AG27&lt;&gt;"Xg"),"_m","")&amp;IF((AG27&lt;&gt;"Xp")*(AG27&lt;&gt;"Xg"),"_p","")&amp;IF((AG27&lt;&gt;"Xn"),"_n","")&amp;", ")))</f>
        <v xml:space="preserve">VERDI, </v>
      </c>
      <c r="BV27" s="9" t="str">
        <f>IF(0+(AH27="X")&gt;0,"",IF(0+((AH27&lt;&gt;"Xm")*(AH27&lt;&gt;"Xg"))+((AH27&lt;&gt;"Xp")*(AH27&lt;&gt;"Xg"))+((AH27&lt;&gt;"Xn"))=0,"",IF(0+((AH27&lt;&gt;"Xm")*(AH27&lt;&gt;"Xg"))+((AH27&lt;&gt;"Xp")*(AH27&lt;&gt;"Xg"))+((AH27&lt;&gt;"Xn"))=3,AH$3&amp;", ",AH$3&amp;IF((AH27&lt;&gt;"Xm")*(AH27&lt;&gt;"Xg"),"_m","")&amp;IF((AH27&lt;&gt;"Xp")*(AH27&lt;&gt;"Xg"),"_p","")&amp;IF((AH27&lt;&gt;"Xn"),"_n","")&amp;", ")))</f>
        <v xml:space="preserve">HU, </v>
      </c>
      <c r="BW27" s="9" t="str">
        <f>IF(0+(AI27="X")&gt;0,"",IF(0+((AI27&lt;&gt;"Xm")*(AI27&lt;&gt;"Xg"))+((AI27&lt;&gt;"Xp")*(AI27&lt;&gt;"Xg"))+((AI27&lt;&gt;"Xn"))=0,"",IF(0+((AI27&lt;&gt;"Xm")*(AI27&lt;&gt;"Xg"))+((AI27&lt;&gt;"Xp")*(AI27&lt;&gt;"Xg"))+((AI27&lt;&gt;"Xn"))=3,AI$3&amp;", ",AI$3&amp;IF((AI27&lt;&gt;"Xm")*(AI27&lt;&gt;"Xg"),"_m","")&amp;IF((AI27&lt;&gt;"Xp")*(AI27&lt;&gt;"Xg"),"_p","")&amp;IF((AI27&lt;&gt;"Xn"),"_n","")&amp;", ")))</f>
        <v xml:space="preserve">MARINI, </v>
      </c>
      <c r="BX27" s="9" t="str">
        <f>IF(0+(AJ27="X")&gt;0,"",IF(0+((AJ27&lt;&gt;"Xm")*(AJ27&lt;&gt;"Xg"))+((AJ27&lt;&gt;"Xp")*(AJ27&lt;&gt;"Xg"))+((AJ27&lt;&gt;"Xn"))=0,"",IF(0+((AJ27&lt;&gt;"Xm")*(AJ27&lt;&gt;"Xg"))+((AJ27&lt;&gt;"Xp")*(AJ27&lt;&gt;"Xg"))+((AJ27&lt;&gt;"Xn"))=3,AJ$3&amp;", ",AJ$3&amp;IF((AJ27&lt;&gt;"Xm")*(AJ27&lt;&gt;"Xg"),"_m","")&amp;IF((AJ27&lt;&gt;"Xp")*(AJ27&lt;&gt;"Xg"),"_p","")&amp;IF((AJ27&lt;&gt;"Xn"),"_n","")&amp;", ")))</f>
        <v xml:space="preserve">CONTI A, </v>
      </c>
      <c r="BY27" s="9" t="str">
        <f>IF(0+(AK27="X")&gt;0,"",IF(0+((AK27&lt;&gt;"Xm")*(AK27&lt;&gt;"Xg"))+((AK27&lt;&gt;"Xp")*(AK27&lt;&gt;"Xg"))+((AK27&lt;&gt;"Xn"))=0,"",IF(0+((AK27&lt;&gt;"Xm")*(AK27&lt;&gt;"Xg"))+((AK27&lt;&gt;"Xp")*(AK27&lt;&gt;"Xg"))+((AK27&lt;&gt;"Xn"))=3,AK$3&amp;", ",AK$3&amp;IF((AK27&lt;&gt;"Xm")*(AK27&lt;&gt;"Xg"),"_m","")&amp;IF((AK27&lt;&gt;"Xp")*(AK27&lt;&gt;"Xg"),"_p","")&amp;IF((AK27&lt;&gt;"Xn"),"_n","")&amp;", ")))</f>
        <v xml:space="preserve">CONTI S, </v>
      </c>
      <c r="BZ27" s="9" t="str">
        <f>IF(0+(AL27="X")&gt;0,"",IF(0+((AL27&lt;&gt;"Xm")*(AL27&lt;&gt;"Xg"))+((AL27&lt;&gt;"Xp")*(AL27&lt;&gt;"Xg"))+((AL27&lt;&gt;"Xn"))=0,"",IF(0+((AL27&lt;&gt;"Xm")*(AL27&lt;&gt;"Xg"))+((AL27&lt;&gt;"Xp")*(AL27&lt;&gt;"Xg"))+((AL27&lt;&gt;"Xn"))=3,AL$3&amp;", ",AL$3&amp;IF((AL27&lt;&gt;"Xm")*(AL27&lt;&gt;"Xg"),"_m","")&amp;IF((AL27&lt;&gt;"Xp")*(AL27&lt;&gt;"Xg"),"_p","")&amp;IF((AL27&lt;&gt;"Xn"),"_n","")&amp;", ")))</f>
        <v xml:space="preserve">FERRARI, </v>
      </c>
      <c r="CA27" s="9" t="str">
        <f>IF(0+(AM27="X")&gt;0,"",IF(0+((AM27&lt;&gt;"Xm")*(AM27&lt;&gt;"Xg"))+((AM27&lt;&gt;"Xp")*(AM27&lt;&gt;"Xg"))+((AM27&lt;&gt;"Xn"))=0,"",IF(0+((AM27&lt;&gt;"Xm")*(AM27&lt;&gt;"Xg"))+((AM27&lt;&gt;"Xp")*(AM27&lt;&gt;"Xg"))+((AM27&lt;&gt;"Xn"))=3,AM$3&amp;", ",AM$3&amp;IF((AM27&lt;&gt;"Xm")*(AM27&lt;&gt;"Xg"),"_m","")&amp;IF((AM27&lt;&gt;"Xp")*(AM27&lt;&gt;"Xg"),"_p","")&amp;IF((AM27&lt;&gt;"Xn"),"_n","")&amp;", ")))</f>
        <v xml:space="preserve">GRECO, </v>
      </c>
      <c r="CB27" s="9" t="str">
        <f>IF(0+(AN27="X")&gt;0,"",IF(0+((AN27&lt;&gt;"Xm")*(AN27&lt;&gt;"Xg"))+((AN27&lt;&gt;"Xp")*(AN27&lt;&gt;"Xg"))+((AN27&lt;&gt;"Xn"))=0,"",IF(0+((AN27&lt;&gt;"Xm")*(AN27&lt;&gt;"Xg"))+((AN27&lt;&gt;"Xp")*(AN27&lt;&gt;"Xg"))+((AN27&lt;&gt;"Xn"))=3,AN$3&amp;", ",AN$3&amp;IF((AN27&lt;&gt;"Xm")*(AN27&lt;&gt;"Xg"),"_m","")&amp;IF((AN27&lt;&gt;"Xp")*(AN27&lt;&gt;"Xg"),"_p","")&amp;IF((AN27&lt;&gt;"Xn"),"_n","")&amp;", ")))</f>
        <v xml:space="preserve">SANNA, </v>
      </c>
      <c r="CC27" s="9" t="str">
        <f>IF(0+(AO27="X")&gt;0,"",IF(0+((AO27&lt;&gt;"Xm")*(AO27&lt;&gt;"Xg"))+((AO27&lt;&gt;"Xp")*(AO27&lt;&gt;"Xg"))+((AO27&lt;&gt;"Xn"))=0,"",IF(0+((AO27&lt;&gt;"Xm")*(AO27&lt;&gt;"Xg"))+((AO27&lt;&gt;"Xp")*(AO27&lt;&gt;"Xg"))+((AO27&lt;&gt;"Xn"))=3,AO$3&amp;", ",AO$3&amp;IF((AO27&lt;&gt;"Xm")*(AO27&lt;&gt;"Xg"),"_m","")&amp;IF((AO27&lt;&gt;"Xp")*(AO27&lt;&gt;"Xg"),"_p","")&amp;IF((AO27&lt;&gt;"Xn"),"_n","")&amp;", ")))</f>
        <v xml:space="preserve">LI, </v>
      </c>
      <c r="CD27" s="9" t="n"/>
      <c r="CE27" s="9" t="str">
        <f>IF(0+(AB27="X")&gt;0,"",IF(0+((AB27&lt;&gt;"Xm")*(AB27&lt;&gt;"Xg")*(COUNTIFS($C$3:$Q$3,"MAT",$C27:$Q27,AB$3)=0)*(COUNTIFS($C$3:$Q$3,"NOTTE",$C27:$Q27,AB$3)=0)*(COUNTIFS($C$3:$Q$3,"NOTTE",$C26:$Q26,AB$3)=0))+((AB27&lt;&gt;"Xp")*(AB27&lt;&gt;"Xg")*(COUNTIFS($C$3:$Q$3,"POM",$C27:$Q27,AB$3)=0)*(COUNTIFS($C$3:$Q$3,"NOTTE",$C27:$Q27,AB$3)=0)*(COUNTIFS($C$3:$Q$3,"NOTTE",$C26:$Q26,AB$3)=0))+((AB27&lt;&gt;"Xn")*(COUNTIFS($C$3:$Q$3,"MAT",$C27:$Q27,AB$3)=0)*(COUNTIFS($C$3:$Q$3,"POM",$C27:$Q27,AB$3)=0)*(COUNTIFS($C$3:$Q$3,"NOTTE",$C27:$Q27,AB$3)=0)*(COUNTIFS($C$3:$Q$3,"NOTTE",$C26:$Q26,AB$3)=0))=0,"",IF(0+((AB27&lt;&gt;"Xm")*(AB27&lt;&gt;"Xg")*(COUNTIFS($C$3:$Q$3,"MAT",$C27:$Q27,AB$3)=0)*(COUNTIFS($C$3:$Q$3,"NOTTE",$C27:$Q27,AB$3)=0)*(COUNTIFS($C$3:$Q$3,"NOTTE",$C26:$Q26,AB$3)=0))+((AB27&lt;&gt;"Xp")*(AB27&lt;&gt;"Xg")*(COUNTIFS($C$3:$Q$3,"POM",$C27:$Q27,AB$3)=0)*(COUNTIFS($C$3:$Q$3,"NOTTE",$C27:$Q27,AB$3)=0)*(COUNTIFS($C$3:$Q$3,"NOTTE",$C26:$Q26,AB$3)=0))+((AB27&lt;&gt;"Xn")*(COUNTIFS($C$3:$Q$3,"MAT",$C27:$Q27,AB$3)=0)*(COUNTIFS($C$3:$Q$3,"POM",$C27:$Q27,AB$3)=0)*(COUNTIFS($C$3:$Q$3,"NOTTE",$C27:$Q27,AB$3)=0)*(COUNTIFS($C$3:$Q$3,"NOTTE",$C26:$Q26,AB$3)=0))=3,AB$3&amp;", ",AB$3&amp;IF((AB27&lt;&gt;"Xm")*(AB27&lt;&gt;"Xg")*(COUNTIFS($C$3:$Q$3,"MAT",$C27:$Q27,AB$3)=0)*(COUNTIFS($C$3:$Q$3,"NOTTE",$C27:$Q27,AB$3)=0)*(COUNTIFS($C$3:$Q$3,"NOTTE",$C26:$Q26,AB$3)=0),"_m","")&amp;IF((AB27&lt;&gt;"Xp")*(AB27&lt;&gt;"Xg")*(COUNTIFS($C$3:$Q$3,"POM",$C27:$Q27,AB$3)=0)*(COUNTIFS($C$3:$Q$3,"NOTTE",$C27:$Q27,AB$3)=0)*(COUNTIFS($C$3:$Q$3,"NOTTE",$C26:$Q26,AB$3)=0),"_p","")&amp;IF((AB27&lt;&gt;"Xn")*(COUNTIFS($C$3:$Q$3,"MAT",$C27:$Q27,AB$3)=0)*(COUNTIFS($C$3:$Q$3,"POM",$C27:$Q27,AB$3)=0)*(COUNTIFS($C$3:$Q$3,"NOTTE",$C27:$Q27,AB$3)=0)*(COUNTIFS($C$3:$Q$3,"NOTTE",$C26:$Q26,AB$3)=0),"_n","")&amp;", ")))</f>
        <v xml:space="preserve">LEONI, </v>
      </c>
      <c r="CF27" s="9" t="str">
        <f>IF(0+(AC27="X")&gt;0,"",IF(0+((AC27&lt;&gt;"Xm")*(AC27&lt;&gt;"Xg")*(COUNTIFS($C$3:$Q$3,"MAT",$C27:$Q27,AC$3)=0)*(COUNTIFS($C$3:$Q$3,"NOTTE",$C27:$Q27,AC$3)=0)*(COUNTIFS($C$3:$Q$3,"NOTTE",$C26:$Q26,AC$3)=0))+((AC27&lt;&gt;"Xp")*(AC27&lt;&gt;"Xg")*(COUNTIFS($C$3:$Q$3,"POM",$C27:$Q27,AC$3)=0)*(COUNTIFS($C$3:$Q$3,"NOTTE",$C27:$Q27,AC$3)=0)*(COUNTIFS($C$3:$Q$3,"NOTTE",$C26:$Q26,AC$3)=0))+((AC27&lt;&gt;"Xn")*(COUNTIFS($C$3:$Q$3,"MAT",$C27:$Q27,AC$3)=0)*(COUNTIFS($C$3:$Q$3,"POM",$C27:$Q27,AC$3)=0)*(COUNTIFS($C$3:$Q$3,"NOTTE",$C27:$Q27,AC$3)=0)*(COUNTIFS($C$3:$Q$3,"NOTTE",$C26:$Q26,AC$3)=0))=0,"",IF(0+((AC27&lt;&gt;"Xm")*(AC27&lt;&gt;"Xg")*(COUNTIFS($C$3:$Q$3,"MAT",$C27:$Q27,AC$3)=0)*(COUNTIFS($C$3:$Q$3,"NOTTE",$C27:$Q27,AC$3)=0)*(COUNTIFS($C$3:$Q$3,"NOTTE",$C26:$Q26,AC$3)=0))+((AC27&lt;&gt;"Xp")*(AC27&lt;&gt;"Xg")*(COUNTIFS($C$3:$Q$3,"POM",$C27:$Q27,AC$3)=0)*(COUNTIFS($C$3:$Q$3,"NOTTE",$C27:$Q27,AC$3)=0)*(COUNTIFS($C$3:$Q$3,"NOTTE",$C26:$Q26,AC$3)=0))+((AC27&lt;&gt;"Xn")*(COUNTIFS($C$3:$Q$3,"MAT",$C27:$Q27,AC$3)=0)*(COUNTIFS($C$3:$Q$3,"POM",$C27:$Q27,AC$3)=0)*(COUNTIFS($C$3:$Q$3,"NOTTE",$C27:$Q27,AC$3)=0)*(COUNTIFS($C$3:$Q$3,"NOTTE",$C26:$Q26,AC$3)=0))=3,AC$3&amp;", ",AC$3&amp;IF((AC27&lt;&gt;"Xm")*(AC27&lt;&gt;"Xg")*(COUNTIFS($C$3:$Q$3,"MAT",$C27:$Q27,AC$3)=0)*(COUNTIFS($C$3:$Q$3,"NOTTE",$C27:$Q27,AC$3)=0)*(COUNTIFS($C$3:$Q$3,"NOTTE",$C26:$Q26,AC$3)=0),"_m","")&amp;IF((AC27&lt;&gt;"Xp")*(AC27&lt;&gt;"Xg")*(COUNTIFS($C$3:$Q$3,"POM",$C27:$Q27,AC$3)=0)*(COUNTIFS($C$3:$Q$3,"NOTTE",$C27:$Q27,AC$3)=0)*(COUNTIFS($C$3:$Q$3,"NOTTE",$C26:$Q26,AC$3)=0),"_p","")&amp;IF((AC27&lt;&gt;"Xn")*(COUNTIFS($C$3:$Q$3,"MAT",$C27:$Q27,AC$3)=0)*(COUNTIFS($C$3:$Q$3,"POM",$C27:$Q27,AC$3)=0)*(COUNTIFS($C$3:$Q$3,"NOTTE",$C27:$Q27,AC$3)=0)*(COUNTIFS($C$3:$Q$3,"NOTTE",$C26:$Q26,AC$3)=0),"_n","")&amp;", ")))</f>
        <v xml:space="preserve">ROSSI M, </v>
      </c>
      <c r="CG27" s="9" t="str">
        <f>IF(0+(AD27="X")&gt;0,"",IF(0+((AD27&lt;&gt;"Xm")*(AD27&lt;&gt;"Xg")*(COUNTIFS($C$3:$Q$3,"MAT",$C27:$Q27,AD$3)=0)*(COUNTIFS($C$3:$Q$3,"NOTTE",$C27:$Q27,AD$3)=0)*(COUNTIFS($C$3:$Q$3,"NOTTE",$C26:$Q26,AD$3)=0))+((AD27&lt;&gt;"Xp")*(AD27&lt;&gt;"Xg")*(COUNTIFS($C$3:$Q$3,"POM",$C27:$Q27,AD$3)=0)*(COUNTIFS($C$3:$Q$3,"NOTTE",$C27:$Q27,AD$3)=0)*(COUNTIFS($C$3:$Q$3,"NOTTE",$C26:$Q26,AD$3)=0))+((AD27&lt;&gt;"Xn")*(COUNTIFS($C$3:$Q$3,"MAT",$C27:$Q27,AD$3)=0)*(COUNTIFS($C$3:$Q$3,"POM",$C27:$Q27,AD$3)=0)*(COUNTIFS($C$3:$Q$3,"NOTTE",$C27:$Q27,AD$3)=0)*(COUNTIFS($C$3:$Q$3,"NOTTE",$C26:$Q26,AD$3)=0))=0,"",IF(0+((AD27&lt;&gt;"Xm")*(AD27&lt;&gt;"Xg")*(COUNTIFS($C$3:$Q$3,"MAT",$C27:$Q27,AD$3)=0)*(COUNTIFS($C$3:$Q$3,"NOTTE",$C27:$Q27,AD$3)=0)*(COUNTIFS($C$3:$Q$3,"NOTTE",$C26:$Q26,AD$3)=0))+((AD27&lt;&gt;"Xp")*(AD27&lt;&gt;"Xg")*(COUNTIFS($C$3:$Q$3,"POM",$C27:$Q27,AD$3)=0)*(COUNTIFS($C$3:$Q$3,"NOTTE",$C27:$Q27,AD$3)=0)*(COUNTIFS($C$3:$Q$3,"NOTTE",$C26:$Q26,AD$3)=0))+((AD27&lt;&gt;"Xn")*(COUNTIFS($C$3:$Q$3,"MAT",$C27:$Q27,AD$3)=0)*(COUNTIFS($C$3:$Q$3,"POM",$C27:$Q27,AD$3)=0)*(COUNTIFS($C$3:$Q$3,"NOTTE",$C27:$Q27,AD$3)=0)*(COUNTIFS($C$3:$Q$3,"NOTTE",$C26:$Q26,AD$3)=0))=3,AD$3&amp;", ",AD$3&amp;IF((AD27&lt;&gt;"Xm")*(AD27&lt;&gt;"Xg")*(COUNTIFS($C$3:$Q$3,"MAT",$C27:$Q27,AD$3)=0)*(COUNTIFS($C$3:$Q$3,"NOTTE",$C27:$Q27,AD$3)=0)*(COUNTIFS($C$3:$Q$3,"NOTTE",$C26:$Q26,AD$3)=0),"_m","")&amp;IF((AD27&lt;&gt;"Xp")*(AD27&lt;&gt;"Xg")*(COUNTIFS($C$3:$Q$3,"POM",$C27:$Q27,AD$3)=0)*(COUNTIFS($C$3:$Q$3,"NOTTE",$C27:$Q27,AD$3)=0)*(COUNTIFS($C$3:$Q$3,"NOTTE",$C26:$Q26,AD$3)=0),"_p","")&amp;IF((AD27&lt;&gt;"Xn")*(COUNTIFS($C$3:$Q$3,"MAT",$C27:$Q27,AD$3)=0)*(COUNTIFS($C$3:$Q$3,"POM",$C27:$Q27,AD$3)=0)*(COUNTIFS($C$3:$Q$3,"NOTTE",$C27:$Q27,AD$3)=0)*(COUNTIFS($C$3:$Q$3,"NOTTE",$C26:$Q26,AD$3)=0),"_n","")&amp;", ")))</f>
        <v xml:space="preserve">ROSSI L, </v>
      </c>
      <c r="CH27" s="9" t="str">
        <f>IF(0+(AE27="X")&gt;0,"",IF(0+((AE27&lt;&gt;"Xm")*(AE27&lt;&gt;"Xg")*(COUNTIFS($C$3:$Q$3,"MAT",$C27:$Q27,AE$3)=0)*(COUNTIFS($C$3:$Q$3,"NOTTE",$C27:$Q27,AE$3)=0)*(COUNTIFS($C$3:$Q$3,"NOTTE",$C26:$Q26,AE$3)=0))+((AE27&lt;&gt;"Xp")*(AE27&lt;&gt;"Xg")*(COUNTIFS($C$3:$Q$3,"POM",$C27:$Q27,AE$3)=0)*(COUNTIFS($C$3:$Q$3,"NOTTE",$C27:$Q27,AE$3)=0)*(COUNTIFS($C$3:$Q$3,"NOTTE",$C26:$Q26,AE$3)=0))+((AE27&lt;&gt;"Xn")*(COUNTIFS($C$3:$Q$3,"MAT",$C27:$Q27,AE$3)=0)*(COUNTIFS($C$3:$Q$3,"POM",$C27:$Q27,AE$3)=0)*(COUNTIFS($C$3:$Q$3,"NOTTE",$C27:$Q27,AE$3)=0)*(COUNTIFS($C$3:$Q$3,"NOTTE",$C26:$Q26,AE$3)=0))=0,"",IF(0+((AE27&lt;&gt;"Xm")*(AE27&lt;&gt;"Xg")*(COUNTIFS($C$3:$Q$3,"MAT",$C27:$Q27,AE$3)=0)*(COUNTIFS($C$3:$Q$3,"NOTTE",$C27:$Q27,AE$3)=0)*(COUNTIFS($C$3:$Q$3,"NOTTE",$C26:$Q26,AE$3)=0))+((AE27&lt;&gt;"Xp")*(AE27&lt;&gt;"Xg")*(COUNTIFS($C$3:$Q$3,"POM",$C27:$Q27,AE$3)=0)*(COUNTIFS($C$3:$Q$3,"NOTTE",$C27:$Q27,AE$3)=0)*(COUNTIFS($C$3:$Q$3,"NOTTE",$C26:$Q26,AE$3)=0))+((AE27&lt;&gt;"Xn")*(COUNTIFS($C$3:$Q$3,"MAT",$C27:$Q27,AE$3)=0)*(COUNTIFS($C$3:$Q$3,"POM",$C27:$Q27,AE$3)=0)*(COUNTIFS($C$3:$Q$3,"NOTTE",$C27:$Q27,AE$3)=0)*(COUNTIFS($C$3:$Q$3,"NOTTE",$C26:$Q26,AE$3)=0))=3,AE$3&amp;", ",AE$3&amp;IF((AE27&lt;&gt;"Xm")*(AE27&lt;&gt;"Xg")*(COUNTIFS($C$3:$Q$3,"MAT",$C27:$Q27,AE$3)=0)*(COUNTIFS($C$3:$Q$3,"NOTTE",$C27:$Q27,AE$3)=0)*(COUNTIFS($C$3:$Q$3,"NOTTE",$C26:$Q26,AE$3)=0),"_m","")&amp;IF((AE27&lt;&gt;"Xp")*(AE27&lt;&gt;"Xg")*(COUNTIFS($C$3:$Q$3,"POM",$C27:$Q27,AE$3)=0)*(COUNTIFS($C$3:$Q$3,"NOTTE",$C27:$Q27,AE$3)=0)*(COUNTIFS($C$3:$Q$3,"NOTTE",$C26:$Q26,AE$3)=0),"_p","")&amp;IF((AE27&lt;&gt;"Xn")*(COUNTIFS($C$3:$Q$3,"MAT",$C27:$Q27,AE$3)=0)*(COUNTIFS($C$3:$Q$3,"POM",$C27:$Q27,AE$3)=0)*(COUNTIFS($C$3:$Q$3,"NOTTE",$C27:$Q27,AE$3)=0)*(COUNTIFS($C$3:$Q$3,"NOTTE",$C26:$Q26,AE$3)=0),"_n","")&amp;", ")))</f>
        <v xml:space="preserve">GALLINA, </v>
      </c>
      <c r="CI27" s="9" t="str">
        <f>IF(0+(AF27="X")&gt;0,"",IF(0+((AF27&lt;&gt;"Xm")*(AF27&lt;&gt;"Xg")*(COUNTIFS($C$3:$Q$3,"MAT",$C27:$Q27,AF$3)=0)*(COUNTIFS($C$3:$Q$3,"NOTTE",$C27:$Q27,AF$3)=0)*(COUNTIFS($C$3:$Q$3,"NOTTE",$C26:$Q26,AF$3)=0))+((AF27&lt;&gt;"Xp")*(AF27&lt;&gt;"Xg")*(COUNTIFS($C$3:$Q$3,"POM",$C27:$Q27,AF$3)=0)*(COUNTIFS($C$3:$Q$3,"NOTTE",$C27:$Q27,AF$3)=0)*(COUNTIFS($C$3:$Q$3,"NOTTE",$C26:$Q26,AF$3)=0))+((AF27&lt;&gt;"Xn")*(COUNTIFS($C$3:$Q$3,"MAT",$C27:$Q27,AF$3)=0)*(COUNTIFS($C$3:$Q$3,"POM",$C27:$Q27,AF$3)=0)*(COUNTIFS($C$3:$Q$3,"NOTTE",$C27:$Q27,AF$3)=0)*(COUNTIFS($C$3:$Q$3,"NOTTE",$C26:$Q26,AF$3)=0))=0,"",IF(0+((AF27&lt;&gt;"Xm")*(AF27&lt;&gt;"Xg")*(COUNTIFS($C$3:$Q$3,"MAT",$C27:$Q27,AF$3)=0)*(COUNTIFS($C$3:$Q$3,"NOTTE",$C27:$Q27,AF$3)=0)*(COUNTIFS($C$3:$Q$3,"NOTTE",$C26:$Q26,AF$3)=0))+((AF27&lt;&gt;"Xp")*(AF27&lt;&gt;"Xg")*(COUNTIFS($C$3:$Q$3,"POM",$C27:$Q27,AF$3)=0)*(COUNTIFS($C$3:$Q$3,"NOTTE",$C27:$Q27,AF$3)=0)*(COUNTIFS($C$3:$Q$3,"NOTTE",$C26:$Q26,AF$3)=0))+((AF27&lt;&gt;"Xn")*(COUNTIFS($C$3:$Q$3,"MAT",$C27:$Q27,AF$3)=0)*(COUNTIFS($C$3:$Q$3,"POM",$C27:$Q27,AF$3)=0)*(COUNTIFS($C$3:$Q$3,"NOTTE",$C27:$Q27,AF$3)=0)*(COUNTIFS($C$3:$Q$3,"NOTTE",$C26:$Q26,AF$3)=0))=3,AF$3&amp;", ",AF$3&amp;IF((AF27&lt;&gt;"Xm")*(AF27&lt;&gt;"Xg")*(COUNTIFS($C$3:$Q$3,"MAT",$C27:$Q27,AF$3)=0)*(COUNTIFS($C$3:$Q$3,"NOTTE",$C27:$Q27,AF$3)=0)*(COUNTIFS($C$3:$Q$3,"NOTTE",$C26:$Q26,AF$3)=0),"_m","")&amp;IF((AF27&lt;&gt;"Xp")*(AF27&lt;&gt;"Xg")*(COUNTIFS($C$3:$Q$3,"POM",$C27:$Q27,AF$3)=0)*(COUNTIFS($C$3:$Q$3,"NOTTE",$C27:$Q27,AF$3)=0)*(COUNTIFS($C$3:$Q$3,"NOTTE",$C26:$Q26,AF$3)=0),"_p","")&amp;IF((AF27&lt;&gt;"Xn")*(COUNTIFS($C$3:$Q$3,"MAT",$C27:$Q27,AF$3)=0)*(COUNTIFS($C$3:$Q$3,"POM",$C27:$Q27,AF$3)=0)*(COUNTIFS($C$3:$Q$3,"NOTTE",$C27:$Q27,AF$3)=0)*(COUNTIFS($C$3:$Q$3,"NOTTE",$C26:$Q26,AF$3)=0),"_n","")&amp;", ")))</f>
        <v xml:space="preserve">RUSSO, </v>
      </c>
      <c r="CJ27" s="9" t="str">
        <f>IF(0+(AG27="X")&gt;0,"",IF(0+((AG27&lt;&gt;"Xm")*(AG27&lt;&gt;"Xg")*(COUNTIFS($C$3:$Q$3,"MAT",$C27:$Q27,AG$3)=0)*(COUNTIFS($C$3:$Q$3,"NOTTE",$C27:$Q27,AG$3)=0)*(COUNTIFS($C$3:$Q$3,"NOTTE",$C26:$Q26,AG$3)=0))+((AG27&lt;&gt;"Xp")*(AG27&lt;&gt;"Xg")*(COUNTIFS($C$3:$Q$3,"POM",$C27:$Q27,AG$3)=0)*(COUNTIFS($C$3:$Q$3,"NOTTE",$C27:$Q27,AG$3)=0)*(COUNTIFS($C$3:$Q$3,"NOTTE",$C26:$Q26,AG$3)=0))+((AG27&lt;&gt;"Xn")*(COUNTIFS($C$3:$Q$3,"MAT",$C27:$Q27,AG$3)=0)*(COUNTIFS($C$3:$Q$3,"POM",$C27:$Q27,AG$3)=0)*(COUNTIFS($C$3:$Q$3,"NOTTE",$C27:$Q27,AG$3)=0)*(COUNTIFS($C$3:$Q$3,"NOTTE",$C26:$Q26,AG$3)=0))=0,"",IF(0+((AG27&lt;&gt;"Xm")*(AG27&lt;&gt;"Xg")*(COUNTIFS($C$3:$Q$3,"MAT",$C27:$Q27,AG$3)=0)*(COUNTIFS($C$3:$Q$3,"NOTTE",$C27:$Q27,AG$3)=0)*(COUNTIFS($C$3:$Q$3,"NOTTE",$C26:$Q26,AG$3)=0))+((AG27&lt;&gt;"Xp")*(AG27&lt;&gt;"Xg")*(COUNTIFS($C$3:$Q$3,"POM",$C27:$Q27,AG$3)=0)*(COUNTIFS($C$3:$Q$3,"NOTTE",$C27:$Q27,AG$3)=0)*(COUNTIFS($C$3:$Q$3,"NOTTE",$C26:$Q26,AG$3)=0))+((AG27&lt;&gt;"Xn")*(COUNTIFS($C$3:$Q$3,"MAT",$C27:$Q27,AG$3)=0)*(COUNTIFS($C$3:$Q$3,"POM",$C27:$Q27,AG$3)=0)*(COUNTIFS($C$3:$Q$3,"NOTTE",$C27:$Q27,AG$3)=0)*(COUNTIFS($C$3:$Q$3,"NOTTE",$C26:$Q26,AG$3)=0))=3,AG$3&amp;", ",AG$3&amp;IF((AG27&lt;&gt;"Xm")*(AG27&lt;&gt;"Xg")*(COUNTIFS($C$3:$Q$3,"MAT",$C27:$Q27,AG$3)=0)*(COUNTIFS($C$3:$Q$3,"NOTTE",$C27:$Q27,AG$3)=0)*(COUNTIFS($C$3:$Q$3,"NOTTE",$C26:$Q26,AG$3)=0),"_m","")&amp;IF((AG27&lt;&gt;"Xp")*(AG27&lt;&gt;"Xg")*(COUNTIFS($C$3:$Q$3,"POM",$C27:$Q27,AG$3)=0)*(COUNTIFS($C$3:$Q$3,"NOTTE",$C27:$Q27,AG$3)=0)*(COUNTIFS($C$3:$Q$3,"NOTTE",$C26:$Q26,AG$3)=0),"_p","")&amp;IF((AG27&lt;&gt;"Xn")*(COUNTIFS($C$3:$Q$3,"MAT",$C27:$Q27,AG$3)=0)*(COUNTIFS($C$3:$Q$3,"POM",$C27:$Q27,AG$3)=0)*(COUNTIFS($C$3:$Q$3,"NOTTE",$C27:$Q27,AG$3)=0)*(COUNTIFS($C$3:$Q$3,"NOTTE",$C26:$Q26,AG$3)=0),"_n","")&amp;", ")))</f>
        <v xml:space="preserve">VERDI, </v>
      </c>
      <c r="CK27" s="9" t="str">
        <f>IF(0+(AH27="X")&gt;0,"",IF(0+((AH27&lt;&gt;"Xm")*(AH27&lt;&gt;"Xg")*(COUNTIFS($C$3:$Q$3,"MAT",$C27:$Q27,AH$3)=0)*(COUNTIFS($C$3:$Q$3,"NOTTE",$C27:$Q27,AH$3)=0)*(COUNTIFS($C$3:$Q$3,"NOTTE",$C26:$Q26,AH$3)=0))+((AH27&lt;&gt;"Xp")*(AH27&lt;&gt;"Xg")*(COUNTIFS($C$3:$Q$3,"POM",$C27:$Q27,AH$3)=0)*(COUNTIFS($C$3:$Q$3,"NOTTE",$C27:$Q27,AH$3)=0)*(COUNTIFS($C$3:$Q$3,"NOTTE",$C26:$Q26,AH$3)=0))+((AH27&lt;&gt;"Xn")*(COUNTIFS($C$3:$Q$3,"MAT",$C27:$Q27,AH$3)=0)*(COUNTIFS($C$3:$Q$3,"POM",$C27:$Q27,AH$3)=0)*(COUNTIFS($C$3:$Q$3,"NOTTE",$C27:$Q27,AH$3)=0)*(COUNTIFS($C$3:$Q$3,"NOTTE",$C26:$Q26,AH$3)=0))=0,"",IF(0+((AH27&lt;&gt;"Xm")*(AH27&lt;&gt;"Xg")*(COUNTIFS($C$3:$Q$3,"MAT",$C27:$Q27,AH$3)=0)*(COUNTIFS($C$3:$Q$3,"NOTTE",$C27:$Q27,AH$3)=0)*(COUNTIFS($C$3:$Q$3,"NOTTE",$C26:$Q26,AH$3)=0))+((AH27&lt;&gt;"Xp")*(AH27&lt;&gt;"Xg")*(COUNTIFS($C$3:$Q$3,"POM",$C27:$Q27,AH$3)=0)*(COUNTIFS($C$3:$Q$3,"NOTTE",$C27:$Q27,AH$3)=0)*(COUNTIFS($C$3:$Q$3,"NOTTE",$C26:$Q26,AH$3)=0))+((AH27&lt;&gt;"Xn")*(COUNTIFS($C$3:$Q$3,"MAT",$C27:$Q27,AH$3)=0)*(COUNTIFS($C$3:$Q$3,"POM",$C27:$Q27,AH$3)=0)*(COUNTIFS($C$3:$Q$3,"NOTTE",$C27:$Q27,AH$3)=0)*(COUNTIFS($C$3:$Q$3,"NOTTE",$C26:$Q26,AH$3)=0))=3,AH$3&amp;", ",AH$3&amp;IF((AH27&lt;&gt;"Xm")*(AH27&lt;&gt;"Xg")*(COUNTIFS($C$3:$Q$3,"MAT",$C27:$Q27,AH$3)=0)*(COUNTIFS($C$3:$Q$3,"NOTTE",$C27:$Q27,AH$3)=0)*(COUNTIFS($C$3:$Q$3,"NOTTE",$C26:$Q26,AH$3)=0),"_m","")&amp;IF((AH27&lt;&gt;"Xp")*(AH27&lt;&gt;"Xg")*(COUNTIFS($C$3:$Q$3,"POM",$C27:$Q27,AH$3)=0)*(COUNTIFS($C$3:$Q$3,"NOTTE",$C27:$Q27,AH$3)=0)*(COUNTIFS($C$3:$Q$3,"NOTTE",$C26:$Q26,AH$3)=0),"_p","")&amp;IF((AH27&lt;&gt;"Xn")*(COUNTIFS($C$3:$Q$3,"MAT",$C27:$Q27,AH$3)=0)*(COUNTIFS($C$3:$Q$3,"POM",$C27:$Q27,AH$3)=0)*(COUNTIFS($C$3:$Q$3,"NOTTE",$C27:$Q27,AH$3)=0)*(COUNTIFS($C$3:$Q$3,"NOTTE",$C26:$Q26,AH$3)=0),"_n","")&amp;", ")))</f>
        <v xml:space="preserve">HU, </v>
      </c>
      <c r="CL27" s="9" t="str">
        <f>IF(0+(AI27="X")&gt;0,"",IF(0+((AI27&lt;&gt;"Xm")*(AI27&lt;&gt;"Xg")*(COUNTIFS($C$3:$Q$3,"MAT",$C27:$Q27,AI$3)=0)*(COUNTIFS($C$3:$Q$3,"NOTTE",$C27:$Q27,AI$3)=0)*(COUNTIFS($C$3:$Q$3,"NOTTE",$C26:$Q26,AI$3)=0))+((AI27&lt;&gt;"Xp")*(AI27&lt;&gt;"Xg")*(COUNTIFS($C$3:$Q$3,"POM",$C27:$Q27,AI$3)=0)*(COUNTIFS($C$3:$Q$3,"NOTTE",$C27:$Q27,AI$3)=0)*(COUNTIFS($C$3:$Q$3,"NOTTE",$C26:$Q26,AI$3)=0))+((AI27&lt;&gt;"Xn")*(COUNTIFS($C$3:$Q$3,"MAT",$C27:$Q27,AI$3)=0)*(COUNTIFS($C$3:$Q$3,"POM",$C27:$Q27,AI$3)=0)*(COUNTIFS($C$3:$Q$3,"NOTTE",$C27:$Q27,AI$3)=0)*(COUNTIFS($C$3:$Q$3,"NOTTE",$C26:$Q26,AI$3)=0))=0,"",IF(0+((AI27&lt;&gt;"Xm")*(AI27&lt;&gt;"Xg")*(COUNTIFS($C$3:$Q$3,"MAT",$C27:$Q27,AI$3)=0)*(COUNTIFS($C$3:$Q$3,"NOTTE",$C27:$Q27,AI$3)=0)*(COUNTIFS($C$3:$Q$3,"NOTTE",$C26:$Q26,AI$3)=0))+((AI27&lt;&gt;"Xp")*(AI27&lt;&gt;"Xg")*(COUNTIFS($C$3:$Q$3,"POM",$C27:$Q27,AI$3)=0)*(COUNTIFS($C$3:$Q$3,"NOTTE",$C27:$Q27,AI$3)=0)*(COUNTIFS($C$3:$Q$3,"NOTTE",$C26:$Q26,AI$3)=0))+((AI27&lt;&gt;"Xn")*(COUNTIFS($C$3:$Q$3,"MAT",$C27:$Q27,AI$3)=0)*(COUNTIFS($C$3:$Q$3,"POM",$C27:$Q27,AI$3)=0)*(COUNTIFS($C$3:$Q$3,"NOTTE",$C27:$Q27,AI$3)=0)*(COUNTIFS($C$3:$Q$3,"NOTTE",$C26:$Q26,AI$3)=0))=3,AI$3&amp;", ",AI$3&amp;IF((AI27&lt;&gt;"Xm")*(AI27&lt;&gt;"Xg")*(COUNTIFS($C$3:$Q$3,"MAT",$C27:$Q27,AI$3)=0)*(COUNTIFS($C$3:$Q$3,"NOTTE",$C27:$Q27,AI$3)=0)*(COUNTIFS($C$3:$Q$3,"NOTTE",$C26:$Q26,AI$3)=0),"_m","")&amp;IF((AI27&lt;&gt;"Xp")*(AI27&lt;&gt;"Xg")*(COUNTIFS($C$3:$Q$3,"POM",$C27:$Q27,AI$3)=0)*(COUNTIFS($C$3:$Q$3,"NOTTE",$C27:$Q27,AI$3)=0)*(COUNTIFS($C$3:$Q$3,"NOTTE",$C26:$Q26,AI$3)=0),"_p","")&amp;IF((AI27&lt;&gt;"Xn")*(COUNTIFS($C$3:$Q$3,"MAT",$C27:$Q27,AI$3)=0)*(COUNTIFS($C$3:$Q$3,"POM",$C27:$Q27,AI$3)=0)*(COUNTIFS($C$3:$Q$3,"NOTTE",$C27:$Q27,AI$3)=0)*(COUNTIFS($C$3:$Q$3,"NOTTE",$C26:$Q26,AI$3)=0),"_n","")&amp;", ")))</f>
        <v xml:space="preserve">MARINI, </v>
      </c>
      <c r="CM27" s="9" t="str">
        <f>IF(0+(AJ27="X")&gt;0,"",IF(0+((AJ27&lt;&gt;"Xm")*(AJ27&lt;&gt;"Xg")*(COUNTIFS($C$3:$Q$3,"MAT",$C27:$Q27,AJ$3)=0)*(COUNTIFS($C$3:$Q$3,"NOTTE",$C27:$Q27,AJ$3)=0)*(COUNTIFS($C$3:$Q$3,"NOTTE",$C26:$Q26,AJ$3)=0))+((AJ27&lt;&gt;"Xp")*(AJ27&lt;&gt;"Xg")*(COUNTIFS($C$3:$Q$3,"POM",$C27:$Q27,AJ$3)=0)*(COUNTIFS($C$3:$Q$3,"NOTTE",$C27:$Q27,AJ$3)=0)*(COUNTIFS($C$3:$Q$3,"NOTTE",$C26:$Q26,AJ$3)=0))+((AJ27&lt;&gt;"Xn")*(COUNTIFS($C$3:$Q$3,"MAT",$C27:$Q27,AJ$3)=0)*(COUNTIFS($C$3:$Q$3,"POM",$C27:$Q27,AJ$3)=0)*(COUNTIFS($C$3:$Q$3,"NOTTE",$C27:$Q27,AJ$3)=0)*(COUNTIFS($C$3:$Q$3,"NOTTE",$C26:$Q26,AJ$3)=0))=0,"",IF(0+((AJ27&lt;&gt;"Xm")*(AJ27&lt;&gt;"Xg")*(COUNTIFS($C$3:$Q$3,"MAT",$C27:$Q27,AJ$3)=0)*(COUNTIFS($C$3:$Q$3,"NOTTE",$C27:$Q27,AJ$3)=0)*(COUNTIFS($C$3:$Q$3,"NOTTE",$C26:$Q26,AJ$3)=0))+((AJ27&lt;&gt;"Xp")*(AJ27&lt;&gt;"Xg")*(COUNTIFS($C$3:$Q$3,"POM",$C27:$Q27,AJ$3)=0)*(COUNTIFS($C$3:$Q$3,"NOTTE",$C27:$Q27,AJ$3)=0)*(COUNTIFS($C$3:$Q$3,"NOTTE",$C26:$Q26,AJ$3)=0))+((AJ27&lt;&gt;"Xn")*(COUNTIFS($C$3:$Q$3,"MAT",$C27:$Q27,AJ$3)=0)*(COUNTIFS($C$3:$Q$3,"POM",$C27:$Q27,AJ$3)=0)*(COUNTIFS($C$3:$Q$3,"NOTTE",$C27:$Q27,AJ$3)=0)*(COUNTIFS($C$3:$Q$3,"NOTTE",$C26:$Q26,AJ$3)=0))=3,AJ$3&amp;", ",AJ$3&amp;IF((AJ27&lt;&gt;"Xm")*(AJ27&lt;&gt;"Xg")*(COUNTIFS($C$3:$Q$3,"MAT",$C27:$Q27,AJ$3)=0)*(COUNTIFS($C$3:$Q$3,"NOTTE",$C27:$Q27,AJ$3)=0)*(COUNTIFS($C$3:$Q$3,"NOTTE",$C26:$Q26,AJ$3)=0),"_m","")&amp;IF((AJ27&lt;&gt;"Xp")*(AJ27&lt;&gt;"Xg")*(COUNTIFS($C$3:$Q$3,"POM",$C27:$Q27,AJ$3)=0)*(COUNTIFS($C$3:$Q$3,"NOTTE",$C27:$Q27,AJ$3)=0)*(COUNTIFS($C$3:$Q$3,"NOTTE",$C26:$Q26,AJ$3)=0),"_p","")&amp;IF((AJ27&lt;&gt;"Xn")*(COUNTIFS($C$3:$Q$3,"MAT",$C27:$Q27,AJ$3)=0)*(COUNTIFS($C$3:$Q$3,"POM",$C27:$Q27,AJ$3)=0)*(COUNTIFS($C$3:$Q$3,"NOTTE",$C27:$Q27,AJ$3)=0)*(COUNTIFS($C$3:$Q$3,"NOTTE",$C26:$Q26,AJ$3)=0),"_n","")&amp;", ")))</f>
        <v xml:space="preserve">CONTI A, </v>
      </c>
      <c r="CN27" s="9" t="str">
        <f>IF(0+(AK27="X")&gt;0,"",IF(0+((AK27&lt;&gt;"Xm")*(AK27&lt;&gt;"Xg")*(COUNTIFS($C$3:$Q$3,"MAT",$C27:$Q27,AK$3)=0)*(COUNTIFS($C$3:$Q$3,"NOTTE",$C27:$Q27,AK$3)=0)*(COUNTIFS($C$3:$Q$3,"NOTTE",$C26:$Q26,AK$3)=0))+((AK27&lt;&gt;"Xp")*(AK27&lt;&gt;"Xg")*(COUNTIFS($C$3:$Q$3,"POM",$C27:$Q27,AK$3)=0)*(COUNTIFS($C$3:$Q$3,"NOTTE",$C27:$Q27,AK$3)=0)*(COUNTIFS($C$3:$Q$3,"NOTTE",$C26:$Q26,AK$3)=0))+((AK27&lt;&gt;"Xn")*(COUNTIFS($C$3:$Q$3,"MAT",$C27:$Q27,AK$3)=0)*(COUNTIFS($C$3:$Q$3,"POM",$C27:$Q27,AK$3)=0)*(COUNTIFS($C$3:$Q$3,"NOTTE",$C27:$Q27,AK$3)=0)*(COUNTIFS($C$3:$Q$3,"NOTTE",$C26:$Q26,AK$3)=0))=0,"",IF(0+((AK27&lt;&gt;"Xm")*(AK27&lt;&gt;"Xg")*(COUNTIFS($C$3:$Q$3,"MAT",$C27:$Q27,AK$3)=0)*(COUNTIFS($C$3:$Q$3,"NOTTE",$C27:$Q27,AK$3)=0)*(COUNTIFS($C$3:$Q$3,"NOTTE",$C26:$Q26,AK$3)=0))+((AK27&lt;&gt;"Xp")*(AK27&lt;&gt;"Xg")*(COUNTIFS($C$3:$Q$3,"POM",$C27:$Q27,AK$3)=0)*(COUNTIFS($C$3:$Q$3,"NOTTE",$C27:$Q27,AK$3)=0)*(COUNTIFS($C$3:$Q$3,"NOTTE",$C26:$Q26,AK$3)=0))+((AK27&lt;&gt;"Xn")*(COUNTIFS($C$3:$Q$3,"MAT",$C27:$Q27,AK$3)=0)*(COUNTIFS($C$3:$Q$3,"POM",$C27:$Q27,AK$3)=0)*(COUNTIFS($C$3:$Q$3,"NOTTE",$C27:$Q27,AK$3)=0)*(COUNTIFS($C$3:$Q$3,"NOTTE",$C26:$Q26,AK$3)=0))=3,AK$3&amp;", ",AK$3&amp;IF((AK27&lt;&gt;"Xm")*(AK27&lt;&gt;"Xg")*(COUNTIFS($C$3:$Q$3,"MAT",$C27:$Q27,AK$3)=0)*(COUNTIFS($C$3:$Q$3,"NOTTE",$C27:$Q27,AK$3)=0)*(COUNTIFS($C$3:$Q$3,"NOTTE",$C26:$Q26,AK$3)=0),"_m","")&amp;IF((AK27&lt;&gt;"Xp")*(AK27&lt;&gt;"Xg")*(COUNTIFS($C$3:$Q$3,"POM",$C27:$Q27,AK$3)=0)*(COUNTIFS($C$3:$Q$3,"NOTTE",$C27:$Q27,AK$3)=0)*(COUNTIFS($C$3:$Q$3,"NOTTE",$C26:$Q26,AK$3)=0),"_p","")&amp;IF((AK27&lt;&gt;"Xn")*(COUNTIFS($C$3:$Q$3,"MAT",$C27:$Q27,AK$3)=0)*(COUNTIFS($C$3:$Q$3,"POM",$C27:$Q27,AK$3)=0)*(COUNTIFS($C$3:$Q$3,"NOTTE",$C27:$Q27,AK$3)=0)*(COUNTIFS($C$3:$Q$3,"NOTTE",$C26:$Q26,AK$3)=0),"_n","")&amp;", ")))</f>
        <v xml:space="preserve">CONTI S, </v>
      </c>
      <c r="CO27" s="9" t="str">
        <f>IF(0+(AL27="X")&gt;0,"",IF(0+((AL27&lt;&gt;"Xm")*(AL27&lt;&gt;"Xg")*(COUNTIFS($C$3:$Q$3,"MAT",$C27:$Q27,AL$3)=0)*(COUNTIFS($C$3:$Q$3,"NOTTE",$C27:$Q27,AL$3)=0)*(COUNTIFS($C$3:$Q$3,"NOTTE",$C26:$Q26,AL$3)=0))+((AL27&lt;&gt;"Xp")*(AL27&lt;&gt;"Xg")*(COUNTIFS($C$3:$Q$3,"POM",$C27:$Q27,AL$3)=0)*(COUNTIFS($C$3:$Q$3,"NOTTE",$C27:$Q27,AL$3)=0)*(COUNTIFS($C$3:$Q$3,"NOTTE",$C26:$Q26,AL$3)=0))+((AL27&lt;&gt;"Xn")*(COUNTIFS($C$3:$Q$3,"MAT",$C27:$Q27,AL$3)=0)*(COUNTIFS($C$3:$Q$3,"POM",$C27:$Q27,AL$3)=0)*(COUNTIFS($C$3:$Q$3,"NOTTE",$C27:$Q27,AL$3)=0)*(COUNTIFS($C$3:$Q$3,"NOTTE",$C26:$Q26,AL$3)=0))=0,"",IF(0+((AL27&lt;&gt;"Xm")*(AL27&lt;&gt;"Xg")*(COUNTIFS($C$3:$Q$3,"MAT",$C27:$Q27,AL$3)=0)*(COUNTIFS($C$3:$Q$3,"NOTTE",$C27:$Q27,AL$3)=0)*(COUNTIFS($C$3:$Q$3,"NOTTE",$C26:$Q26,AL$3)=0))+((AL27&lt;&gt;"Xp")*(AL27&lt;&gt;"Xg")*(COUNTIFS($C$3:$Q$3,"POM",$C27:$Q27,AL$3)=0)*(COUNTIFS($C$3:$Q$3,"NOTTE",$C27:$Q27,AL$3)=0)*(COUNTIFS($C$3:$Q$3,"NOTTE",$C26:$Q26,AL$3)=0))+((AL27&lt;&gt;"Xn")*(COUNTIFS($C$3:$Q$3,"MAT",$C27:$Q27,AL$3)=0)*(COUNTIFS($C$3:$Q$3,"POM",$C27:$Q27,AL$3)=0)*(COUNTIFS($C$3:$Q$3,"NOTTE",$C27:$Q27,AL$3)=0)*(COUNTIFS($C$3:$Q$3,"NOTTE",$C26:$Q26,AL$3)=0))=3,AL$3&amp;", ",AL$3&amp;IF((AL27&lt;&gt;"Xm")*(AL27&lt;&gt;"Xg")*(COUNTIFS($C$3:$Q$3,"MAT",$C27:$Q27,AL$3)=0)*(COUNTIFS($C$3:$Q$3,"NOTTE",$C27:$Q27,AL$3)=0)*(COUNTIFS($C$3:$Q$3,"NOTTE",$C26:$Q26,AL$3)=0),"_m","")&amp;IF((AL27&lt;&gt;"Xp")*(AL27&lt;&gt;"Xg")*(COUNTIFS($C$3:$Q$3,"POM",$C27:$Q27,AL$3)=0)*(COUNTIFS($C$3:$Q$3,"NOTTE",$C27:$Q27,AL$3)=0)*(COUNTIFS($C$3:$Q$3,"NOTTE",$C26:$Q26,AL$3)=0),"_p","")&amp;IF((AL27&lt;&gt;"Xn")*(COUNTIFS($C$3:$Q$3,"MAT",$C27:$Q27,AL$3)=0)*(COUNTIFS($C$3:$Q$3,"POM",$C27:$Q27,AL$3)=0)*(COUNTIFS($C$3:$Q$3,"NOTTE",$C27:$Q27,AL$3)=0)*(COUNTIFS($C$3:$Q$3,"NOTTE",$C26:$Q26,AL$3)=0),"_n","")&amp;", ")))</f>
        <v xml:space="preserve">FERRARI, </v>
      </c>
      <c r="CP27" s="9" t="str">
        <f>IF(0+(AM27="X")&gt;0,"",IF(0+((AM27&lt;&gt;"Xm")*(AM27&lt;&gt;"Xg")*(COUNTIFS($C$3:$Q$3,"MAT",$C27:$Q27,AM$3)=0)*(COUNTIFS($C$3:$Q$3,"NOTTE",$C27:$Q27,AM$3)=0)*(COUNTIFS($C$3:$Q$3,"NOTTE",$C26:$Q26,AM$3)=0))+((AM27&lt;&gt;"Xp")*(AM27&lt;&gt;"Xg")*(COUNTIFS($C$3:$Q$3,"POM",$C27:$Q27,AM$3)=0)*(COUNTIFS($C$3:$Q$3,"NOTTE",$C27:$Q27,AM$3)=0)*(COUNTIFS($C$3:$Q$3,"NOTTE",$C26:$Q26,AM$3)=0))+((AM27&lt;&gt;"Xn")*(COUNTIFS($C$3:$Q$3,"MAT",$C27:$Q27,AM$3)=0)*(COUNTIFS($C$3:$Q$3,"POM",$C27:$Q27,AM$3)=0)*(COUNTIFS($C$3:$Q$3,"NOTTE",$C27:$Q27,AM$3)=0)*(COUNTIFS($C$3:$Q$3,"NOTTE",$C26:$Q26,AM$3)=0))=0,"",IF(0+((AM27&lt;&gt;"Xm")*(AM27&lt;&gt;"Xg")*(COUNTIFS($C$3:$Q$3,"MAT",$C27:$Q27,AM$3)=0)*(COUNTIFS($C$3:$Q$3,"NOTTE",$C27:$Q27,AM$3)=0)*(COUNTIFS($C$3:$Q$3,"NOTTE",$C26:$Q26,AM$3)=0))+((AM27&lt;&gt;"Xp")*(AM27&lt;&gt;"Xg")*(COUNTIFS($C$3:$Q$3,"POM",$C27:$Q27,AM$3)=0)*(COUNTIFS($C$3:$Q$3,"NOTTE",$C27:$Q27,AM$3)=0)*(COUNTIFS($C$3:$Q$3,"NOTTE",$C26:$Q26,AM$3)=0))+((AM27&lt;&gt;"Xn")*(COUNTIFS($C$3:$Q$3,"MAT",$C27:$Q27,AM$3)=0)*(COUNTIFS($C$3:$Q$3,"POM",$C27:$Q27,AM$3)=0)*(COUNTIFS($C$3:$Q$3,"NOTTE",$C27:$Q27,AM$3)=0)*(COUNTIFS($C$3:$Q$3,"NOTTE",$C26:$Q26,AM$3)=0))=3,AM$3&amp;", ",AM$3&amp;IF((AM27&lt;&gt;"Xm")*(AM27&lt;&gt;"Xg")*(COUNTIFS($C$3:$Q$3,"MAT",$C27:$Q27,AM$3)=0)*(COUNTIFS($C$3:$Q$3,"NOTTE",$C27:$Q27,AM$3)=0)*(COUNTIFS($C$3:$Q$3,"NOTTE",$C26:$Q26,AM$3)=0),"_m","")&amp;IF((AM27&lt;&gt;"Xp")*(AM27&lt;&gt;"Xg")*(COUNTIFS($C$3:$Q$3,"POM",$C27:$Q27,AM$3)=0)*(COUNTIFS($C$3:$Q$3,"NOTTE",$C27:$Q27,AM$3)=0)*(COUNTIFS($C$3:$Q$3,"NOTTE",$C26:$Q26,AM$3)=0),"_p","")&amp;IF((AM27&lt;&gt;"Xn")*(COUNTIFS($C$3:$Q$3,"MAT",$C27:$Q27,AM$3)=0)*(COUNTIFS($C$3:$Q$3,"POM",$C27:$Q27,AM$3)=0)*(COUNTIFS($C$3:$Q$3,"NOTTE",$C27:$Q27,AM$3)=0)*(COUNTIFS($C$3:$Q$3,"NOTTE",$C26:$Q26,AM$3)=0),"_n","")&amp;", ")))</f>
        <v xml:space="preserve">GRECO, </v>
      </c>
      <c r="CQ27" s="9" t="str">
        <f>IF(0+(AN27="X")&gt;0,"",IF(0+((AN27&lt;&gt;"Xm")*(AN27&lt;&gt;"Xg")*(COUNTIFS($C$3:$Q$3,"MAT",$C27:$Q27,AN$3)=0)*(COUNTIFS($C$3:$Q$3,"NOTTE",$C27:$Q27,AN$3)=0)*(COUNTIFS($C$3:$Q$3,"NOTTE",$C26:$Q26,AN$3)=0))+((AN27&lt;&gt;"Xp")*(AN27&lt;&gt;"Xg")*(COUNTIFS($C$3:$Q$3,"POM",$C27:$Q27,AN$3)=0)*(COUNTIFS($C$3:$Q$3,"NOTTE",$C27:$Q27,AN$3)=0)*(COUNTIFS($C$3:$Q$3,"NOTTE",$C26:$Q26,AN$3)=0))+((AN27&lt;&gt;"Xn")*(COUNTIFS($C$3:$Q$3,"MAT",$C27:$Q27,AN$3)=0)*(COUNTIFS($C$3:$Q$3,"POM",$C27:$Q27,AN$3)=0)*(COUNTIFS($C$3:$Q$3,"NOTTE",$C27:$Q27,AN$3)=0)*(COUNTIFS($C$3:$Q$3,"NOTTE",$C26:$Q26,AN$3)=0))=0,"",IF(0+((AN27&lt;&gt;"Xm")*(AN27&lt;&gt;"Xg")*(COUNTIFS($C$3:$Q$3,"MAT",$C27:$Q27,AN$3)=0)*(COUNTIFS($C$3:$Q$3,"NOTTE",$C27:$Q27,AN$3)=0)*(COUNTIFS($C$3:$Q$3,"NOTTE",$C26:$Q26,AN$3)=0))+((AN27&lt;&gt;"Xp")*(AN27&lt;&gt;"Xg")*(COUNTIFS($C$3:$Q$3,"POM",$C27:$Q27,AN$3)=0)*(COUNTIFS($C$3:$Q$3,"NOTTE",$C27:$Q27,AN$3)=0)*(COUNTIFS($C$3:$Q$3,"NOTTE",$C26:$Q26,AN$3)=0))+((AN27&lt;&gt;"Xn")*(COUNTIFS($C$3:$Q$3,"MAT",$C27:$Q27,AN$3)=0)*(COUNTIFS($C$3:$Q$3,"POM",$C27:$Q27,AN$3)=0)*(COUNTIFS($C$3:$Q$3,"NOTTE",$C27:$Q27,AN$3)=0)*(COUNTIFS($C$3:$Q$3,"NOTTE",$C26:$Q26,AN$3)=0))=3,AN$3&amp;", ",AN$3&amp;IF((AN27&lt;&gt;"Xm")*(AN27&lt;&gt;"Xg")*(COUNTIFS($C$3:$Q$3,"MAT",$C27:$Q27,AN$3)=0)*(COUNTIFS($C$3:$Q$3,"NOTTE",$C27:$Q27,AN$3)=0)*(COUNTIFS($C$3:$Q$3,"NOTTE",$C26:$Q26,AN$3)=0),"_m","")&amp;IF((AN27&lt;&gt;"Xp")*(AN27&lt;&gt;"Xg")*(COUNTIFS($C$3:$Q$3,"POM",$C27:$Q27,AN$3)=0)*(COUNTIFS($C$3:$Q$3,"NOTTE",$C27:$Q27,AN$3)=0)*(COUNTIFS($C$3:$Q$3,"NOTTE",$C26:$Q26,AN$3)=0),"_p","")&amp;IF((AN27&lt;&gt;"Xn")*(COUNTIFS($C$3:$Q$3,"MAT",$C27:$Q27,AN$3)=0)*(COUNTIFS($C$3:$Q$3,"POM",$C27:$Q27,AN$3)=0)*(COUNTIFS($C$3:$Q$3,"NOTTE",$C27:$Q27,AN$3)=0)*(COUNTIFS($C$3:$Q$3,"NOTTE",$C26:$Q26,AN$3)=0),"_n","")&amp;", ")))</f>
        <v xml:space="preserve">SANNA, </v>
      </c>
      <c r="CR27" s="9" t="str">
        <f>IF(0+(AO27="X")&gt;0,"",IF(0+((AO27&lt;&gt;"Xm")*(AO27&lt;&gt;"Xg")*(COUNTIFS($C$3:$Q$3,"MAT",$C27:$Q27,AO$3)=0)*(COUNTIFS($C$3:$Q$3,"NOTTE",$C27:$Q27,AO$3)=0)*(COUNTIFS($C$3:$Q$3,"NOTTE",$C26:$Q26,AO$3)=0))+((AO27&lt;&gt;"Xp")*(AO27&lt;&gt;"Xg")*(COUNTIFS($C$3:$Q$3,"POM",$C27:$Q27,AO$3)=0)*(COUNTIFS($C$3:$Q$3,"NOTTE",$C27:$Q27,AO$3)=0)*(COUNTIFS($C$3:$Q$3,"NOTTE",$C26:$Q26,AO$3)=0))+((AO27&lt;&gt;"Xn")*(COUNTIFS($C$3:$Q$3,"MAT",$C27:$Q27,AO$3)=0)*(COUNTIFS($C$3:$Q$3,"POM",$C27:$Q27,AO$3)=0)*(COUNTIFS($C$3:$Q$3,"NOTTE",$C27:$Q27,AO$3)=0)*(COUNTIFS($C$3:$Q$3,"NOTTE",$C26:$Q26,AO$3)=0))=0,"",IF(0+((AO27&lt;&gt;"Xm")*(AO27&lt;&gt;"Xg")*(COUNTIFS($C$3:$Q$3,"MAT",$C27:$Q27,AO$3)=0)*(COUNTIFS($C$3:$Q$3,"NOTTE",$C27:$Q27,AO$3)=0)*(COUNTIFS($C$3:$Q$3,"NOTTE",$C26:$Q26,AO$3)=0))+((AO27&lt;&gt;"Xp")*(AO27&lt;&gt;"Xg")*(COUNTIFS($C$3:$Q$3,"POM",$C27:$Q27,AO$3)=0)*(COUNTIFS($C$3:$Q$3,"NOTTE",$C27:$Q27,AO$3)=0)*(COUNTIFS($C$3:$Q$3,"NOTTE",$C26:$Q26,AO$3)=0))+((AO27&lt;&gt;"Xn")*(COUNTIFS($C$3:$Q$3,"MAT",$C27:$Q27,AO$3)=0)*(COUNTIFS($C$3:$Q$3,"POM",$C27:$Q27,AO$3)=0)*(COUNTIFS($C$3:$Q$3,"NOTTE",$C27:$Q27,AO$3)=0)*(COUNTIFS($C$3:$Q$3,"NOTTE",$C26:$Q26,AO$3)=0))=3,AO$3&amp;", ",AO$3&amp;IF((AO27&lt;&gt;"Xm")*(AO27&lt;&gt;"Xg")*(COUNTIFS($C$3:$Q$3,"MAT",$C27:$Q27,AO$3)=0)*(COUNTIFS($C$3:$Q$3,"NOTTE",$C27:$Q27,AO$3)=0)*(COUNTIFS($C$3:$Q$3,"NOTTE",$C26:$Q26,AO$3)=0),"_m","")&amp;IF((AO27&lt;&gt;"Xp")*(AO27&lt;&gt;"Xg")*(COUNTIFS($C$3:$Q$3,"POM",$C27:$Q27,AO$3)=0)*(COUNTIFS($C$3:$Q$3,"NOTTE",$C27:$Q27,AO$3)=0)*(COUNTIFS($C$3:$Q$3,"NOTTE",$C26:$Q26,AO$3)=0),"_p","")&amp;IF((AO27&lt;&gt;"Xn")*(COUNTIFS($C$3:$Q$3,"MAT",$C27:$Q27,AO$3)=0)*(COUNTIFS($C$3:$Q$3,"POM",$C27:$Q27,AO$3)=0)*(COUNTIFS($C$3:$Q$3,"NOTTE",$C27:$Q27,AO$3)=0)*(COUNTIFS($C$3:$Q$3,"NOTTE",$C26:$Q26,AO$3)=0),"_n","")&amp;", ")))</f>
        <v xml:space="preserve">LI, </v>
      </c>
    </row>
    <row r="28">
      <c r="A28" s="10" t="str">
        <f>CHOOSE(WEEKDAY(DATE($B$1,$A$2,B28),2),"lunedì","martedì","mercoledì","giovedì","venerdì","sabato","domenica")</f>
        <v>mercoledì</v>
      </c>
      <c r="B28" s="10" t="n">
        <v>25</v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4" t="n"/>
      <c r="Q28" s="11" t="n"/>
      <c r="R28" s="11" t="n"/>
      <c r="S28" s="11">
        <f>IF(SUMPRODUCT(($C$3:$Q$3&lt;&gt;"")*($C28:$Q28&lt;&gt;"")*(LEFT($C28:$Q28,6)&lt;&gt;"chiuso")*(COUNTIFS($C28:$Q28,$C28:$Q28,$C$3:$Q$3,$C$3:$Q$3)&gt;1))&gt;0,"X","")</f>
      </c>
      <c r="T28" s="11" t="str">
        <f>IF(LEN(BP28&amp;BQ28&amp;BR28&amp;BS28&amp;BT28&amp;BU28&amp;BV28&amp;BW28&amp;BX28&amp;BY28&amp;BZ28&amp;CA28&amp;CB28&amp;CC28)=0,"",LEFT(BP28&amp;BQ28&amp;BR28&amp;BS28&amp;BT28&amp;BU28&amp;BV28&amp;BW28&amp;BX28&amp;BY28&amp;BZ28&amp;CA28&amp;CB28&amp;CC28,LEN(BP28&amp;BQ28&amp;BR28&amp;BS28&amp;BT28&amp;BU28&amp;BV28&amp;BW28&amp;BX28&amp;BY28&amp;BZ28&amp;CA28&amp;CB28&amp;CC28)-2))</f>
        <v>LEONI, ROSSI M, ROSSI L, GALLINA, RUSSO, VERDI, HU, MARINI, CONTI A, CONTI S, FERRARI, GRECO, SANNA, LI</v>
      </c>
      <c r="U28" s="11" t="str">
        <f>IF(LEN(CE28&amp;CF28&amp;CG28&amp;CH28&amp;CI28&amp;CJ28&amp;CK28&amp;CL28&amp;CM28&amp;CN28&amp;CO28&amp;CP28&amp;CQ28&amp;CR28)=0,"",LEFT(CE28&amp;CF28&amp;CG28&amp;CH28&amp;CI28&amp;CJ28&amp;CK28&amp;CL28&amp;CM28&amp;CN28&amp;CO28&amp;CP28&amp;CQ28&amp;CR28,LEN(CE28&amp;CF28&amp;CG28&amp;CH28&amp;CI28&amp;CJ28&amp;CK28&amp;CL28&amp;CM28&amp;CN28&amp;CO28&amp;CP28&amp;CQ28&amp;CR28)-2))</f>
        <v>LEONI, ROSSI M, ROSSI L, GALLINA, RUSSO, VERDI, HU, MARINI, CONTI A, CONTI S, FERRARI, GRECO, SANNA, LI</v>
      </c>
      <c r="Z28" s="10" t="str">
        <f>A28</f>
        <v>mercoledì</v>
      </c>
      <c r="AA28" s="10">
        <f>B28</f>
        <v>25</v>
      </c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BP28" s="9" t="str">
        <f>IF(0+(AB28="X")&gt;0,"",IF(0+((AB28&lt;&gt;"Xm")*(AB28&lt;&gt;"Xg"))+((AB28&lt;&gt;"Xp")*(AB28&lt;&gt;"Xg"))+((AB28&lt;&gt;"Xn"))=0,"",IF(0+((AB28&lt;&gt;"Xm")*(AB28&lt;&gt;"Xg"))+((AB28&lt;&gt;"Xp")*(AB28&lt;&gt;"Xg"))+((AB28&lt;&gt;"Xn"))=3,AB$3&amp;", ",AB$3&amp;IF((AB28&lt;&gt;"Xm")*(AB28&lt;&gt;"Xg"),"_m","")&amp;IF((AB28&lt;&gt;"Xp")*(AB28&lt;&gt;"Xg"),"_p","")&amp;IF((AB28&lt;&gt;"Xn"),"_n","")&amp;", ")))</f>
        <v xml:space="preserve">LEONI, </v>
      </c>
      <c r="BQ28" s="9" t="str">
        <f>IF(0+(AC28="X")&gt;0,"",IF(0+((AC28&lt;&gt;"Xm")*(AC28&lt;&gt;"Xg"))+((AC28&lt;&gt;"Xp")*(AC28&lt;&gt;"Xg"))+((AC28&lt;&gt;"Xn"))=0,"",IF(0+((AC28&lt;&gt;"Xm")*(AC28&lt;&gt;"Xg"))+((AC28&lt;&gt;"Xp")*(AC28&lt;&gt;"Xg"))+((AC28&lt;&gt;"Xn"))=3,AC$3&amp;", ",AC$3&amp;IF((AC28&lt;&gt;"Xm")*(AC28&lt;&gt;"Xg"),"_m","")&amp;IF((AC28&lt;&gt;"Xp")*(AC28&lt;&gt;"Xg"),"_p","")&amp;IF((AC28&lt;&gt;"Xn"),"_n","")&amp;", ")))</f>
        <v xml:space="preserve">ROSSI M, </v>
      </c>
      <c r="BR28" s="9" t="str">
        <f>IF(0+(AD28="X")&gt;0,"",IF(0+((AD28&lt;&gt;"Xm")*(AD28&lt;&gt;"Xg"))+((AD28&lt;&gt;"Xp")*(AD28&lt;&gt;"Xg"))+((AD28&lt;&gt;"Xn"))=0,"",IF(0+((AD28&lt;&gt;"Xm")*(AD28&lt;&gt;"Xg"))+((AD28&lt;&gt;"Xp")*(AD28&lt;&gt;"Xg"))+((AD28&lt;&gt;"Xn"))=3,AD$3&amp;", ",AD$3&amp;IF((AD28&lt;&gt;"Xm")*(AD28&lt;&gt;"Xg"),"_m","")&amp;IF((AD28&lt;&gt;"Xp")*(AD28&lt;&gt;"Xg"),"_p","")&amp;IF((AD28&lt;&gt;"Xn"),"_n","")&amp;", ")))</f>
        <v xml:space="preserve">ROSSI L, </v>
      </c>
      <c r="BS28" s="9" t="str">
        <f>IF(0+(AE28="X")&gt;0,"",IF(0+((AE28&lt;&gt;"Xm")*(AE28&lt;&gt;"Xg"))+((AE28&lt;&gt;"Xp")*(AE28&lt;&gt;"Xg"))+((AE28&lt;&gt;"Xn"))=0,"",IF(0+((AE28&lt;&gt;"Xm")*(AE28&lt;&gt;"Xg"))+((AE28&lt;&gt;"Xp")*(AE28&lt;&gt;"Xg"))+((AE28&lt;&gt;"Xn"))=3,AE$3&amp;", ",AE$3&amp;IF((AE28&lt;&gt;"Xm")*(AE28&lt;&gt;"Xg"),"_m","")&amp;IF((AE28&lt;&gt;"Xp")*(AE28&lt;&gt;"Xg"),"_p","")&amp;IF((AE28&lt;&gt;"Xn"),"_n","")&amp;", ")))</f>
        <v xml:space="preserve">GALLINA, </v>
      </c>
      <c r="BT28" s="9" t="str">
        <f>IF(0+(AF28="X")&gt;0,"",IF(0+((AF28&lt;&gt;"Xm")*(AF28&lt;&gt;"Xg"))+((AF28&lt;&gt;"Xp")*(AF28&lt;&gt;"Xg"))+((AF28&lt;&gt;"Xn"))=0,"",IF(0+((AF28&lt;&gt;"Xm")*(AF28&lt;&gt;"Xg"))+((AF28&lt;&gt;"Xp")*(AF28&lt;&gt;"Xg"))+((AF28&lt;&gt;"Xn"))=3,AF$3&amp;", ",AF$3&amp;IF((AF28&lt;&gt;"Xm")*(AF28&lt;&gt;"Xg"),"_m","")&amp;IF((AF28&lt;&gt;"Xp")*(AF28&lt;&gt;"Xg"),"_p","")&amp;IF((AF28&lt;&gt;"Xn"),"_n","")&amp;", ")))</f>
        <v xml:space="preserve">RUSSO, </v>
      </c>
      <c r="BU28" s="9" t="str">
        <f>IF(0+(AG28="X")&gt;0,"",IF(0+((AG28&lt;&gt;"Xm")*(AG28&lt;&gt;"Xg"))+((AG28&lt;&gt;"Xp")*(AG28&lt;&gt;"Xg"))+((AG28&lt;&gt;"Xn"))=0,"",IF(0+((AG28&lt;&gt;"Xm")*(AG28&lt;&gt;"Xg"))+((AG28&lt;&gt;"Xp")*(AG28&lt;&gt;"Xg"))+((AG28&lt;&gt;"Xn"))=3,AG$3&amp;", ",AG$3&amp;IF((AG28&lt;&gt;"Xm")*(AG28&lt;&gt;"Xg"),"_m","")&amp;IF((AG28&lt;&gt;"Xp")*(AG28&lt;&gt;"Xg"),"_p","")&amp;IF((AG28&lt;&gt;"Xn"),"_n","")&amp;", ")))</f>
        <v xml:space="preserve">VERDI, </v>
      </c>
      <c r="BV28" s="9" t="str">
        <f>IF(0+(AH28="X")&gt;0,"",IF(0+((AH28&lt;&gt;"Xm")*(AH28&lt;&gt;"Xg"))+((AH28&lt;&gt;"Xp")*(AH28&lt;&gt;"Xg"))+((AH28&lt;&gt;"Xn"))=0,"",IF(0+((AH28&lt;&gt;"Xm")*(AH28&lt;&gt;"Xg"))+((AH28&lt;&gt;"Xp")*(AH28&lt;&gt;"Xg"))+((AH28&lt;&gt;"Xn"))=3,AH$3&amp;", ",AH$3&amp;IF((AH28&lt;&gt;"Xm")*(AH28&lt;&gt;"Xg"),"_m","")&amp;IF((AH28&lt;&gt;"Xp")*(AH28&lt;&gt;"Xg"),"_p","")&amp;IF((AH28&lt;&gt;"Xn"),"_n","")&amp;", ")))</f>
        <v xml:space="preserve">HU, </v>
      </c>
      <c r="BW28" s="9" t="str">
        <f>IF(0+(AI28="X")&gt;0,"",IF(0+((AI28&lt;&gt;"Xm")*(AI28&lt;&gt;"Xg"))+((AI28&lt;&gt;"Xp")*(AI28&lt;&gt;"Xg"))+((AI28&lt;&gt;"Xn"))=0,"",IF(0+((AI28&lt;&gt;"Xm")*(AI28&lt;&gt;"Xg"))+((AI28&lt;&gt;"Xp")*(AI28&lt;&gt;"Xg"))+((AI28&lt;&gt;"Xn"))=3,AI$3&amp;", ",AI$3&amp;IF((AI28&lt;&gt;"Xm")*(AI28&lt;&gt;"Xg"),"_m","")&amp;IF((AI28&lt;&gt;"Xp")*(AI28&lt;&gt;"Xg"),"_p","")&amp;IF((AI28&lt;&gt;"Xn"),"_n","")&amp;", ")))</f>
        <v xml:space="preserve">MARINI, </v>
      </c>
      <c r="BX28" s="9" t="str">
        <f>IF(0+(AJ28="X")&gt;0,"",IF(0+((AJ28&lt;&gt;"Xm")*(AJ28&lt;&gt;"Xg"))+((AJ28&lt;&gt;"Xp")*(AJ28&lt;&gt;"Xg"))+((AJ28&lt;&gt;"Xn"))=0,"",IF(0+((AJ28&lt;&gt;"Xm")*(AJ28&lt;&gt;"Xg"))+((AJ28&lt;&gt;"Xp")*(AJ28&lt;&gt;"Xg"))+((AJ28&lt;&gt;"Xn"))=3,AJ$3&amp;", ",AJ$3&amp;IF((AJ28&lt;&gt;"Xm")*(AJ28&lt;&gt;"Xg"),"_m","")&amp;IF((AJ28&lt;&gt;"Xp")*(AJ28&lt;&gt;"Xg"),"_p","")&amp;IF((AJ28&lt;&gt;"Xn"),"_n","")&amp;", ")))</f>
        <v xml:space="preserve">CONTI A, </v>
      </c>
      <c r="BY28" s="9" t="str">
        <f>IF(0+(AK28="X")&gt;0,"",IF(0+((AK28&lt;&gt;"Xm")*(AK28&lt;&gt;"Xg"))+((AK28&lt;&gt;"Xp")*(AK28&lt;&gt;"Xg"))+((AK28&lt;&gt;"Xn"))=0,"",IF(0+((AK28&lt;&gt;"Xm")*(AK28&lt;&gt;"Xg"))+((AK28&lt;&gt;"Xp")*(AK28&lt;&gt;"Xg"))+((AK28&lt;&gt;"Xn"))=3,AK$3&amp;", ",AK$3&amp;IF((AK28&lt;&gt;"Xm")*(AK28&lt;&gt;"Xg"),"_m","")&amp;IF((AK28&lt;&gt;"Xp")*(AK28&lt;&gt;"Xg"),"_p","")&amp;IF((AK28&lt;&gt;"Xn"),"_n","")&amp;", ")))</f>
        <v xml:space="preserve">CONTI S, </v>
      </c>
      <c r="BZ28" s="9" t="str">
        <f>IF(0+(AL28="X")&gt;0,"",IF(0+((AL28&lt;&gt;"Xm")*(AL28&lt;&gt;"Xg"))+((AL28&lt;&gt;"Xp")*(AL28&lt;&gt;"Xg"))+((AL28&lt;&gt;"Xn"))=0,"",IF(0+((AL28&lt;&gt;"Xm")*(AL28&lt;&gt;"Xg"))+((AL28&lt;&gt;"Xp")*(AL28&lt;&gt;"Xg"))+((AL28&lt;&gt;"Xn"))=3,AL$3&amp;", ",AL$3&amp;IF((AL28&lt;&gt;"Xm")*(AL28&lt;&gt;"Xg"),"_m","")&amp;IF((AL28&lt;&gt;"Xp")*(AL28&lt;&gt;"Xg"),"_p","")&amp;IF((AL28&lt;&gt;"Xn"),"_n","")&amp;", ")))</f>
        <v xml:space="preserve">FERRARI, </v>
      </c>
      <c r="CA28" s="9" t="str">
        <f>IF(0+(AM28="X")&gt;0,"",IF(0+((AM28&lt;&gt;"Xm")*(AM28&lt;&gt;"Xg"))+((AM28&lt;&gt;"Xp")*(AM28&lt;&gt;"Xg"))+((AM28&lt;&gt;"Xn"))=0,"",IF(0+((AM28&lt;&gt;"Xm")*(AM28&lt;&gt;"Xg"))+((AM28&lt;&gt;"Xp")*(AM28&lt;&gt;"Xg"))+((AM28&lt;&gt;"Xn"))=3,AM$3&amp;", ",AM$3&amp;IF((AM28&lt;&gt;"Xm")*(AM28&lt;&gt;"Xg"),"_m","")&amp;IF((AM28&lt;&gt;"Xp")*(AM28&lt;&gt;"Xg"),"_p","")&amp;IF((AM28&lt;&gt;"Xn"),"_n","")&amp;", ")))</f>
        <v xml:space="preserve">GRECO, </v>
      </c>
      <c r="CB28" s="9" t="str">
        <f>IF(0+(AN28="X")&gt;0,"",IF(0+((AN28&lt;&gt;"Xm")*(AN28&lt;&gt;"Xg"))+((AN28&lt;&gt;"Xp")*(AN28&lt;&gt;"Xg"))+((AN28&lt;&gt;"Xn"))=0,"",IF(0+((AN28&lt;&gt;"Xm")*(AN28&lt;&gt;"Xg"))+((AN28&lt;&gt;"Xp")*(AN28&lt;&gt;"Xg"))+((AN28&lt;&gt;"Xn"))=3,AN$3&amp;", ",AN$3&amp;IF((AN28&lt;&gt;"Xm")*(AN28&lt;&gt;"Xg"),"_m","")&amp;IF((AN28&lt;&gt;"Xp")*(AN28&lt;&gt;"Xg"),"_p","")&amp;IF((AN28&lt;&gt;"Xn"),"_n","")&amp;", ")))</f>
        <v xml:space="preserve">SANNA, </v>
      </c>
      <c r="CC28" s="9" t="str">
        <f>IF(0+(AO28="X")&gt;0,"",IF(0+((AO28&lt;&gt;"Xm")*(AO28&lt;&gt;"Xg"))+((AO28&lt;&gt;"Xp")*(AO28&lt;&gt;"Xg"))+((AO28&lt;&gt;"Xn"))=0,"",IF(0+((AO28&lt;&gt;"Xm")*(AO28&lt;&gt;"Xg"))+((AO28&lt;&gt;"Xp")*(AO28&lt;&gt;"Xg"))+((AO28&lt;&gt;"Xn"))=3,AO$3&amp;", ",AO$3&amp;IF((AO28&lt;&gt;"Xm")*(AO28&lt;&gt;"Xg"),"_m","")&amp;IF((AO28&lt;&gt;"Xp")*(AO28&lt;&gt;"Xg"),"_p","")&amp;IF((AO28&lt;&gt;"Xn"),"_n","")&amp;", ")))</f>
        <v xml:space="preserve">LI, </v>
      </c>
      <c r="CD28" s="9" t="n"/>
      <c r="CE28" s="9" t="str">
        <f>IF(0+(AB28="X")&gt;0,"",IF(0+((AB28&lt;&gt;"Xm")*(AB28&lt;&gt;"Xg")*(COUNTIFS($C$3:$Q$3,"MAT",$C28:$Q28,AB$3)=0)*(COUNTIFS($C$3:$Q$3,"NOTTE",$C28:$Q28,AB$3)=0)*(COUNTIFS($C$3:$Q$3,"NOTTE",$C27:$Q27,AB$3)=0))+((AB28&lt;&gt;"Xp")*(AB28&lt;&gt;"Xg")*(COUNTIFS($C$3:$Q$3,"POM",$C28:$Q28,AB$3)=0)*(COUNTIFS($C$3:$Q$3,"NOTTE",$C28:$Q28,AB$3)=0)*(COUNTIFS($C$3:$Q$3,"NOTTE",$C27:$Q27,AB$3)=0))+((AB28&lt;&gt;"Xn")*(COUNTIFS($C$3:$Q$3,"MAT",$C28:$Q28,AB$3)=0)*(COUNTIFS($C$3:$Q$3,"POM",$C28:$Q28,AB$3)=0)*(COUNTIFS($C$3:$Q$3,"NOTTE",$C28:$Q28,AB$3)=0)*(COUNTIFS($C$3:$Q$3,"NOTTE",$C27:$Q27,AB$3)=0))=0,"",IF(0+((AB28&lt;&gt;"Xm")*(AB28&lt;&gt;"Xg")*(COUNTIFS($C$3:$Q$3,"MAT",$C28:$Q28,AB$3)=0)*(COUNTIFS($C$3:$Q$3,"NOTTE",$C28:$Q28,AB$3)=0)*(COUNTIFS($C$3:$Q$3,"NOTTE",$C27:$Q27,AB$3)=0))+((AB28&lt;&gt;"Xp")*(AB28&lt;&gt;"Xg")*(COUNTIFS($C$3:$Q$3,"POM",$C28:$Q28,AB$3)=0)*(COUNTIFS($C$3:$Q$3,"NOTTE",$C28:$Q28,AB$3)=0)*(COUNTIFS($C$3:$Q$3,"NOTTE",$C27:$Q27,AB$3)=0))+((AB28&lt;&gt;"Xn")*(COUNTIFS($C$3:$Q$3,"MAT",$C28:$Q28,AB$3)=0)*(COUNTIFS($C$3:$Q$3,"POM",$C28:$Q28,AB$3)=0)*(COUNTIFS($C$3:$Q$3,"NOTTE",$C28:$Q28,AB$3)=0)*(COUNTIFS($C$3:$Q$3,"NOTTE",$C27:$Q27,AB$3)=0))=3,AB$3&amp;", ",AB$3&amp;IF((AB28&lt;&gt;"Xm")*(AB28&lt;&gt;"Xg")*(COUNTIFS($C$3:$Q$3,"MAT",$C28:$Q28,AB$3)=0)*(COUNTIFS($C$3:$Q$3,"NOTTE",$C28:$Q28,AB$3)=0)*(COUNTIFS($C$3:$Q$3,"NOTTE",$C27:$Q27,AB$3)=0),"_m","")&amp;IF((AB28&lt;&gt;"Xp")*(AB28&lt;&gt;"Xg")*(COUNTIFS($C$3:$Q$3,"POM",$C28:$Q28,AB$3)=0)*(COUNTIFS($C$3:$Q$3,"NOTTE",$C28:$Q28,AB$3)=0)*(COUNTIFS($C$3:$Q$3,"NOTTE",$C27:$Q27,AB$3)=0),"_p","")&amp;IF((AB28&lt;&gt;"Xn")*(COUNTIFS($C$3:$Q$3,"MAT",$C28:$Q28,AB$3)=0)*(COUNTIFS($C$3:$Q$3,"POM",$C28:$Q28,AB$3)=0)*(COUNTIFS($C$3:$Q$3,"NOTTE",$C28:$Q28,AB$3)=0)*(COUNTIFS($C$3:$Q$3,"NOTTE",$C27:$Q27,AB$3)=0),"_n","")&amp;", ")))</f>
        <v xml:space="preserve">LEONI, </v>
      </c>
      <c r="CF28" s="9" t="str">
        <f>IF(0+(AC28="X")&gt;0,"",IF(0+((AC28&lt;&gt;"Xm")*(AC28&lt;&gt;"Xg")*(COUNTIFS($C$3:$Q$3,"MAT",$C28:$Q28,AC$3)=0)*(COUNTIFS($C$3:$Q$3,"NOTTE",$C28:$Q28,AC$3)=0)*(COUNTIFS($C$3:$Q$3,"NOTTE",$C27:$Q27,AC$3)=0))+((AC28&lt;&gt;"Xp")*(AC28&lt;&gt;"Xg")*(COUNTIFS($C$3:$Q$3,"POM",$C28:$Q28,AC$3)=0)*(COUNTIFS($C$3:$Q$3,"NOTTE",$C28:$Q28,AC$3)=0)*(COUNTIFS($C$3:$Q$3,"NOTTE",$C27:$Q27,AC$3)=0))+((AC28&lt;&gt;"Xn")*(COUNTIFS($C$3:$Q$3,"MAT",$C28:$Q28,AC$3)=0)*(COUNTIFS($C$3:$Q$3,"POM",$C28:$Q28,AC$3)=0)*(COUNTIFS($C$3:$Q$3,"NOTTE",$C28:$Q28,AC$3)=0)*(COUNTIFS($C$3:$Q$3,"NOTTE",$C27:$Q27,AC$3)=0))=0,"",IF(0+((AC28&lt;&gt;"Xm")*(AC28&lt;&gt;"Xg")*(COUNTIFS($C$3:$Q$3,"MAT",$C28:$Q28,AC$3)=0)*(COUNTIFS($C$3:$Q$3,"NOTTE",$C28:$Q28,AC$3)=0)*(COUNTIFS($C$3:$Q$3,"NOTTE",$C27:$Q27,AC$3)=0))+((AC28&lt;&gt;"Xp")*(AC28&lt;&gt;"Xg")*(COUNTIFS($C$3:$Q$3,"POM",$C28:$Q28,AC$3)=0)*(COUNTIFS($C$3:$Q$3,"NOTTE",$C28:$Q28,AC$3)=0)*(COUNTIFS($C$3:$Q$3,"NOTTE",$C27:$Q27,AC$3)=0))+((AC28&lt;&gt;"Xn")*(COUNTIFS($C$3:$Q$3,"MAT",$C28:$Q28,AC$3)=0)*(COUNTIFS($C$3:$Q$3,"POM",$C28:$Q28,AC$3)=0)*(COUNTIFS($C$3:$Q$3,"NOTTE",$C28:$Q28,AC$3)=0)*(COUNTIFS($C$3:$Q$3,"NOTTE",$C27:$Q27,AC$3)=0))=3,AC$3&amp;", ",AC$3&amp;IF((AC28&lt;&gt;"Xm")*(AC28&lt;&gt;"Xg")*(COUNTIFS($C$3:$Q$3,"MAT",$C28:$Q28,AC$3)=0)*(COUNTIFS($C$3:$Q$3,"NOTTE",$C28:$Q28,AC$3)=0)*(COUNTIFS($C$3:$Q$3,"NOTTE",$C27:$Q27,AC$3)=0),"_m","")&amp;IF((AC28&lt;&gt;"Xp")*(AC28&lt;&gt;"Xg")*(COUNTIFS($C$3:$Q$3,"POM",$C28:$Q28,AC$3)=0)*(COUNTIFS($C$3:$Q$3,"NOTTE",$C28:$Q28,AC$3)=0)*(COUNTIFS($C$3:$Q$3,"NOTTE",$C27:$Q27,AC$3)=0),"_p","")&amp;IF((AC28&lt;&gt;"Xn")*(COUNTIFS($C$3:$Q$3,"MAT",$C28:$Q28,AC$3)=0)*(COUNTIFS($C$3:$Q$3,"POM",$C28:$Q28,AC$3)=0)*(COUNTIFS($C$3:$Q$3,"NOTTE",$C28:$Q28,AC$3)=0)*(COUNTIFS($C$3:$Q$3,"NOTTE",$C27:$Q27,AC$3)=0),"_n","")&amp;", ")))</f>
        <v xml:space="preserve">ROSSI M, </v>
      </c>
      <c r="CG28" s="9" t="str">
        <f>IF(0+(AD28="X")&gt;0,"",IF(0+((AD28&lt;&gt;"Xm")*(AD28&lt;&gt;"Xg")*(COUNTIFS($C$3:$Q$3,"MAT",$C28:$Q28,AD$3)=0)*(COUNTIFS($C$3:$Q$3,"NOTTE",$C28:$Q28,AD$3)=0)*(COUNTIFS($C$3:$Q$3,"NOTTE",$C27:$Q27,AD$3)=0))+((AD28&lt;&gt;"Xp")*(AD28&lt;&gt;"Xg")*(COUNTIFS($C$3:$Q$3,"POM",$C28:$Q28,AD$3)=0)*(COUNTIFS($C$3:$Q$3,"NOTTE",$C28:$Q28,AD$3)=0)*(COUNTIFS($C$3:$Q$3,"NOTTE",$C27:$Q27,AD$3)=0))+((AD28&lt;&gt;"Xn")*(COUNTIFS($C$3:$Q$3,"MAT",$C28:$Q28,AD$3)=0)*(COUNTIFS($C$3:$Q$3,"POM",$C28:$Q28,AD$3)=0)*(COUNTIFS($C$3:$Q$3,"NOTTE",$C28:$Q28,AD$3)=0)*(COUNTIFS($C$3:$Q$3,"NOTTE",$C27:$Q27,AD$3)=0))=0,"",IF(0+((AD28&lt;&gt;"Xm")*(AD28&lt;&gt;"Xg")*(COUNTIFS($C$3:$Q$3,"MAT",$C28:$Q28,AD$3)=0)*(COUNTIFS($C$3:$Q$3,"NOTTE",$C28:$Q28,AD$3)=0)*(COUNTIFS($C$3:$Q$3,"NOTTE",$C27:$Q27,AD$3)=0))+((AD28&lt;&gt;"Xp")*(AD28&lt;&gt;"Xg")*(COUNTIFS($C$3:$Q$3,"POM",$C28:$Q28,AD$3)=0)*(COUNTIFS($C$3:$Q$3,"NOTTE",$C28:$Q28,AD$3)=0)*(COUNTIFS($C$3:$Q$3,"NOTTE",$C27:$Q27,AD$3)=0))+((AD28&lt;&gt;"Xn")*(COUNTIFS($C$3:$Q$3,"MAT",$C28:$Q28,AD$3)=0)*(COUNTIFS($C$3:$Q$3,"POM",$C28:$Q28,AD$3)=0)*(COUNTIFS($C$3:$Q$3,"NOTTE",$C28:$Q28,AD$3)=0)*(COUNTIFS($C$3:$Q$3,"NOTTE",$C27:$Q27,AD$3)=0))=3,AD$3&amp;", ",AD$3&amp;IF((AD28&lt;&gt;"Xm")*(AD28&lt;&gt;"Xg")*(COUNTIFS($C$3:$Q$3,"MAT",$C28:$Q28,AD$3)=0)*(COUNTIFS($C$3:$Q$3,"NOTTE",$C28:$Q28,AD$3)=0)*(COUNTIFS($C$3:$Q$3,"NOTTE",$C27:$Q27,AD$3)=0),"_m","")&amp;IF((AD28&lt;&gt;"Xp")*(AD28&lt;&gt;"Xg")*(COUNTIFS($C$3:$Q$3,"POM",$C28:$Q28,AD$3)=0)*(COUNTIFS($C$3:$Q$3,"NOTTE",$C28:$Q28,AD$3)=0)*(COUNTIFS($C$3:$Q$3,"NOTTE",$C27:$Q27,AD$3)=0),"_p","")&amp;IF((AD28&lt;&gt;"Xn")*(COUNTIFS($C$3:$Q$3,"MAT",$C28:$Q28,AD$3)=0)*(COUNTIFS($C$3:$Q$3,"POM",$C28:$Q28,AD$3)=0)*(COUNTIFS($C$3:$Q$3,"NOTTE",$C28:$Q28,AD$3)=0)*(COUNTIFS($C$3:$Q$3,"NOTTE",$C27:$Q27,AD$3)=0),"_n","")&amp;", ")))</f>
        <v xml:space="preserve">ROSSI L, </v>
      </c>
      <c r="CH28" s="9" t="str">
        <f>IF(0+(AE28="X")&gt;0,"",IF(0+((AE28&lt;&gt;"Xm")*(AE28&lt;&gt;"Xg")*(COUNTIFS($C$3:$Q$3,"MAT",$C28:$Q28,AE$3)=0)*(COUNTIFS($C$3:$Q$3,"NOTTE",$C28:$Q28,AE$3)=0)*(COUNTIFS($C$3:$Q$3,"NOTTE",$C27:$Q27,AE$3)=0))+((AE28&lt;&gt;"Xp")*(AE28&lt;&gt;"Xg")*(COUNTIFS($C$3:$Q$3,"POM",$C28:$Q28,AE$3)=0)*(COUNTIFS($C$3:$Q$3,"NOTTE",$C28:$Q28,AE$3)=0)*(COUNTIFS($C$3:$Q$3,"NOTTE",$C27:$Q27,AE$3)=0))+((AE28&lt;&gt;"Xn")*(COUNTIFS($C$3:$Q$3,"MAT",$C28:$Q28,AE$3)=0)*(COUNTIFS($C$3:$Q$3,"POM",$C28:$Q28,AE$3)=0)*(COUNTIFS($C$3:$Q$3,"NOTTE",$C28:$Q28,AE$3)=0)*(COUNTIFS($C$3:$Q$3,"NOTTE",$C27:$Q27,AE$3)=0))=0,"",IF(0+((AE28&lt;&gt;"Xm")*(AE28&lt;&gt;"Xg")*(COUNTIFS($C$3:$Q$3,"MAT",$C28:$Q28,AE$3)=0)*(COUNTIFS($C$3:$Q$3,"NOTTE",$C28:$Q28,AE$3)=0)*(COUNTIFS($C$3:$Q$3,"NOTTE",$C27:$Q27,AE$3)=0))+((AE28&lt;&gt;"Xp")*(AE28&lt;&gt;"Xg")*(COUNTIFS($C$3:$Q$3,"POM",$C28:$Q28,AE$3)=0)*(COUNTIFS($C$3:$Q$3,"NOTTE",$C28:$Q28,AE$3)=0)*(COUNTIFS($C$3:$Q$3,"NOTTE",$C27:$Q27,AE$3)=0))+((AE28&lt;&gt;"Xn")*(COUNTIFS($C$3:$Q$3,"MAT",$C28:$Q28,AE$3)=0)*(COUNTIFS($C$3:$Q$3,"POM",$C28:$Q28,AE$3)=0)*(COUNTIFS($C$3:$Q$3,"NOTTE",$C28:$Q28,AE$3)=0)*(COUNTIFS($C$3:$Q$3,"NOTTE",$C27:$Q27,AE$3)=0))=3,AE$3&amp;", ",AE$3&amp;IF((AE28&lt;&gt;"Xm")*(AE28&lt;&gt;"Xg")*(COUNTIFS($C$3:$Q$3,"MAT",$C28:$Q28,AE$3)=0)*(COUNTIFS($C$3:$Q$3,"NOTTE",$C28:$Q28,AE$3)=0)*(COUNTIFS($C$3:$Q$3,"NOTTE",$C27:$Q27,AE$3)=0),"_m","")&amp;IF((AE28&lt;&gt;"Xp")*(AE28&lt;&gt;"Xg")*(COUNTIFS($C$3:$Q$3,"POM",$C28:$Q28,AE$3)=0)*(COUNTIFS($C$3:$Q$3,"NOTTE",$C28:$Q28,AE$3)=0)*(COUNTIFS($C$3:$Q$3,"NOTTE",$C27:$Q27,AE$3)=0),"_p","")&amp;IF((AE28&lt;&gt;"Xn")*(COUNTIFS($C$3:$Q$3,"MAT",$C28:$Q28,AE$3)=0)*(COUNTIFS($C$3:$Q$3,"POM",$C28:$Q28,AE$3)=0)*(COUNTIFS($C$3:$Q$3,"NOTTE",$C28:$Q28,AE$3)=0)*(COUNTIFS($C$3:$Q$3,"NOTTE",$C27:$Q27,AE$3)=0),"_n","")&amp;", ")))</f>
        <v xml:space="preserve">GALLINA, </v>
      </c>
      <c r="CI28" s="9" t="str">
        <f>IF(0+(AF28="X")&gt;0,"",IF(0+((AF28&lt;&gt;"Xm")*(AF28&lt;&gt;"Xg")*(COUNTIFS($C$3:$Q$3,"MAT",$C28:$Q28,AF$3)=0)*(COUNTIFS($C$3:$Q$3,"NOTTE",$C28:$Q28,AF$3)=0)*(COUNTIFS($C$3:$Q$3,"NOTTE",$C27:$Q27,AF$3)=0))+((AF28&lt;&gt;"Xp")*(AF28&lt;&gt;"Xg")*(COUNTIFS($C$3:$Q$3,"POM",$C28:$Q28,AF$3)=0)*(COUNTIFS($C$3:$Q$3,"NOTTE",$C28:$Q28,AF$3)=0)*(COUNTIFS($C$3:$Q$3,"NOTTE",$C27:$Q27,AF$3)=0))+((AF28&lt;&gt;"Xn")*(COUNTIFS($C$3:$Q$3,"MAT",$C28:$Q28,AF$3)=0)*(COUNTIFS($C$3:$Q$3,"POM",$C28:$Q28,AF$3)=0)*(COUNTIFS($C$3:$Q$3,"NOTTE",$C28:$Q28,AF$3)=0)*(COUNTIFS($C$3:$Q$3,"NOTTE",$C27:$Q27,AF$3)=0))=0,"",IF(0+((AF28&lt;&gt;"Xm")*(AF28&lt;&gt;"Xg")*(COUNTIFS($C$3:$Q$3,"MAT",$C28:$Q28,AF$3)=0)*(COUNTIFS($C$3:$Q$3,"NOTTE",$C28:$Q28,AF$3)=0)*(COUNTIFS($C$3:$Q$3,"NOTTE",$C27:$Q27,AF$3)=0))+((AF28&lt;&gt;"Xp")*(AF28&lt;&gt;"Xg")*(COUNTIFS($C$3:$Q$3,"POM",$C28:$Q28,AF$3)=0)*(COUNTIFS($C$3:$Q$3,"NOTTE",$C28:$Q28,AF$3)=0)*(COUNTIFS($C$3:$Q$3,"NOTTE",$C27:$Q27,AF$3)=0))+((AF28&lt;&gt;"Xn")*(COUNTIFS($C$3:$Q$3,"MAT",$C28:$Q28,AF$3)=0)*(COUNTIFS($C$3:$Q$3,"POM",$C28:$Q28,AF$3)=0)*(COUNTIFS($C$3:$Q$3,"NOTTE",$C28:$Q28,AF$3)=0)*(COUNTIFS($C$3:$Q$3,"NOTTE",$C27:$Q27,AF$3)=0))=3,AF$3&amp;", ",AF$3&amp;IF((AF28&lt;&gt;"Xm")*(AF28&lt;&gt;"Xg")*(COUNTIFS($C$3:$Q$3,"MAT",$C28:$Q28,AF$3)=0)*(COUNTIFS($C$3:$Q$3,"NOTTE",$C28:$Q28,AF$3)=0)*(COUNTIFS($C$3:$Q$3,"NOTTE",$C27:$Q27,AF$3)=0),"_m","")&amp;IF((AF28&lt;&gt;"Xp")*(AF28&lt;&gt;"Xg")*(COUNTIFS($C$3:$Q$3,"POM",$C28:$Q28,AF$3)=0)*(COUNTIFS($C$3:$Q$3,"NOTTE",$C28:$Q28,AF$3)=0)*(COUNTIFS($C$3:$Q$3,"NOTTE",$C27:$Q27,AF$3)=0),"_p","")&amp;IF((AF28&lt;&gt;"Xn")*(COUNTIFS($C$3:$Q$3,"MAT",$C28:$Q28,AF$3)=0)*(COUNTIFS($C$3:$Q$3,"POM",$C28:$Q28,AF$3)=0)*(COUNTIFS($C$3:$Q$3,"NOTTE",$C28:$Q28,AF$3)=0)*(COUNTIFS($C$3:$Q$3,"NOTTE",$C27:$Q27,AF$3)=0),"_n","")&amp;", ")))</f>
        <v xml:space="preserve">RUSSO, </v>
      </c>
      <c r="CJ28" s="9" t="str">
        <f>IF(0+(AG28="X")&gt;0,"",IF(0+((AG28&lt;&gt;"Xm")*(AG28&lt;&gt;"Xg")*(COUNTIFS($C$3:$Q$3,"MAT",$C28:$Q28,AG$3)=0)*(COUNTIFS($C$3:$Q$3,"NOTTE",$C28:$Q28,AG$3)=0)*(COUNTIFS($C$3:$Q$3,"NOTTE",$C27:$Q27,AG$3)=0))+((AG28&lt;&gt;"Xp")*(AG28&lt;&gt;"Xg")*(COUNTIFS($C$3:$Q$3,"POM",$C28:$Q28,AG$3)=0)*(COUNTIFS($C$3:$Q$3,"NOTTE",$C28:$Q28,AG$3)=0)*(COUNTIFS($C$3:$Q$3,"NOTTE",$C27:$Q27,AG$3)=0))+((AG28&lt;&gt;"Xn")*(COUNTIFS($C$3:$Q$3,"MAT",$C28:$Q28,AG$3)=0)*(COUNTIFS($C$3:$Q$3,"POM",$C28:$Q28,AG$3)=0)*(COUNTIFS($C$3:$Q$3,"NOTTE",$C28:$Q28,AG$3)=0)*(COUNTIFS($C$3:$Q$3,"NOTTE",$C27:$Q27,AG$3)=0))=0,"",IF(0+((AG28&lt;&gt;"Xm")*(AG28&lt;&gt;"Xg")*(COUNTIFS($C$3:$Q$3,"MAT",$C28:$Q28,AG$3)=0)*(COUNTIFS($C$3:$Q$3,"NOTTE",$C28:$Q28,AG$3)=0)*(COUNTIFS($C$3:$Q$3,"NOTTE",$C27:$Q27,AG$3)=0))+((AG28&lt;&gt;"Xp")*(AG28&lt;&gt;"Xg")*(COUNTIFS($C$3:$Q$3,"POM",$C28:$Q28,AG$3)=0)*(COUNTIFS($C$3:$Q$3,"NOTTE",$C28:$Q28,AG$3)=0)*(COUNTIFS($C$3:$Q$3,"NOTTE",$C27:$Q27,AG$3)=0))+((AG28&lt;&gt;"Xn")*(COUNTIFS($C$3:$Q$3,"MAT",$C28:$Q28,AG$3)=0)*(COUNTIFS($C$3:$Q$3,"POM",$C28:$Q28,AG$3)=0)*(COUNTIFS($C$3:$Q$3,"NOTTE",$C28:$Q28,AG$3)=0)*(COUNTIFS($C$3:$Q$3,"NOTTE",$C27:$Q27,AG$3)=0))=3,AG$3&amp;", ",AG$3&amp;IF((AG28&lt;&gt;"Xm")*(AG28&lt;&gt;"Xg")*(COUNTIFS($C$3:$Q$3,"MAT",$C28:$Q28,AG$3)=0)*(COUNTIFS($C$3:$Q$3,"NOTTE",$C28:$Q28,AG$3)=0)*(COUNTIFS($C$3:$Q$3,"NOTTE",$C27:$Q27,AG$3)=0),"_m","")&amp;IF((AG28&lt;&gt;"Xp")*(AG28&lt;&gt;"Xg")*(COUNTIFS($C$3:$Q$3,"POM",$C28:$Q28,AG$3)=0)*(COUNTIFS($C$3:$Q$3,"NOTTE",$C28:$Q28,AG$3)=0)*(COUNTIFS($C$3:$Q$3,"NOTTE",$C27:$Q27,AG$3)=0),"_p","")&amp;IF((AG28&lt;&gt;"Xn")*(COUNTIFS($C$3:$Q$3,"MAT",$C28:$Q28,AG$3)=0)*(COUNTIFS($C$3:$Q$3,"POM",$C28:$Q28,AG$3)=0)*(COUNTIFS($C$3:$Q$3,"NOTTE",$C28:$Q28,AG$3)=0)*(COUNTIFS($C$3:$Q$3,"NOTTE",$C27:$Q27,AG$3)=0),"_n","")&amp;", ")))</f>
        <v xml:space="preserve">VERDI, </v>
      </c>
      <c r="CK28" s="9" t="str">
        <f>IF(0+(AH28="X")&gt;0,"",IF(0+((AH28&lt;&gt;"Xm")*(AH28&lt;&gt;"Xg")*(COUNTIFS($C$3:$Q$3,"MAT",$C28:$Q28,AH$3)=0)*(COUNTIFS($C$3:$Q$3,"NOTTE",$C28:$Q28,AH$3)=0)*(COUNTIFS($C$3:$Q$3,"NOTTE",$C27:$Q27,AH$3)=0))+((AH28&lt;&gt;"Xp")*(AH28&lt;&gt;"Xg")*(COUNTIFS($C$3:$Q$3,"POM",$C28:$Q28,AH$3)=0)*(COUNTIFS($C$3:$Q$3,"NOTTE",$C28:$Q28,AH$3)=0)*(COUNTIFS($C$3:$Q$3,"NOTTE",$C27:$Q27,AH$3)=0))+((AH28&lt;&gt;"Xn")*(COUNTIFS($C$3:$Q$3,"MAT",$C28:$Q28,AH$3)=0)*(COUNTIFS($C$3:$Q$3,"POM",$C28:$Q28,AH$3)=0)*(COUNTIFS($C$3:$Q$3,"NOTTE",$C28:$Q28,AH$3)=0)*(COUNTIFS($C$3:$Q$3,"NOTTE",$C27:$Q27,AH$3)=0))=0,"",IF(0+((AH28&lt;&gt;"Xm")*(AH28&lt;&gt;"Xg")*(COUNTIFS($C$3:$Q$3,"MAT",$C28:$Q28,AH$3)=0)*(COUNTIFS($C$3:$Q$3,"NOTTE",$C28:$Q28,AH$3)=0)*(COUNTIFS($C$3:$Q$3,"NOTTE",$C27:$Q27,AH$3)=0))+((AH28&lt;&gt;"Xp")*(AH28&lt;&gt;"Xg")*(COUNTIFS($C$3:$Q$3,"POM",$C28:$Q28,AH$3)=0)*(COUNTIFS($C$3:$Q$3,"NOTTE",$C28:$Q28,AH$3)=0)*(COUNTIFS($C$3:$Q$3,"NOTTE",$C27:$Q27,AH$3)=0))+((AH28&lt;&gt;"Xn")*(COUNTIFS($C$3:$Q$3,"MAT",$C28:$Q28,AH$3)=0)*(COUNTIFS($C$3:$Q$3,"POM",$C28:$Q28,AH$3)=0)*(COUNTIFS($C$3:$Q$3,"NOTTE",$C28:$Q28,AH$3)=0)*(COUNTIFS($C$3:$Q$3,"NOTTE",$C27:$Q27,AH$3)=0))=3,AH$3&amp;", ",AH$3&amp;IF((AH28&lt;&gt;"Xm")*(AH28&lt;&gt;"Xg")*(COUNTIFS($C$3:$Q$3,"MAT",$C28:$Q28,AH$3)=0)*(COUNTIFS($C$3:$Q$3,"NOTTE",$C28:$Q28,AH$3)=0)*(COUNTIFS($C$3:$Q$3,"NOTTE",$C27:$Q27,AH$3)=0),"_m","")&amp;IF((AH28&lt;&gt;"Xp")*(AH28&lt;&gt;"Xg")*(COUNTIFS($C$3:$Q$3,"POM",$C28:$Q28,AH$3)=0)*(COUNTIFS($C$3:$Q$3,"NOTTE",$C28:$Q28,AH$3)=0)*(COUNTIFS($C$3:$Q$3,"NOTTE",$C27:$Q27,AH$3)=0),"_p","")&amp;IF((AH28&lt;&gt;"Xn")*(COUNTIFS($C$3:$Q$3,"MAT",$C28:$Q28,AH$3)=0)*(COUNTIFS($C$3:$Q$3,"POM",$C28:$Q28,AH$3)=0)*(COUNTIFS($C$3:$Q$3,"NOTTE",$C28:$Q28,AH$3)=0)*(COUNTIFS($C$3:$Q$3,"NOTTE",$C27:$Q27,AH$3)=0),"_n","")&amp;", ")))</f>
        <v xml:space="preserve">HU, </v>
      </c>
      <c r="CL28" s="9" t="str">
        <f>IF(0+(AI28="X")&gt;0,"",IF(0+((AI28&lt;&gt;"Xm")*(AI28&lt;&gt;"Xg")*(COUNTIFS($C$3:$Q$3,"MAT",$C28:$Q28,AI$3)=0)*(COUNTIFS($C$3:$Q$3,"NOTTE",$C28:$Q28,AI$3)=0)*(COUNTIFS($C$3:$Q$3,"NOTTE",$C27:$Q27,AI$3)=0))+((AI28&lt;&gt;"Xp")*(AI28&lt;&gt;"Xg")*(COUNTIFS($C$3:$Q$3,"POM",$C28:$Q28,AI$3)=0)*(COUNTIFS($C$3:$Q$3,"NOTTE",$C28:$Q28,AI$3)=0)*(COUNTIFS($C$3:$Q$3,"NOTTE",$C27:$Q27,AI$3)=0))+((AI28&lt;&gt;"Xn")*(COUNTIFS($C$3:$Q$3,"MAT",$C28:$Q28,AI$3)=0)*(COUNTIFS($C$3:$Q$3,"POM",$C28:$Q28,AI$3)=0)*(COUNTIFS($C$3:$Q$3,"NOTTE",$C28:$Q28,AI$3)=0)*(COUNTIFS($C$3:$Q$3,"NOTTE",$C27:$Q27,AI$3)=0))=0,"",IF(0+((AI28&lt;&gt;"Xm")*(AI28&lt;&gt;"Xg")*(COUNTIFS($C$3:$Q$3,"MAT",$C28:$Q28,AI$3)=0)*(COUNTIFS($C$3:$Q$3,"NOTTE",$C28:$Q28,AI$3)=0)*(COUNTIFS($C$3:$Q$3,"NOTTE",$C27:$Q27,AI$3)=0))+((AI28&lt;&gt;"Xp")*(AI28&lt;&gt;"Xg")*(COUNTIFS($C$3:$Q$3,"POM",$C28:$Q28,AI$3)=0)*(COUNTIFS($C$3:$Q$3,"NOTTE",$C28:$Q28,AI$3)=0)*(COUNTIFS($C$3:$Q$3,"NOTTE",$C27:$Q27,AI$3)=0))+((AI28&lt;&gt;"Xn")*(COUNTIFS($C$3:$Q$3,"MAT",$C28:$Q28,AI$3)=0)*(COUNTIFS($C$3:$Q$3,"POM",$C28:$Q28,AI$3)=0)*(COUNTIFS($C$3:$Q$3,"NOTTE",$C28:$Q28,AI$3)=0)*(COUNTIFS($C$3:$Q$3,"NOTTE",$C27:$Q27,AI$3)=0))=3,AI$3&amp;", ",AI$3&amp;IF((AI28&lt;&gt;"Xm")*(AI28&lt;&gt;"Xg")*(COUNTIFS($C$3:$Q$3,"MAT",$C28:$Q28,AI$3)=0)*(COUNTIFS($C$3:$Q$3,"NOTTE",$C28:$Q28,AI$3)=0)*(COUNTIFS($C$3:$Q$3,"NOTTE",$C27:$Q27,AI$3)=0),"_m","")&amp;IF((AI28&lt;&gt;"Xp")*(AI28&lt;&gt;"Xg")*(COUNTIFS($C$3:$Q$3,"POM",$C28:$Q28,AI$3)=0)*(COUNTIFS($C$3:$Q$3,"NOTTE",$C28:$Q28,AI$3)=0)*(COUNTIFS($C$3:$Q$3,"NOTTE",$C27:$Q27,AI$3)=0),"_p","")&amp;IF((AI28&lt;&gt;"Xn")*(COUNTIFS($C$3:$Q$3,"MAT",$C28:$Q28,AI$3)=0)*(COUNTIFS($C$3:$Q$3,"POM",$C28:$Q28,AI$3)=0)*(COUNTIFS($C$3:$Q$3,"NOTTE",$C28:$Q28,AI$3)=0)*(COUNTIFS($C$3:$Q$3,"NOTTE",$C27:$Q27,AI$3)=0),"_n","")&amp;", ")))</f>
        <v xml:space="preserve">MARINI, </v>
      </c>
      <c r="CM28" s="9" t="str">
        <f>IF(0+(AJ28="X")&gt;0,"",IF(0+((AJ28&lt;&gt;"Xm")*(AJ28&lt;&gt;"Xg")*(COUNTIFS($C$3:$Q$3,"MAT",$C28:$Q28,AJ$3)=0)*(COUNTIFS($C$3:$Q$3,"NOTTE",$C28:$Q28,AJ$3)=0)*(COUNTIFS($C$3:$Q$3,"NOTTE",$C27:$Q27,AJ$3)=0))+((AJ28&lt;&gt;"Xp")*(AJ28&lt;&gt;"Xg")*(COUNTIFS($C$3:$Q$3,"POM",$C28:$Q28,AJ$3)=0)*(COUNTIFS($C$3:$Q$3,"NOTTE",$C28:$Q28,AJ$3)=0)*(COUNTIFS($C$3:$Q$3,"NOTTE",$C27:$Q27,AJ$3)=0))+((AJ28&lt;&gt;"Xn")*(COUNTIFS($C$3:$Q$3,"MAT",$C28:$Q28,AJ$3)=0)*(COUNTIFS($C$3:$Q$3,"POM",$C28:$Q28,AJ$3)=0)*(COUNTIFS($C$3:$Q$3,"NOTTE",$C28:$Q28,AJ$3)=0)*(COUNTIFS($C$3:$Q$3,"NOTTE",$C27:$Q27,AJ$3)=0))=0,"",IF(0+((AJ28&lt;&gt;"Xm")*(AJ28&lt;&gt;"Xg")*(COUNTIFS($C$3:$Q$3,"MAT",$C28:$Q28,AJ$3)=0)*(COUNTIFS($C$3:$Q$3,"NOTTE",$C28:$Q28,AJ$3)=0)*(COUNTIFS($C$3:$Q$3,"NOTTE",$C27:$Q27,AJ$3)=0))+((AJ28&lt;&gt;"Xp")*(AJ28&lt;&gt;"Xg")*(COUNTIFS($C$3:$Q$3,"POM",$C28:$Q28,AJ$3)=0)*(COUNTIFS($C$3:$Q$3,"NOTTE",$C28:$Q28,AJ$3)=0)*(COUNTIFS($C$3:$Q$3,"NOTTE",$C27:$Q27,AJ$3)=0))+((AJ28&lt;&gt;"Xn")*(COUNTIFS($C$3:$Q$3,"MAT",$C28:$Q28,AJ$3)=0)*(COUNTIFS($C$3:$Q$3,"POM",$C28:$Q28,AJ$3)=0)*(COUNTIFS($C$3:$Q$3,"NOTTE",$C28:$Q28,AJ$3)=0)*(COUNTIFS($C$3:$Q$3,"NOTTE",$C27:$Q27,AJ$3)=0))=3,AJ$3&amp;", ",AJ$3&amp;IF((AJ28&lt;&gt;"Xm")*(AJ28&lt;&gt;"Xg")*(COUNTIFS($C$3:$Q$3,"MAT",$C28:$Q28,AJ$3)=0)*(COUNTIFS($C$3:$Q$3,"NOTTE",$C28:$Q28,AJ$3)=0)*(COUNTIFS($C$3:$Q$3,"NOTTE",$C27:$Q27,AJ$3)=0),"_m","")&amp;IF((AJ28&lt;&gt;"Xp")*(AJ28&lt;&gt;"Xg")*(COUNTIFS($C$3:$Q$3,"POM",$C28:$Q28,AJ$3)=0)*(COUNTIFS($C$3:$Q$3,"NOTTE",$C28:$Q28,AJ$3)=0)*(COUNTIFS($C$3:$Q$3,"NOTTE",$C27:$Q27,AJ$3)=0),"_p","")&amp;IF((AJ28&lt;&gt;"Xn")*(COUNTIFS($C$3:$Q$3,"MAT",$C28:$Q28,AJ$3)=0)*(COUNTIFS($C$3:$Q$3,"POM",$C28:$Q28,AJ$3)=0)*(COUNTIFS($C$3:$Q$3,"NOTTE",$C28:$Q28,AJ$3)=0)*(COUNTIFS($C$3:$Q$3,"NOTTE",$C27:$Q27,AJ$3)=0),"_n","")&amp;", ")))</f>
        <v xml:space="preserve">CONTI A, </v>
      </c>
      <c r="CN28" s="9" t="str">
        <f>IF(0+(AK28="X")&gt;0,"",IF(0+((AK28&lt;&gt;"Xm")*(AK28&lt;&gt;"Xg")*(COUNTIFS($C$3:$Q$3,"MAT",$C28:$Q28,AK$3)=0)*(COUNTIFS($C$3:$Q$3,"NOTTE",$C28:$Q28,AK$3)=0)*(COUNTIFS($C$3:$Q$3,"NOTTE",$C27:$Q27,AK$3)=0))+((AK28&lt;&gt;"Xp")*(AK28&lt;&gt;"Xg")*(COUNTIFS($C$3:$Q$3,"POM",$C28:$Q28,AK$3)=0)*(COUNTIFS($C$3:$Q$3,"NOTTE",$C28:$Q28,AK$3)=0)*(COUNTIFS($C$3:$Q$3,"NOTTE",$C27:$Q27,AK$3)=0))+((AK28&lt;&gt;"Xn")*(COUNTIFS($C$3:$Q$3,"MAT",$C28:$Q28,AK$3)=0)*(COUNTIFS($C$3:$Q$3,"POM",$C28:$Q28,AK$3)=0)*(COUNTIFS($C$3:$Q$3,"NOTTE",$C28:$Q28,AK$3)=0)*(COUNTIFS($C$3:$Q$3,"NOTTE",$C27:$Q27,AK$3)=0))=0,"",IF(0+((AK28&lt;&gt;"Xm")*(AK28&lt;&gt;"Xg")*(COUNTIFS($C$3:$Q$3,"MAT",$C28:$Q28,AK$3)=0)*(COUNTIFS($C$3:$Q$3,"NOTTE",$C28:$Q28,AK$3)=0)*(COUNTIFS($C$3:$Q$3,"NOTTE",$C27:$Q27,AK$3)=0))+((AK28&lt;&gt;"Xp")*(AK28&lt;&gt;"Xg")*(COUNTIFS($C$3:$Q$3,"POM",$C28:$Q28,AK$3)=0)*(COUNTIFS($C$3:$Q$3,"NOTTE",$C28:$Q28,AK$3)=0)*(COUNTIFS($C$3:$Q$3,"NOTTE",$C27:$Q27,AK$3)=0))+((AK28&lt;&gt;"Xn")*(COUNTIFS($C$3:$Q$3,"MAT",$C28:$Q28,AK$3)=0)*(COUNTIFS($C$3:$Q$3,"POM",$C28:$Q28,AK$3)=0)*(COUNTIFS($C$3:$Q$3,"NOTTE",$C28:$Q28,AK$3)=0)*(COUNTIFS($C$3:$Q$3,"NOTTE",$C27:$Q27,AK$3)=0))=3,AK$3&amp;", ",AK$3&amp;IF((AK28&lt;&gt;"Xm")*(AK28&lt;&gt;"Xg")*(COUNTIFS($C$3:$Q$3,"MAT",$C28:$Q28,AK$3)=0)*(COUNTIFS($C$3:$Q$3,"NOTTE",$C28:$Q28,AK$3)=0)*(COUNTIFS($C$3:$Q$3,"NOTTE",$C27:$Q27,AK$3)=0),"_m","")&amp;IF((AK28&lt;&gt;"Xp")*(AK28&lt;&gt;"Xg")*(COUNTIFS($C$3:$Q$3,"POM",$C28:$Q28,AK$3)=0)*(COUNTIFS($C$3:$Q$3,"NOTTE",$C28:$Q28,AK$3)=0)*(COUNTIFS($C$3:$Q$3,"NOTTE",$C27:$Q27,AK$3)=0),"_p","")&amp;IF((AK28&lt;&gt;"Xn")*(COUNTIFS($C$3:$Q$3,"MAT",$C28:$Q28,AK$3)=0)*(COUNTIFS($C$3:$Q$3,"POM",$C28:$Q28,AK$3)=0)*(COUNTIFS($C$3:$Q$3,"NOTTE",$C28:$Q28,AK$3)=0)*(COUNTIFS($C$3:$Q$3,"NOTTE",$C27:$Q27,AK$3)=0),"_n","")&amp;", ")))</f>
        <v xml:space="preserve">CONTI S, </v>
      </c>
      <c r="CO28" s="9" t="str">
        <f>IF(0+(AL28="X")&gt;0,"",IF(0+((AL28&lt;&gt;"Xm")*(AL28&lt;&gt;"Xg")*(COUNTIFS($C$3:$Q$3,"MAT",$C28:$Q28,AL$3)=0)*(COUNTIFS($C$3:$Q$3,"NOTTE",$C28:$Q28,AL$3)=0)*(COUNTIFS($C$3:$Q$3,"NOTTE",$C27:$Q27,AL$3)=0))+((AL28&lt;&gt;"Xp")*(AL28&lt;&gt;"Xg")*(COUNTIFS($C$3:$Q$3,"POM",$C28:$Q28,AL$3)=0)*(COUNTIFS($C$3:$Q$3,"NOTTE",$C28:$Q28,AL$3)=0)*(COUNTIFS($C$3:$Q$3,"NOTTE",$C27:$Q27,AL$3)=0))+((AL28&lt;&gt;"Xn")*(COUNTIFS($C$3:$Q$3,"MAT",$C28:$Q28,AL$3)=0)*(COUNTIFS($C$3:$Q$3,"POM",$C28:$Q28,AL$3)=0)*(COUNTIFS($C$3:$Q$3,"NOTTE",$C28:$Q28,AL$3)=0)*(COUNTIFS($C$3:$Q$3,"NOTTE",$C27:$Q27,AL$3)=0))=0,"",IF(0+((AL28&lt;&gt;"Xm")*(AL28&lt;&gt;"Xg")*(COUNTIFS($C$3:$Q$3,"MAT",$C28:$Q28,AL$3)=0)*(COUNTIFS($C$3:$Q$3,"NOTTE",$C28:$Q28,AL$3)=0)*(COUNTIFS($C$3:$Q$3,"NOTTE",$C27:$Q27,AL$3)=0))+((AL28&lt;&gt;"Xp")*(AL28&lt;&gt;"Xg")*(COUNTIFS($C$3:$Q$3,"POM",$C28:$Q28,AL$3)=0)*(COUNTIFS($C$3:$Q$3,"NOTTE",$C28:$Q28,AL$3)=0)*(COUNTIFS($C$3:$Q$3,"NOTTE",$C27:$Q27,AL$3)=0))+((AL28&lt;&gt;"Xn")*(COUNTIFS($C$3:$Q$3,"MAT",$C28:$Q28,AL$3)=0)*(COUNTIFS($C$3:$Q$3,"POM",$C28:$Q28,AL$3)=0)*(COUNTIFS($C$3:$Q$3,"NOTTE",$C28:$Q28,AL$3)=0)*(COUNTIFS($C$3:$Q$3,"NOTTE",$C27:$Q27,AL$3)=0))=3,AL$3&amp;", ",AL$3&amp;IF((AL28&lt;&gt;"Xm")*(AL28&lt;&gt;"Xg")*(COUNTIFS($C$3:$Q$3,"MAT",$C28:$Q28,AL$3)=0)*(COUNTIFS($C$3:$Q$3,"NOTTE",$C28:$Q28,AL$3)=0)*(COUNTIFS($C$3:$Q$3,"NOTTE",$C27:$Q27,AL$3)=0),"_m","")&amp;IF((AL28&lt;&gt;"Xp")*(AL28&lt;&gt;"Xg")*(COUNTIFS($C$3:$Q$3,"POM",$C28:$Q28,AL$3)=0)*(COUNTIFS($C$3:$Q$3,"NOTTE",$C28:$Q28,AL$3)=0)*(COUNTIFS($C$3:$Q$3,"NOTTE",$C27:$Q27,AL$3)=0),"_p","")&amp;IF((AL28&lt;&gt;"Xn")*(COUNTIFS($C$3:$Q$3,"MAT",$C28:$Q28,AL$3)=0)*(COUNTIFS($C$3:$Q$3,"POM",$C28:$Q28,AL$3)=0)*(COUNTIFS($C$3:$Q$3,"NOTTE",$C28:$Q28,AL$3)=0)*(COUNTIFS($C$3:$Q$3,"NOTTE",$C27:$Q27,AL$3)=0),"_n","")&amp;", ")))</f>
        <v xml:space="preserve">FERRARI, </v>
      </c>
      <c r="CP28" s="9" t="str">
        <f>IF(0+(AM28="X")&gt;0,"",IF(0+((AM28&lt;&gt;"Xm")*(AM28&lt;&gt;"Xg")*(COUNTIFS($C$3:$Q$3,"MAT",$C28:$Q28,AM$3)=0)*(COUNTIFS($C$3:$Q$3,"NOTTE",$C28:$Q28,AM$3)=0)*(COUNTIFS($C$3:$Q$3,"NOTTE",$C27:$Q27,AM$3)=0))+((AM28&lt;&gt;"Xp")*(AM28&lt;&gt;"Xg")*(COUNTIFS($C$3:$Q$3,"POM",$C28:$Q28,AM$3)=0)*(COUNTIFS($C$3:$Q$3,"NOTTE",$C28:$Q28,AM$3)=0)*(COUNTIFS($C$3:$Q$3,"NOTTE",$C27:$Q27,AM$3)=0))+((AM28&lt;&gt;"Xn")*(COUNTIFS($C$3:$Q$3,"MAT",$C28:$Q28,AM$3)=0)*(COUNTIFS($C$3:$Q$3,"POM",$C28:$Q28,AM$3)=0)*(COUNTIFS($C$3:$Q$3,"NOTTE",$C28:$Q28,AM$3)=0)*(COUNTIFS($C$3:$Q$3,"NOTTE",$C27:$Q27,AM$3)=0))=0,"",IF(0+((AM28&lt;&gt;"Xm")*(AM28&lt;&gt;"Xg")*(COUNTIFS($C$3:$Q$3,"MAT",$C28:$Q28,AM$3)=0)*(COUNTIFS($C$3:$Q$3,"NOTTE",$C28:$Q28,AM$3)=0)*(COUNTIFS($C$3:$Q$3,"NOTTE",$C27:$Q27,AM$3)=0))+((AM28&lt;&gt;"Xp")*(AM28&lt;&gt;"Xg")*(COUNTIFS($C$3:$Q$3,"POM",$C28:$Q28,AM$3)=0)*(COUNTIFS($C$3:$Q$3,"NOTTE",$C28:$Q28,AM$3)=0)*(COUNTIFS($C$3:$Q$3,"NOTTE",$C27:$Q27,AM$3)=0))+((AM28&lt;&gt;"Xn")*(COUNTIFS($C$3:$Q$3,"MAT",$C28:$Q28,AM$3)=0)*(COUNTIFS($C$3:$Q$3,"POM",$C28:$Q28,AM$3)=0)*(COUNTIFS($C$3:$Q$3,"NOTTE",$C28:$Q28,AM$3)=0)*(COUNTIFS($C$3:$Q$3,"NOTTE",$C27:$Q27,AM$3)=0))=3,AM$3&amp;", ",AM$3&amp;IF((AM28&lt;&gt;"Xm")*(AM28&lt;&gt;"Xg")*(COUNTIFS($C$3:$Q$3,"MAT",$C28:$Q28,AM$3)=0)*(COUNTIFS($C$3:$Q$3,"NOTTE",$C28:$Q28,AM$3)=0)*(COUNTIFS($C$3:$Q$3,"NOTTE",$C27:$Q27,AM$3)=0),"_m","")&amp;IF((AM28&lt;&gt;"Xp")*(AM28&lt;&gt;"Xg")*(COUNTIFS($C$3:$Q$3,"POM",$C28:$Q28,AM$3)=0)*(COUNTIFS($C$3:$Q$3,"NOTTE",$C28:$Q28,AM$3)=0)*(COUNTIFS($C$3:$Q$3,"NOTTE",$C27:$Q27,AM$3)=0),"_p","")&amp;IF((AM28&lt;&gt;"Xn")*(COUNTIFS($C$3:$Q$3,"MAT",$C28:$Q28,AM$3)=0)*(COUNTIFS($C$3:$Q$3,"POM",$C28:$Q28,AM$3)=0)*(COUNTIFS($C$3:$Q$3,"NOTTE",$C28:$Q28,AM$3)=0)*(COUNTIFS($C$3:$Q$3,"NOTTE",$C27:$Q27,AM$3)=0),"_n","")&amp;", ")))</f>
        <v xml:space="preserve">GRECO, </v>
      </c>
      <c r="CQ28" s="9" t="str">
        <f>IF(0+(AN28="X")&gt;0,"",IF(0+((AN28&lt;&gt;"Xm")*(AN28&lt;&gt;"Xg")*(COUNTIFS($C$3:$Q$3,"MAT",$C28:$Q28,AN$3)=0)*(COUNTIFS($C$3:$Q$3,"NOTTE",$C28:$Q28,AN$3)=0)*(COUNTIFS($C$3:$Q$3,"NOTTE",$C27:$Q27,AN$3)=0))+((AN28&lt;&gt;"Xp")*(AN28&lt;&gt;"Xg")*(COUNTIFS($C$3:$Q$3,"POM",$C28:$Q28,AN$3)=0)*(COUNTIFS($C$3:$Q$3,"NOTTE",$C28:$Q28,AN$3)=0)*(COUNTIFS($C$3:$Q$3,"NOTTE",$C27:$Q27,AN$3)=0))+((AN28&lt;&gt;"Xn")*(COUNTIFS($C$3:$Q$3,"MAT",$C28:$Q28,AN$3)=0)*(COUNTIFS($C$3:$Q$3,"POM",$C28:$Q28,AN$3)=0)*(COUNTIFS($C$3:$Q$3,"NOTTE",$C28:$Q28,AN$3)=0)*(COUNTIFS($C$3:$Q$3,"NOTTE",$C27:$Q27,AN$3)=0))=0,"",IF(0+((AN28&lt;&gt;"Xm")*(AN28&lt;&gt;"Xg")*(COUNTIFS($C$3:$Q$3,"MAT",$C28:$Q28,AN$3)=0)*(COUNTIFS($C$3:$Q$3,"NOTTE",$C28:$Q28,AN$3)=0)*(COUNTIFS($C$3:$Q$3,"NOTTE",$C27:$Q27,AN$3)=0))+((AN28&lt;&gt;"Xp")*(AN28&lt;&gt;"Xg")*(COUNTIFS($C$3:$Q$3,"POM",$C28:$Q28,AN$3)=0)*(COUNTIFS($C$3:$Q$3,"NOTTE",$C28:$Q28,AN$3)=0)*(COUNTIFS($C$3:$Q$3,"NOTTE",$C27:$Q27,AN$3)=0))+((AN28&lt;&gt;"Xn")*(COUNTIFS($C$3:$Q$3,"MAT",$C28:$Q28,AN$3)=0)*(COUNTIFS($C$3:$Q$3,"POM",$C28:$Q28,AN$3)=0)*(COUNTIFS($C$3:$Q$3,"NOTTE",$C28:$Q28,AN$3)=0)*(COUNTIFS($C$3:$Q$3,"NOTTE",$C27:$Q27,AN$3)=0))=3,AN$3&amp;", ",AN$3&amp;IF((AN28&lt;&gt;"Xm")*(AN28&lt;&gt;"Xg")*(COUNTIFS($C$3:$Q$3,"MAT",$C28:$Q28,AN$3)=0)*(COUNTIFS($C$3:$Q$3,"NOTTE",$C28:$Q28,AN$3)=0)*(COUNTIFS($C$3:$Q$3,"NOTTE",$C27:$Q27,AN$3)=0),"_m","")&amp;IF((AN28&lt;&gt;"Xp")*(AN28&lt;&gt;"Xg")*(COUNTIFS($C$3:$Q$3,"POM",$C28:$Q28,AN$3)=0)*(COUNTIFS($C$3:$Q$3,"NOTTE",$C28:$Q28,AN$3)=0)*(COUNTIFS($C$3:$Q$3,"NOTTE",$C27:$Q27,AN$3)=0),"_p","")&amp;IF((AN28&lt;&gt;"Xn")*(COUNTIFS($C$3:$Q$3,"MAT",$C28:$Q28,AN$3)=0)*(COUNTIFS($C$3:$Q$3,"POM",$C28:$Q28,AN$3)=0)*(COUNTIFS($C$3:$Q$3,"NOTTE",$C28:$Q28,AN$3)=0)*(COUNTIFS($C$3:$Q$3,"NOTTE",$C27:$Q27,AN$3)=0),"_n","")&amp;", ")))</f>
        <v xml:space="preserve">SANNA, </v>
      </c>
      <c r="CR28" s="9" t="str">
        <f>IF(0+(AO28="X")&gt;0,"",IF(0+((AO28&lt;&gt;"Xm")*(AO28&lt;&gt;"Xg")*(COUNTIFS($C$3:$Q$3,"MAT",$C28:$Q28,AO$3)=0)*(COUNTIFS($C$3:$Q$3,"NOTTE",$C28:$Q28,AO$3)=0)*(COUNTIFS($C$3:$Q$3,"NOTTE",$C27:$Q27,AO$3)=0))+((AO28&lt;&gt;"Xp")*(AO28&lt;&gt;"Xg")*(COUNTIFS($C$3:$Q$3,"POM",$C28:$Q28,AO$3)=0)*(COUNTIFS($C$3:$Q$3,"NOTTE",$C28:$Q28,AO$3)=0)*(COUNTIFS($C$3:$Q$3,"NOTTE",$C27:$Q27,AO$3)=0))+((AO28&lt;&gt;"Xn")*(COUNTIFS($C$3:$Q$3,"MAT",$C28:$Q28,AO$3)=0)*(COUNTIFS($C$3:$Q$3,"POM",$C28:$Q28,AO$3)=0)*(COUNTIFS($C$3:$Q$3,"NOTTE",$C28:$Q28,AO$3)=0)*(COUNTIFS($C$3:$Q$3,"NOTTE",$C27:$Q27,AO$3)=0))=0,"",IF(0+((AO28&lt;&gt;"Xm")*(AO28&lt;&gt;"Xg")*(COUNTIFS($C$3:$Q$3,"MAT",$C28:$Q28,AO$3)=0)*(COUNTIFS($C$3:$Q$3,"NOTTE",$C28:$Q28,AO$3)=0)*(COUNTIFS($C$3:$Q$3,"NOTTE",$C27:$Q27,AO$3)=0))+((AO28&lt;&gt;"Xp")*(AO28&lt;&gt;"Xg")*(COUNTIFS($C$3:$Q$3,"POM",$C28:$Q28,AO$3)=0)*(COUNTIFS($C$3:$Q$3,"NOTTE",$C28:$Q28,AO$3)=0)*(COUNTIFS($C$3:$Q$3,"NOTTE",$C27:$Q27,AO$3)=0))+((AO28&lt;&gt;"Xn")*(COUNTIFS($C$3:$Q$3,"MAT",$C28:$Q28,AO$3)=0)*(COUNTIFS($C$3:$Q$3,"POM",$C28:$Q28,AO$3)=0)*(COUNTIFS($C$3:$Q$3,"NOTTE",$C28:$Q28,AO$3)=0)*(COUNTIFS($C$3:$Q$3,"NOTTE",$C27:$Q27,AO$3)=0))=3,AO$3&amp;", ",AO$3&amp;IF((AO28&lt;&gt;"Xm")*(AO28&lt;&gt;"Xg")*(COUNTIFS($C$3:$Q$3,"MAT",$C28:$Q28,AO$3)=0)*(COUNTIFS($C$3:$Q$3,"NOTTE",$C28:$Q28,AO$3)=0)*(COUNTIFS($C$3:$Q$3,"NOTTE",$C27:$Q27,AO$3)=0),"_m","")&amp;IF((AO28&lt;&gt;"Xp")*(AO28&lt;&gt;"Xg")*(COUNTIFS($C$3:$Q$3,"POM",$C28:$Q28,AO$3)=0)*(COUNTIFS($C$3:$Q$3,"NOTTE",$C28:$Q28,AO$3)=0)*(COUNTIFS($C$3:$Q$3,"NOTTE",$C27:$Q27,AO$3)=0),"_p","")&amp;IF((AO28&lt;&gt;"Xn")*(COUNTIFS($C$3:$Q$3,"MAT",$C28:$Q28,AO$3)=0)*(COUNTIFS($C$3:$Q$3,"POM",$C28:$Q28,AO$3)=0)*(COUNTIFS($C$3:$Q$3,"NOTTE",$C28:$Q28,AO$3)=0)*(COUNTIFS($C$3:$Q$3,"NOTTE",$C27:$Q27,AO$3)=0),"_n","")&amp;", ")))</f>
        <v xml:space="preserve">LI, </v>
      </c>
    </row>
    <row r="29">
      <c r="A29" s="10" t="str">
        <f>CHOOSE(WEEKDAY(DATE($B$1,$A$2,B29),2),"lunedì","martedì","mercoledì","giovedì","venerdì","sabato","domenica")</f>
        <v>giovedì</v>
      </c>
      <c r="B29" s="10" t="n">
        <v>26</v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4" t="n"/>
      <c r="M29" s="11" t="n"/>
      <c r="N29" s="11" t="n"/>
      <c r="O29" s="11" t="n"/>
      <c r="P29" s="4" t="n"/>
      <c r="Q29" s="11" t="n"/>
      <c r="R29" s="11" t="n"/>
      <c r="S29" s="11">
        <f>IF(SUMPRODUCT(($C$3:$Q$3&lt;&gt;"")*($C29:$Q29&lt;&gt;"")*(LEFT($C29:$Q29,6)&lt;&gt;"chiuso")*(COUNTIFS($C29:$Q29,$C29:$Q29,$C$3:$Q$3,$C$3:$Q$3)&gt;1))&gt;0,"X","")</f>
      </c>
      <c r="T29" s="11" t="str">
        <f>IF(LEN(BP29&amp;BQ29&amp;BR29&amp;BS29&amp;BT29&amp;BU29&amp;BV29&amp;BW29&amp;BX29&amp;BY29&amp;BZ29&amp;CA29&amp;CB29&amp;CC29)=0,"",LEFT(BP29&amp;BQ29&amp;BR29&amp;BS29&amp;BT29&amp;BU29&amp;BV29&amp;BW29&amp;BX29&amp;BY29&amp;BZ29&amp;CA29&amp;CB29&amp;CC29,LEN(BP29&amp;BQ29&amp;BR29&amp;BS29&amp;BT29&amp;BU29&amp;BV29&amp;BW29&amp;BX29&amp;BY29&amp;BZ29&amp;CA29&amp;CB29&amp;CC29)-2))</f>
        <v>LEONI, ROSSI M, ROSSI L, GALLINA, RUSSO, VERDI, HU, MARINI, CONTI A, CONTI S, FERRARI, GRECO, SANNA, LI</v>
      </c>
      <c r="U29" s="11" t="str">
        <f>IF(LEN(CE29&amp;CF29&amp;CG29&amp;CH29&amp;CI29&amp;CJ29&amp;CK29&amp;CL29&amp;CM29&amp;CN29&amp;CO29&amp;CP29&amp;CQ29&amp;CR29)=0,"",LEFT(CE29&amp;CF29&amp;CG29&amp;CH29&amp;CI29&amp;CJ29&amp;CK29&amp;CL29&amp;CM29&amp;CN29&amp;CO29&amp;CP29&amp;CQ29&amp;CR29,LEN(CE29&amp;CF29&amp;CG29&amp;CH29&amp;CI29&amp;CJ29&amp;CK29&amp;CL29&amp;CM29&amp;CN29&amp;CO29&amp;CP29&amp;CQ29&amp;CR29)-2))</f>
        <v>LEONI, ROSSI M, ROSSI L, GALLINA, RUSSO, VERDI, HU, MARINI, CONTI A, CONTI S, FERRARI, GRECO, SANNA, LI</v>
      </c>
      <c r="Z29" s="10" t="str">
        <f>A29</f>
        <v>giovedì</v>
      </c>
      <c r="AA29" s="10">
        <f>B29</f>
        <v>26</v>
      </c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BP29" s="9" t="str">
        <f>IF(0+(AB29="X")&gt;0,"",IF(0+((AB29&lt;&gt;"Xm")*(AB29&lt;&gt;"Xg"))+((AB29&lt;&gt;"Xp")*(AB29&lt;&gt;"Xg"))+((AB29&lt;&gt;"Xn"))=0,"",IF(0+((AB29&lt;&gt;"Xm")*(AB29&lt;&gt;"Xg"))+((AB29&lt;&gt;"Xp")*(AB29&lt;&gt;"Xg"))+((AB29&lt;&gt;"Xn"))=3,AB$3&amp;", ",AB$3&amp;IF((AB29&lt;&gt;"Xm")*(AB29&lt;&gt;"Xg"),"_m","")&amp;IF((AB29&lt;&gt;"Xp")*(AB29&lt;&gt;"Xg"),"_p","")&amp;IF((AB29&lt;&gt;"Xn"),"_n","")&amp;", ")))</f>
        <v xml:space="preserve">LEONI, </v>
      </c>
      <c r="BQ29" s="9" t="str">
        <f>IF(0+(AC29="X")&gt;0,"",IF(0+((AC29&lt;&gt;"Xm")*(AC29&lt;&gt;"Xg"))+((AC29&lt;&gt;"Xp")*(AC29&lt;&gt;"Xg"))+((AC29&lt;&gt;"Xn"))=0,"",IF(0+((AC29&lt;&gt;"Xm")*(AC29&lt;&gt;"Xg"))+((AC29&lt;&gt;"Xp")*(AC29&lt;&gt;"Xg"))+((AC29&lt;&gt;"Xn"))=3,AC$3&amp;", ",AC$3&amp;IF((AC29&lt;&gt;"Xm")*(AC29&lt;&gt;"Xg"),"_m","")&amp;IF((AC29&lt;&gt;"Xp")*(AC29&lt;&gt;"Xg"),"_p","")&amp;IF((AC29&lt;&gt;"Xn"),"_n","")&amp;", ")))</f>
        <v xml:space="preserve">ROSSI M, </v>
      </c>
      <c r="BR29" s="9" t="str">
        <f>IF(0+(AD29="X")&gt;0,"",IF(0+((AD29&lt;&gt;"Xm")*(AD29&lt;&gt;"Xg"))+((AD29&lt;&gt;"Xp")*(AD29&lt;&gt;"Xg"))+((AD29&lt;&gt;"Xn"))=0,"",IF(0+((AD29&lt;&gt;"Xm")*(AD29&lt;&gt;"Xg"))+((AD29&lt;&gt;"Xp")*(AD29&lt;&gt;"Xg"))+((AD29&lt;&gt;"Xn"))=3,AD$3&amp;", ",AD$3&amp;IF((AD29&lt;&gt;"Xm")*(AD29&lt;&gt;"Xg"),"_m","")&amp;IF((AD29&lt;&gt;"Xp")*(AD29&lt;&gt;"Xg"),"_p","")&amp;IF((AD29&lt;&gt;"Xn"),"_n","")&amp;", ")))</f>
        <v xml:space="preserve">ROSSI L, </v>
      </c>
      <c r="BS29" s="9" t="str">
        <f>IF(0+(AE29="X")&gt;0,"",IF(0+((AE29&lt;&gt;"Xm")*(AE29&lt;&gt;"Xg"))+((AE29&lt;&gt;"Xp")*(AE29&lt;&gt;"Xg"))+((AE29&lt;&gt;"Xn"))=0,"",IF(0+((AE29&lt;&gt;"Xm")*(AE29&lt;&gt;"Xg"))+((AE29&lt;&gt;"Xp")*(AE29&lt;&gt;"Xg"))+((AE29&lt;&gt;"Xn"))=3,AE$3&amp;", ",AE$3&amp;IF((AE29&lt;&gt;"Xm")*(AE29&lt;&gt;"Xg"),"_m","")&amp;IF((AE29&lt;&gt;"Xp")*(AE29&lt;&gt;"Xg"),"_p","")&amp;IF((AE29&lt;&gt;"Xn"),"_n","")&amp;", ")))</f>
        <v xml:space="preserve">GALLINA, </v>
      </c>
      <c r="BT29" s="9" t="str">
        <f>IF(0+(AF29="X")&gt;0,"",IF(0+((AF29&lt;&gt;"Xm")*(AF29&lt;&gt;"Xg"))+((AF29&lt;&gt;"Xp")*(AF29&lt;&gt;"Xg"))+((AF29&lt;&gt;"Xn"))=0,"",IF(0+((AF29&lt;&gt;"Xm")*(AF29&lt;&gt;"Xg"))+((AF29&lt;&gt;"Xp")*(AF29&lt;&gt;"Xg"))+((AF29&lt;&gt;"Xn"))=3,AF$3&amp;", ",AF$3&amp;IF((AF29&lt;&gt;"Xm")*(AF29&lt;&gt;"Xg"),"_m","")&amp;IF((AF29&lt;&gt;"Xp")*(AF29&lt;&gt;"Xg"),"_p","")&amp;IF((AF29&lt;&gt;"Xn"),"_n","")&amp;", ")))</f>
        <v xml:space="preserve">RUSSO, </v>
      </c>
      <c r="BU29" s="9" t="str">
        <f>IF(0+(AG29="X")&gt;0,"",IF(0+((AG29&lt;&gt;"Xm")*(AG29&lt;&gt;"Xg"))+((AG29&lt;&gt;"Xp")*(AG29&lt;&gt;"Xg"))+((AG29&lt;&gt;"Xn"))=0,"",IF(0+((AG29&lt;&gt;"Xm")*(AG29&lt;&gt;"Xg"))+((AG29&lt;&gt;"Xp")*(AG29&lt;&gt;"Xg"))+((AG29&lt;&gt;"Xn"))=3,AG$3&amp;", ",AG$3&amp;IF((AG29&lt;&gt;"Xm")*(AG29&lt;&gt;"Xg"),"_m","")&amp;IF((AG29&lt;&gt;"Xp")*(AG29&lt;&gt;"Xg"),"_p","")&amp;IF((AG29&lt;&gt;"Xn"),"_n","")&amp;", ")))</f>
        <v xml:space="preserve">VERDI, </v>
      </c>
      <c r="BV29" s="9" t="str">
        <f>IF(0+(AH29="X")&gt;0,"",IF(0+((AH29&lt;&gt;"Xm")*(AH29&lt;&gt;"Xg"))+((AH29&lt;&gt;"Xp")*(AH29&lt;&gt;"Xg"))+((AH29&lt;&gt;"Xn"))=0,"",IF(0+((AH29&lt;&gt;"Xm")*(AH29&lt;&gt;"Xg"))+((AH29&lt;&gt;"Xp")*(AH29&lt;&gt;"Xg"))+((AH29&lt;&gt;"Xn"))=3,AH$3&amp;", ",AH$3&amp;IF((AH29&lt;&gt;"Xm")*(AH29&lt;&gt;"Xg"),"_m","")&amp;IF((AH29&lt;&gt;"Xp")*(AH29&lt;&gt;"Xg"),"_p","")&amp;IF((AH29&lt;&gt;"Xn"),"_n","")&amp;", ")))</f>
        <v xml:space="preserve">HU, </v>
      </c>
      <c r="BW29" s="9" t="str">
        <f>IF(0+(AI29="X")&gt;0,"",IF(0+((AI29&lt;&gt;"Xm")*(AI29&lt;&gt;"Xg"))+((AI29&lt;&gt;"Xp")*(AI29&lt;&gt;"Xg"))+((AI29&lt;&gt;"Xn"))=0,"",IF(0+((AI29&lt;&gt;"Xm")*(AI29&lt;&gt;"Xg"))+((AI29&lt;&gt;"Xp")*(AI29&lt;&gt;"Xg"))+((AI29&lt;&gt;"Xn"))=3,AI$3&amp;", ",AI$3&amp;IF((AI29&lt;&gt;"Xm")*(AI29&lt;&gt;"Xg"),"_m","")&amp;IF((AI29&lt;&gt;"Xp")*(AI29&lt;&gt;"Xg"),"_p","")&amp;IF((AI29&lt;&gt;"Xn"),"_n","")&amp;", ")))</f>
        <v xml:space="preserve">MARINI, </v>
      </c>
      <c r="BX29" s="9" t="str">
        <f>IF(0+(AJ29="X")&gt;0,"",IF(0+((AJ29&lt;&gt;"Xm")*(AJ29&lt;&gt;"Xg"))+((AJ29&lt;&gt;"Xp")*(AJ29&lt;&gt;"Xg"))+((AJ29&lt;&gt;"Xn"))=0,"",IF(0+((AJ29&lt;&gt;"Xm")*(AJ29&lt;&gt;"Xg"))+((AJ29&lt;&gt;"Xp")*(AJ29&lt;&gt;"Xg"))+((AJ29&lt;&gt;"Xn"))=3,AJ$3&amp;", ",AJ$3&amp;IF((AJ29&lt;&gt;"Xm")*(AJ29&lt;&gt;"Xg"),"_m","")&amp;IF((AJ29&lt;&gt;"Xp")*(AJ29&lt;&gt;"Xg"),"_p","")&amp;IF((AJ29&lt;&gt;"Xn"),"_n","")&amp;", ")))</f>
        <v xml:space="preserve">CONTI A, </v>
      </c>
      <c r="BY29" s="9" t="str">
        <f>IF(0+(AK29="X")&gt;0,"",IF(0+((AK29&lt;&gt;"Xm")*(AK29&lt;&gt;"Xg"))+((AK29&lt;&gt;"Xp")*(AK29&lt;&gt;"Xg"))+((AK29&lt;&gt;"Xn"))=0,"",IF(0+((AK29&lt;&gt;"Xm")*(AK29&lt;&gt;"Xg"))+((AK29&lt;&gt;"Xp")*(AK29&lt;&gt;"Xg"))+((AK29&lt;&gt;"Xn"))=3,AK$3&amp;", ",AK$3&amp;IF((AK29&lt;&gt;"Xm")*(AK29&lt;&gt;"Xg"),"_m","")&amp;IF((AK29&lt;&gt;"Xp")*(AK29&lt;&gt;"Xg"),"_p","")&amp;IF((AK29&lt;&gt;"Xn"),"_n","")&amp;", ")))</f>
        <v xml:space="preserve">CONTI S, </v>
      </c>
      <c r="BZ29" s="9" t="str">
        <f>IF(0+(AL29="X")&gt;0,"",IF(0+((AL29&lt;&gt;"Xm")*(AL29&lt;&gt;"Xg"))+((AL29&lt;&gt;"Xp")*(AL29&lt;&gt;"Xg"))+((AL29&lt;&gt;"Xn"))=0,"",IF(0+((AL29&lt;&gt;"Xm")*(AL29&lt;&gt;"Xg"))+((AL29&lt;&gt;"Xp")*(AL29&lt;&gt;"Xg"))+((AL29&lt;&gt;"Xn"))=3,AL$3&amp;", ",AL$3&amp;IF((AL29&lt;&gt;"Xm")*(AL29&lt;&gt;"Xg"),"_m","")&amp;IF((AL29&lt;&gt;"Xp")*(AL29&lt;&gt;"Xg"),"_p","")&amp;IF((AL29&lt;&gt;"Xn"),"_n","")&amp;", ")))</f>
        <v xml:space="preserve">FERRARI, </v>
      </c>
      <c r="CA29" s="9" t="str">
        <f>IF(0+(AM29="X")&gt;0,"",IF(0+((AM29&lt;&gt;"Xm")*(AM29&lt;&gt;"Xg"))+((AM29&lt;&gt;"Xp")*(AM29&lt;&gt;"Xg"))+((AM29&lt;&gt;"Xn"))=0,"",IF(0+((AM29&lt;&gt;"Xm")*(AM29&lt;&gt;"Xg"))+((AM29&lt;&gt;"Xp")*(AM29&lt;&gt;"Xg"))+((AM29&lt;&gt;"Xn"))=3,AM$3&amp;", ",AM$3&amp;IF((AM29&lt;&gt;"Xm")*(AM29&lt;&gt;"Xg"),"_m","")&amp;IF((AM29&lt;&gt;"Xp")*(AM29&lt;&gt;"Xg"),"_p","")&amp;IF((AM29&lt;&gt;"Xn"),"_n","")&amp;", ")))</f>
        <v xml:space="preserve">GRECO, </v>
      </c>
      <c r="CB29" s="9" t="str">
        <f>IF(0+(AN29="X")&gt;0,"",IF(0+((AN29&lt;&gt;"Xm")*(AN29&lt;&gt;"Xg"))+((AN29&lt;&gt;"Xp")*(AN29&lt;&gt;"Xg"))+((AN29&lt;&gt;"Xn"))=0,"",IF(0+((AN29&lt;&gt;"Xm")*(AN29&lt;&gt;"Xg"))+((AN29&lt;&gt;"Xp")*(AN29&lt;&gt;"Xg"))+((AN29&lt;&gt;"Xn"))=3,AN$3&amp;", ",AN$3&amp;IF((AN29&lt;&gt;"Xm")*(AN29&lt;&gt;"Xg"),"_m","")&amp;IF((AN29&lt;&gt;"Xp")*(AN29&lt;&gt;"Xg"),"_p","")&amp;IF((AN29&lt;&gt;"Xn"),"_n","")&amp;", ")))</f>
        <v xml:space="preserve">SANNA, </v>
      </c>
      <c r="CC29" s="9" t="str">
        <f>IF(0+(AO29="X")&gt;0,"",IF(0+((AO29&lt;&gt;"Xm")*(AO29&lt;&gt;"Xg"))+((AO29&lt;&gt;"Xp")*(AO29&lt;&gt;"Xg"))+((AO29&lt;&gt;"Xn"))=0,"",IF(0+((AO29&lt;&gt;"Xm")*(AO29&lt;&gt;"Xg"))+((AO29&lt;&gt;"Xp")*(AO29&lt;&gt;"Xg"))+((AO29&lt;&gt;"Xn"))=3,AO$3&amp;", ",AO$3&amp;IF((AO29&lt;&gt;"Xm")*(AO29&lt;&gt;"Xg"),"_m","")&amp;IF((AO29&lt;&gt;"Xp")*(AO29&lt;&gt;"Xg"),"_p","")&amp;IF((AO29&lt;&gt;"Xn"),"_n","")&amp;", ")))</f>
        <v xml:space="preserve">LI, </v>
      </c>
      <c r="CD29" s="9" t="n"/>
      <c r="CE29" s="9" t="str">
        <f>IF(0+(AB29="X")&gt;0,"",IF(0+((AB29&lt;&gt;"Xm")*(AB29&lt;&gt;"Xg")*(COUNTIFS($C$3:$Q$3,"MAT",$C29:$Q29,AB$3)=0)*(COUNTIFS($C$3:$Q$3,"NOTTE",$C29:$Q29,AB$3)=0)*(COUNTIFS($C$3:$Q$3,"NOTTE",$C28:$Q28,AB$3)=0))+((AB29&lt;&gt;"Xp")*(AB29&lt;&gt;"Xg")*(COUNTIFS($C$3:$Q$3,"POM",$C29:$Q29,AB$3)=0)*(COUNTIFS($C$3:$Q$3,"NOTTE",$C29:$Q29,AB$3)=0)*(COUNTIFS($C$3:$Q$3,"NOTTE",$C28:$Q28,AB$3)=0))+((AB29&lt;&gt;"Xn")*(COUNTIFS($C$3:$Q$3,"MAT",$C29:$Q29,AB$3)=0)*(COUNTIFS($C$3:$Q$3,"POM",$C29:$Q29,AB$3)=0)*(COUNTIFS($C$3:$Q$3,"NOTTE",$C29:$Q29,AB$3)=0)*(COUNTIFS($C$3:$Q$3,"NOTTE",$C28:$Q28,AB$3)=0))=0,"",IF(0+((AB29&lt;&gt;"Xm")*(AB29&lt;&gt;"Xg")*(COUNTIFS($C$3:$Q$3,"MAT",$C29:$Q29,AB$3)=0)*(COUNTIFS($C$3:$Q$3,"NOTTE",$C29:$Q29,AB$3)=0)*(COUNTIFS($C$3:$Q$3,"NOTTE",$C28:$Q28,AB$3)=0))+((AB29&lt;&gt;"Xp")*(AB29&lt;&gt;"Xg")*(COUNTIFS($C$3:$Q$3,"POM",$C29:$Q29,AB$3)=0)*(COUNTIFS($C$3:$Q$3,"NOTTE",$C29:$Q29,AB$3)=0)*(COUNTIFS($C$3:$Q$3,"NOTTE",$C28:$Q28,AB$3)=0))+((AB29&lt;&gt;"Xn")*(COUNTIFS($C$3:$Q$3,"MAT",$C29:$Q29,AB$3)=0)*(COUNTIFS($C$3:$Q$3,"POM",$C29:$Q29,AB$3)=0)*(COUNTIFS($C$3:$Q$3,"NOTTE",$C29:$Q29,AB$3)=0)*(COUNTIFS($C$3:$Q$3,"NOTTE",$C28:$Q28,AB$3)=0))=3,AB$3&amp;", ",AB$3&amp;IF((AB29&lt;&gt;"Xm")*(AB29&lt;&gt;"Xg")*(COUNTIFS($C$3:$Q$3,"MAT",$C29:$Q29,AB$3)=0)*(COUNTIFS($C$3:$Q$3,"NOTTE",$C29:$Q29,AB$3)=0)*(COUNTIFS($C$3:$Q$3,"NOTTE",$C28:$Q28,AB$3)=0),"_m","")&amp;IF((AB29&lt;&gt;"Xp")*(AB29&lt;&gt;"Xg")*(COUNTIFS($C$3:$Q$3,"POM",$C29:$Q29,AB$3)=0)*(COUNTIFS($C$3:$Q$3,"NOTTE",$C29:$Q29,AB$3)=0)*(COUNTIFS($C$3:$Q$3,"NOTTE",$C28:$Q28,AB$3)=0),"_p","")&amp;IF((AB29&lt;&gt;"Xn")*(COUNTIFS($C$3:$Q$3,"MAT",$C29:$Q29,AB$3)=0)*(COUNTIFS($C$3:$Q$3,"POM",$C29:$Q29,AB$3)=0)*(COUNTIFS($C$3:$Q$3,"NOTTE",$C29:$Q29,AB$3)=0)*(COUNTIFS($C$3:$Q$3,"NOTTE",$C28:$Q28,AB$3)=0),"_n","")&amp;", ")))</f>
        <v xml:space="preserve">LEONI, </v>
      </c>
      <c r="CF29" s="9" t="str">
        <f>IF(0+(AC29="X")&gt;0,"",IF(0+((AC29&lt;&gt;"Xm")*(AC29&lt;&gt;"Xg")*(COUNTIFS($C$3:$Q$3,"MAT",$C29:$Q29,AC$3)=0)*(COUNTIFS($C$3:$Q$3,"NOTTE",$C29:$Q29,AC$3)=0)*(COUNTIFS($C$3:$Q$3,"NOTTE",$C28:$Q28,AC$3)=0))+((AC29&lt;&gt;"Xp")*(AC29&lt;&gt;"Xg")*(COUNTIFS($C$3:$Q$3,"POM",$C29:$Q29,AC$3)=0)*(COUNTIFS($C$3:$Q$3,"NOTTE",$C29:$Q29,AC$3)=0)*(COUNTIFS($C$3:$Q$3,"NOTTE",$C28:$Q28,AC$3)=0))+((AC29&lt;&gt;"Xn")*(COUNTIFS($C$3:$Q$3,"MAT",$C29:$Q29,AC$3)=0)*(COUNTIFS($C$3:$Q$3,"POM",$C29:$Q29,AC$3)=0)*(COUNTIFS($C$3:$Q$3,"NOTTE",$C29:$Q29,AC$3)=0)*(COUNTIFS($C$3:$Q$3,"NOTTE",$C28:$Q28,AC$3)=0))=0,"",IF(0+((AC29&lt;&gt;"Xm")*(AC29&lt;&gt;"Xg")*(COUNTIFS($C$3:$Q$3,"MAT",$C29:$Q29,AC$3)=0)*(COUNTIFS($C$3:$Q$3,"NOTTE",$C29:$Q29,AC$3)=0)*(COUNTIFS($C$3:$Q$3,"NOTTE",$C28:$Q28,AC$3)=0))+((AC29&lt;&gt;"Xp")*(AC29&lt;&gt;"Xg")*(COUNTIFS($C$3:$Q$3,"POM",$C29:$Q29,AC$3)=0)*(COUNTIFS($C$3:$Q$3,"NOTTE",$C29:$Q29,AC$3)=0)*(COUNTIFS($C$3:$Q$3,"NOTTE",$C28:$Q28,AC$3)=0))+((AC29&lt;&gt;"Xn")*(COUNTIFS($C$3:$Q$3,"MAT",$C29:$Q29,AC$3)=0)*(COUNTIFS($C$3:$Q$3,"POM",$C29:$Q29,AC$3)=0)*(COUNTIFS($C$3:$Q$3,"NOTTE",$C29:$Q29,AC$3)=0)*(COUNTIFS($C$3:$Q$3,"NOTTE",$C28:$Q28,AC$3)=0))=3,AC$3&amp;", ",AC$3&amp;IF((AC29&lt;&gt;"Xm")*(AC29&lt;&gt;"Xg")*(COUNTIFS($C$3:$Q$3,"MAT",$C29:$Q29,AC$3)=0)*(COUNTIFS($C$3:$Q$3,"NOTTE",$C29:$Q29,AC$3)=0)*(COUNTIFS($C$3:$Q$3,"NOTTE",$C28:$Q28,AC$3)=0),"_m","")&amp;IF((AC29&lt;&gt;"Xp")*(AC29&lt;&gt;"Xg")*(COUNTIFS($C$3:$Q$3,"POM",$C29:$Q29,AC$3)=0)*(COUNTIFS($C$3:$Q$3,"NOTTE",$C29:$Q29,AC$3)=0)*(COUNTIFS($C$3:$Q$3,"NOTTE",$C28:$Q28,AC$3)=0),"_p","")&amp;IF((AC29&lt;&gt;"Xn")*(COUNTIFS($C$3:$Q$3,"MAT",$C29:$Q29,AC$3)=0)*(COUNTIFS($C$3:$Q$3,"POM",$C29:$Q29,AC$3)=0)*(COUNTIFS($C$3:$Q$3,"NOTTE",$C29:$Q29,AC$3)=0)*(COUNTIFS($C$3:$Q$3,"NOTTE",$C28:$Q28,AC$3)=0),"_n","")&amp;", ")))</f>
        <v xml:space="preserve">ROSSI M, </v>
      </c>
      <c r="CG29" s="9" t="str">
        <f>IF(0+(AD29="X")&gt;0,"",IF(0+((AD29&lt;&gt;"Xm")*(AD29&lt;&gt;"Xg")*(COUNTIFS($C$3:$Q$3,"MAT",$C29:$Q29,AD$3)=0)*(COUNTIFS($C$3:$Q$3,"NOTTE",$C29:$Q29,AD$3)=0)*(COUNTIFS($C$3:$Q$3,"NOTTE",$C28:$Q28,AD$3)=0))+((AD29&lt;&gt;"Xp")*(AD29&lt;&gt;"Xg")*(COUNTIFS($C$3:$Q$3,"POM",$C29:$Q29,AD$3)=0)*(COUNTIFS($C$3:$Q$3,"NOTTE",$C29:$Q29,AD$3)=0)*(COUNTIFS($C$3:$Q$3,"NOTTE",$C28:$Q28,AD$3)=0))+((AD29&lt;&gt;"Xn")*(COUNTIFS($C$3:$Q$3,"MAT",$C29:$Q29,AD$3)=0)*(COUNTIFS($C$3:$Q$3,"POM",$C29:$Q29,AD$3)=0)*(COUNTIFS($C$3:$Q$3,"NOTTE",$C29:$Q29,AD$3)=0)*(COUNTIFS($C$3:$Q$3,"NOTTE",$C28:$Q28,AD$3)=0))=0,"",IF(0+((AD29&lt;&gt;"Xm")*(AD29&lt;&gt;"Xg")*(COUNTIFS($C$3:$Q$3,"MAT",$C29:$Q29,AD$3)=0)*(COUNTIFS($C$3:$Q$3,"NOTTE",$C29:$Q29,AD$3)=0)*(COUNTIFS($C$3:$Q$3,"NOTTE",$C28:$Q28,AD$3)=0))+((AD29&lt;&gt;"Xp")*(AD29&lt;&gt;"Xg")*(COUNTIFS($C$3:$Q$3,"POM",$C29:$Q29,AD$3)=0)*(COUNTIFS($C$3:$Q$3,"NOTTE",$C29:$Q29,AD$3)=0)*(COUNTIFS($C$3:$Q$3,"NOTTE",$C28:$Q28,AD$3)=0))+((AD29&lt;&gt;"Xn")*(COUNTIFS($C$3:$Q$3,"MAT",$C29:$Q29,AD$3)=0)*(COUNTIFS($C$3:$Q$3,"POM",$C29:$Q29,AD$3)=0)*(COUNTIFS($C$3:$Q$3,"NOTTE",$C29:$Q29,AD$3)=0)*(COUNTIFS($C$3:$Q$3,"NOTTE",$C28:$Q28,AD$3)=0))=3,AD$3&amp;", ",AD$3&amp;IF((AD29&lt;&gt;"Xm")*(AD29&lt;&gt;"Xg")*(COUNTIFS($C$3:$Q$3,"MAT",$C29:$Q29,AD$3)=0)*(COUNTIFS($C$3:$Q$3,"NOTTE",$C29:$Q29,AD$3)=0)*(COUNTIFS($C$3:$Q$3,"NOTTE",$C28:$Q28,AD$3)=0),"_m","")&amp;IF((AD29&lt;&gt;"Xp")*(AD29&lt;&gt;"Xg")*(COUNTIFS($C$3:$Q$3,"POM",$C29:$Q29,AD$3)=0)*(COUNTIFS($C$3:$Q$3,"NOTTE",$C29:$Q29,AD$3)=0)*(COUNTIFS($C$3:$Q$3,"NOTTE",$C28:$Q28,AD$3)=0),"_p","")&amp;IF((AD29&lt;&gt;"Xn")*(COUNTIFS($C$3:$Q$3,"MAT",$C29:$Q29,AD$3)=0)*(COUNTIFS($C$3:$Q$3,"POM",$C29:$Q29,AD$3)=0)*(COUNTIFS($C$3:$Q$3,"NOTTE",$C29:$Q29,AD$3)=0)*(COUNTIFS($C$3:$Q$3,"NOTTE",$C28:$Q28,AD$3)=0),"_n","")&amp;", ")))</f>
        <v xml:space="preserve">ROSSI L, </v>
      </c>
      <c r="CH29" s="9" t="str">
        <f>IF(0+(AE29="X")&gt;0,"",IF(0+((AE29&lt;&gt;"Xm")*(AE29&lt;&gt;"Xg")*(COUNTIFS($C$3:$Q$3,"MAT",$C29:$Q29,AE$3)=0)*(COUNTIFS($C$3:$Q$3,"NOTTE",$C29:$Q29,AE$3)=0)*(COUNTIFS($C$3:$Q$3,"NOTTE",$C28:$Q28,AE$3)=0))+((AE29&lt;&gt;"Xp")*(AE29&lt;&gt;"Xg")*(COUNTIFS($C$3:$Q$3,"POM",$C29:$Q29,AE$3)=0)*(COUNTIFS($C$3:$Q$3,"NOTTE",$C29:$Q29,AE$3)=0)*(COUNTIFS($C$3:$Q$3,"NOTTE",$C28:$Q28,AE$3)=0))+((AE29&lt;&gt;"Xn")*(COUNTIFS($C$3:$Q$3,"MAT",$C29:$Q29,AE$3)=0)*(COUNTIFS($C$3:$Q$3,"POM",$C29:$Q29,AE$3)=0)*(COUNTIFS($C$3:$Q$3,"NOTTE",$C29:$Q29,AE$3)=0)*(COUNTIFS($C$3:$Q$3,"NOTTE",$C28:$Q28,AE$3)=0))=0,"",IF(0+((AE29&lt;&gt;"Xm")*(AE29&lt;&gt;"Xg")*(COUNTIFS($C$3:$Q$3,"MAT",$C29:$Q29,AE$3)=0)*(COUNTIFS($C$3:$Q$3,"NOTTE",$C29:$Q29,AE$3)=0)*(COUNTIFS($C$3:$Q$3,"NOTTE",$C28:$Q28,AE$3)=0))+((AE29&lt;&gt;"Xp")*(AE29&lt;&gt;"Xg")*(COUNTIFS($C$3:$Q$3,"POM",$C29:$Q29,AE$3)=0)*(COUNTIFS($C$3:$Q$3,"NOTTE",$C29:$Q29,AE$3)=0)*(COUNTIFS($C$3:$Q$3,"NOTTE",$C28:$Q28,AE$3)=0))+((AE29&lt;&gt;"Xn")*(COUNTIFS($C$3:$Q$3,"MAT",$C29:$Q29,AE$3)=0)*(COUNTIFS($C$3:$Q$3,"POM",$C29:$Q29,AE$3)=0)*(COUNTIFS($C$3:$Q$3,"NOTTE",$C29:$Q29,AE$3)=0)*(COUNTIFS($C$3:$Q$3,"NOTTE",$C28:$Q28,AE$3)=0))=3,AE$3&amp;", ",AE$3&amp;IF((AE29&lt;&gt;"Xm")*(AE29&lt;&gt;"Xg")*(COUNTIFS($C$3:$Q$3,"MAT",$C29:$Q29,AE$3)=0)*(COUNTIFS($C$3:$Q$3,"NOTTE",$C29:$Q29,AE$3)=0)*(COUNTIFS($C$3:$Q$3,"NOTTE",$C28:$Q28,AE$3)=0),"_m","")&amp;IF((AE29&lt;&gt;"Xp")*(AE29&lt;&gt;"Xg")*(COUNTIFS($C$3:$Q$3,"POM",$C29:$Q29,AE$3)=0)*(COUNTIFS($C$3:$Q$3,"NOTTE",$C29:$Q29,AE$3)=0)*(COUNTIFS($C$3:$Q$3,"NOTTE",$C28:$Q28,AE$3)=0),"_p","")&amp;IF((AE29&lt;&gt;"Xn")*(COUNTIFS($C$3:$Q$3,"MAT",$C29:$Q29,AE$3)=0)*(COUNTIFS($C$3:$Q$3,"POM",$C29:$Q29,AE$3)=0)*(COUNTIFS($C$3:$Q$3,"NOTTE",$C29:$Q29,AE$3)=0)*(COUNTIFS($C$3:$Q$3,"NOTTE",$C28:$Q28,AE$3)=0),"_n","")&amp;", ")))</f>
        <v xml:space="preserve">GALLINA, </v>
      </c>
      <c r="CI29" s="9" t="str">
        <f>IF(0+(AF29="X")&gt;0,"",IF(0+((AF29&lt;&gt;"Xm")*(AF29&lt;&gt;"Xg")*(COUNTIFS($C$3:$Q$3,"MAT",$C29:$Q29,AF$3)=0)*(COUNTIFS($C$3:$Q$3,"NOTTE",$C29:$Q29,AF$3)=0)*(COUNTIFS($C$3:$Q$3,"NOTTE",$C28:$Q28,AF$3)=0))+((AF29&lt;&gt;"Xp")*(AF29&lt;&gt;"Xg")*(COUNTIFS($C$3:$Q$3,"POM",$C29:$Q29,AF$3)=0)*(COUNTIFS($C$3:$Q$3,"NOTTE",$C29:$Q29,AF$3)=0)*(COUNTIFS($C$3:$Q$3,"NOTTE",$C28:$Q28,AF$3)=0))+((AF29&lt;&gt;"Xn")*(COUNTIFS($C$3:$Q$3,"MAT",$C29:$Q29,AF$3)=0)*(COUNTIFS($C$3:$Q$3,"POM",$C29:$Q29,AF$3)=0)*(COUNTIFS($C$3:$Q$3,"NOTTE",$C29:$Q29,AF$3)=0)*(COUNTIFS($C$3:$Q$3,"NOTTE",$C28:$Q28,AF$3)=0))=0,"",IF(0+((AF29&lt;&gt;"Xm")*(AF29&lt;&gt;"Xg")*(COUNTIFS($C$3:$Q$3,"MAT",$C29:$Q29,AF$3)=0)*(COUNTIFS($C$3:$Q$3,"NOTTE",$C29:$Q29,AF$3)=0)*(COUNTIFS($C$3:$Q$3,"NOTTE",$C28:$Q28,AF$3)=0))+((AF29&lt;&gt;"Xp")*(AF29&lt;&gt;"Xg")*(COUNTIFS($C$3:$Q$3,"POM",$C29:$Q29,AF$3)=0)*(COUNTIFS($C$3:$Q$3,"NOTTE",$C29:$Q29,AF$3)=0)*(COUNTIFS($C$3:$Q$3,"NOTTE",$C28:$Q28,AF$3)=0))+((AF29&lt;&gt;"Xn")*(COUNTIFS($C$3:$Q$3,"MAT",$C29:$Q29,AF$3)=0)*(COUNTIFS($C$3:$Q$3,"POM",$C29:$Q29,AF$3)=0)*(COUNTIFS($C$3:$Q$3,"NOTTE",$C29:$Q29,AF$3)=0)*(COUNTIFS($C$3:$Q$3,"NOTTE",$C28:$Q28,AF$3)=0))=3,AF$3&amp;", ",AF$3&amp;IF((AF29&lt;&gt;"Xm")*(AF29&lt;&gt;"Xg")*(COUNTIFS($C$3:$Q$3,"MAT",$C29:$Q29,AF$3)=0)*(COUNTIFS($C$3:$Q$3,"NOTTE",$C29:$Q29,AF$3)=0)*(COUNTIFS($C$3:$Q$3,"NOTTE",$C28:$Q28,AF$3)=0),"_m","")&amp;IF((AF29&lt;&gt;"Xp")*(AF29&lt;&gt;"Xg")*(COUNTIFS($C$3:$Q$3,"POM",$C29:$Q29,AF$3)=0)*(COUNTIFS($C$3:$Q$3,"NOTTE",$C29:$Q29,AF$3)=0)*(COUNTIFS($C$3:$Q$3,"NOTTE",$C28:$Q28,AF$3)=0),"_p","")&amp;IF((AF29&lt;&gt;"Xn")*(COUNTIFS($C$3:$Q$3,"MAT",$C29:$Q29,AF$3)=0)*(COUNTIFS($C$3:$Q$3,"POM",$C29:$Q29,AF$3)=0)*(COUNTIFS($C$3:$Q$3,"NOTTE",$C29:$Q29,AF$3)=0)*(COUNTIFS($C$3:$Q$3,"NOTTE",$C28:$Q28,AF$3)=0),"_n","")&amp;", ")))</f>
        <v xml:space="preserve">RUSSO, </v>
      </c>
      <c r="CJ29" s="9" t="str">
        <f>IF(0+(AG29="X")&gt;0,"",IF(0+((AG29&lt;&gt;"Xm")*(AG29&lt;&gt;"Xg")*(COUNTIFS($C$3:$Q$3,"MAT",$C29:$Q29,AG$3)=0)*(COUNTIFS($C$3:$Q$3,"NOTTE",$C29:$Q29,AG$3)=0)*(COUNTIFS($C$3:$Q$3,"NOTTE",$C28:$Q28,AG$3)=0))+((AG29&lt;&gt;"Xp")*(AG29&lt;&gt;"Xg")*(COUNTIFS($C$3:$Q$3,"POM",$C29:$Q29,AG$3)=0)*(COUNTIFS($C$3:$Q$3,"NOTTE",$C29:$Q29,AG$3)=0)*(COUNTIFS($C$3:$Q$3,"NOTTE",$C28:$Q28,AG$3)=0))+((AG29&lt;&gt;"Xn")*(COUNTIFS($C$3:$Q$3,"MAT",$C29:$Q29,AG$3)=0)*(COUNTIFS($C$3:$Q$3,"POM",$C29:$Q29,AG$3)=0)*(COUNTIFS($C$3:$Q$3,"NOTTE",$C29:$Q29,AG$3)=0)*(COUNTIFS($C$3:$Q$3,"NOTTE",$C28:$Q28,AG$3)=0))=0,"",IF(0+((AG29&lt;&gt;"Xm")*(AG29&lt;&gt;"Xg")*(COUNTIFS($C$3:$Q$3,"MAT",$C29:$Q29,AG$3)=0)*(COUNTIFS($C$3:$Q$3,"NOTTE",$C29:$Q29,AG$3)=0)*(COUNTIFS($C$3:$Q$3,"NOTTE",$C28:$Q28,AG$3)=0))+((AG29&lt;&gt;"Xp")*(AG29&lt;&gt;"Xg")*(COUNTIFS($C$3:$Q$3,"POM",$C29:$Q29,AG$3)=0)*(COUNTIFS($C$3:$Q$3,"NOTTE",$C29:$Q29,AG$3)=0)*(COUNTIFS($C$3:$Q$3,"NOTTE",$C28:$Q28,AG$3)=0))+((AG29&lt;&gt;"Xn")*(COUNTIFS($C$3:$Q$3,"MAT",$C29:$Q29,AG$3)=0)*(COUNTIFS($C$3:$Q$3,"POM",$C29:$Q29,AG$3)=0)*(COUNTIFS($C$3:$Q$3,"NOTTE",$C29:$Q29,AG$3)=0)*(COUNTIFS($C$3:$Q$3,"NOTTE",$C28:$Q28,AG$3)=0))=3,AG$3&amp;", ",AG$3&amp;IF((AG29&lt;&gt;"Xm")*(AG29&lt;&gt;"Xg")*(COUNTIFS($C$3:$Q$3,"MAT",$C29:$Q29,AG$3)=0)*(COUNTIFS($C$3:$Q$3,"NOTTE",$C29:$Q29,AG$3)=0)*(COUNTIFS($C$3:$Q$3,"NOTTE",$C28:$Q28,AG$3)=0),"_m","")&amp;IF((AG29&lt;&gt;"Xp")*(AG29&lt;&gt;"Xg")*(COUNTIFS($C$3:$Q$3,"POM",$C29:$Q29,AG$3)=0)*(COUNTIFS($C$3:$Q$3,"NOTTE",$C29:$Q29,AG$3)=0)*(COUNTIFS($C$3:$Q$3,"NOTTE",$C28:$Q28,AG$3)=0),"_p","")&amp;IF((AG29&lt;&gt;"Xn")*(COUNTIFS($C$3:$Q$3,"MAT",$C29:$Q29,AG$3)=0)*(COUNTIFS($C$3:$Q$3,"POM",$C29:$Q29,AG$3)=0)*(COUNTIFS($C$3:$Q$3,"NOTTE",$C29:$Q29,AG$3)=0)*(COUNTIFS($C$3:$Q$3,"NOTTE",$C28:$Q28,AG$3)=0),"_n","")&amp;", ")))</f>
        <v xml:space="preserve">VERDI, </v>
      </c>
      <c r="CK29" s="9" t="str">
        <f>IF(0+(AH29="X")&gt;0,"",IF(0+((AH29&lt;&gt;"Xm")*(AH29&lt;&gt;"Xg")*(COUNTIFS($C$3:$Q$3,"MAT",$C29:$Q29,AH$3)=0)*(COUNTIFS($C$3:$Q$3,"NOTTE",$C29:$Q29,AH$3)=0)*(COUNTIFS($C$3:$Q$3,"NOTTE",$C28:$Q28,AH$3)=0))+((AH29&lt;&gt;"Xp")*(AH29&lt;&gt;"Xg")*(COUNTIFS($C$3:$Q$3,"POM",$C29:$Q29,AH$3)=0)*(COUNTIFS($C$3:$Q$3,"NOTTE",$C29:$Q29,AH$3)=0)*(COUNTIFS($C$3:$Q$3,"NOTTE",$C28:$Q28,AH$3)=0))+((AH29&lt;&gt;"Xn")*(COUNTIFS($C$3:$Q$3,"MAT",$C29:$Q29,AH$3)=0)*(COUNTIFS($C$3:$Q$3,"POM",$C29:$Q29,AH$3)=0)*(COUNTIFS($C$3:$Q$3,"NOTTE",$C29:$Q29,AH$3)=0)*(COUNTIFS($C$3:$Q$3,"NOTTE",$C28:$Q28,AH$3)=0))=0,"",IF(0+((AH29&lt;&gt;"Xm")*(AH29&lt;&gt;"Xg")*(COUNTIFS($C$3:$Q$3,"MAT",$C29:$Q29,AH$3)=0)*(COUNTIFS($C$3:$Q$3,"NOTTE",$C29:$Q29,AH$3)=0)*(COUNTIFS($C$3:$Q$3,"NOTTE",$C28:$Q28,AH$3)=0))+((AH29&lt;&gt;"Xp")*(AH29&lt;&gt;"Xg")*(COUNTIFS($C$3:$Q$3,"POM",$C29:$Q29,AH$3)=0)*(COUNTIFS($C$3:$Q$3,"NOTTE",$C29:$Q29,AH$3)=0)*(COUNTIFS($C$3:$Q$3,"NOTTE",$C28:$Q28,AH$3)=0))+((AH29&lt;&gt;"Xn")*(COUNTIFS($C$3:$Q$3,"MAT",$C29:$Q29,AH$3)=0)*(COUNTIFS($C$3:$Q$3,"POM",$C29:$Q29,AH$3)=0)*(COUNTIFS($C$3:$Q$3,"NOTTE",$C29:$Q29,AH$3)=0)*(COUNTIFS($C$3:$Q$3,"NOTTE",$C28:$Q28,AH$3)=0))=3,AH$3&amp;", ",AH$3&amp;IF((AH29&lt;&gt;"Xm")*(AH29&lt;&gt;"Xg")*(COUNTIFS($C$3:$Q$3,"MAT",$C29:$Q29,AH$3)=0)*(COUNTIFS($C$3:$Q$3,"NOTTE",$C29:$Q29,AH$3)=0)*(COUNTIFS($C$3:$Q$3,"NOTTE",$C28:$Q28,AH$3)=0),"_m","")&amp;IF((AH29&lt;&gt;"Xp")*(AH29&lt;&gt;"Xg")*(COUNTIFS($C$3:$Q$3,"POM",$C29:$Q29,AH$3)=0)*(COUNTIFS($C$3:$Q$3,"NOTTE",$C29:$Q29,AH$3)=0)*(COUNTIFS($C$3:$Q$3,"NOTTE",$C28:$Q28,AH$3)=0),"_p","")&amp;IF((AH29&lt;&gt;"Xn")*(COUNTIFS($C$3:$Q$3,"MAT",$C29:$Q29,AH$3)=0)*(COUNTIFS($C$3:$Q$3,"POM",$C29:$Q29,AH$3)=0)*(COUNTIFS($C$3:$Q$3,"NOTTE",$C29:$Q29,AH$3)=0)*(COUNTIFS($C$3:$Q$3,"NOTTE",$C28:$Q28,AH$3)=0),"_n","")&amp;", ")))</f>
        <v xml:space="preserve">HU, </v>
      </c>
      <c r="CL29" s="9" t="str">
        <f>IF(0+(AI29="X")&gt;0,"",IF(0+((AI29&lt;&gt;"Xm")*(AI29&lt;&gt;"Xg")*(COUNTIFS($C$3:$Q$3,"MAT",$C29:$Q29,AI$3)=0)*(COUNTIFS($C$3:$Q$3,"NOTTE",$C29:$Q29,AI$3)=0)*(COUNTIFS($C$3:$Q$3,"NOTTE",$C28:$Q28,AI$3)=0))+((AI29&lt;&gt;"Xp")*(AI29&lt;&gt;"Xg")*(COUNTIFS($C$3:$Q$3,"POM",$C29:$Q29,AI$3)=0)*(COUNTIFS($C$3:$Q$3,"NOTTE",$C29:$Q29,AI$3)=0)*(COUNTIFS($C$3:$Q$3,"NOTTE",$C28:$Q28,AI$3)=0))+((AI29&lt;&gt;"Xn")*(COUNTIFS($C$3:$Q$3,"MAT",$C29:$Q29,AI$3)=0)*(COUNTIFS($C$3:$Q$3,"POM",$C29:$Q29,AI$3)=0)*(COUNTIFS($C$3:$Q$3,"NOTTE",$C29:$Q29,AI$3)=0)*(COUNTIFS($C$3:$Q$3,"NOTTE",$C28:$Q28,AI$3)=0))=0,"",IF(0+((AI29&lt;&gt;"Xm")*(AI29&lt;&gt;"Xg")*(COUNTIFS($C$3:$Q$3,"MAT",$C29:$Q29,AI$3)=0)*(COUNTIFS($C$3:$Q$3,"NOTTE",$C29:$Q29,AI$3)=0)*(COUNTIFS($C$3:$Q$3,"NOTTE",$C28:$Q28,AI$3)=0))+((AI29&lt;&gt;"Xp")*(AI29&lt;&gt;"Xg")*(COUNTIFS($C$3:$Q$3,"POM",$C29:$Q29,AI$3)=0)*(COUNTIFS($C$3:$Q$3,"NOTTE",$C29:$Q29,AI$3)=0)*(COUNTIFS($C$3:$Q$3,"NOTTE",$C28:$Q28,AI$3)=0))+((AI29&lt;&gt;"Xn")*(COUNTIFS($C$3:$Q$3,"MAT",$C29:$Q29,AI$3)=0)*(COUNTIFS($C$3:$Q$3,"POM",$C29:$Q29,AI$3)=0)*(COUNTIFS($C$3:$Q$3,"NOTTE",$C29:$Q29,AI$3)=0)*(COUNTIFS($C$3:$Q$3,"NOTTE",$C28:$Q28,AI$3)=0))=3,AI$3&amp;", ",AI$3&amp;IF((AI29&lt;&gt;"Xm")*(AI29&lt;&gt;"Xg")*(COUNTIFS($C$3:$Q$3,"MAT",$C29:$Q29,AI$3)=0)*(COUNTIFS($C$3:$Q$3,"NOTTE",$C29:$Q29,AI$3)=0)*(COUNTIFS($C$3:$Q$3,"NOTTE",$C28:$Q28,AI$3)=0),"_m","")&amp;IF((AI29&lt;&gt;"Xp")*(AI29&lt;&gt;"Xg")*(COUNTIFS($C$3:$Q$3,"POM",$C29:$Q29,AI$3)=0)*(COUNTIFS($C$3:$Q$3,"NOTTE",$C29:$Q29,AI$3)=0)*(COUNTIFS($C$3:$Q$3,"NOTTE",$C28:$Q28,AI$3)=0),"_p","")&amp;IF((AI29&lt;&gt;"Xn")*(COUNTIFS($C$3:$Q$3,"MAT",$C29:$Q29,AI$3)=0)*(COUNTIFS($C$3:$Q$3,"POM",$C29:$Q29,AI$3)=0)*(COUNTIFS($C$3:$Q$3,"NOTTE",$C29:$Q29,AI$3)=0)*(COUNTIFS($C$3:$Q$3,"NOTTE",$C28:$Q28,AI$3)=0),"_n","")&amp;", ")))</f>
        <v xml:space="preserve">MARINI, </v>
      </c>
      <c r="CM29" s="9" t="str">
        <f>IF(0+(AJ29="X")&gt;0,"",IF(0+((AJ29&lt;&gt;"Xm")*(AJ29&lt;&gt;"Xg")*(COUNTIFS($C$3:$Q$3,"MAT",$C29:$Q29,AJ$3)=0)*(COUNTIFS($C$3:$Q$3,"NOTTE",$C29:$Q29,AJ$3)=0)*(COUNTIFS($C$3:$Q$3,"NOTTE",$C28:$Q28,AJ$3)=0))+((AJ29&lt;&gt;"Xp")*(AJ29&lt;&gt;"Xg")*(COUNTIFS($C$3:$Q$3,"POM",$C29:$Q29,AJ$3)=0)*(COUNTIFS($C$3:$Q$3,"NOTTE",$C29:$Q29,AJ$3)=0)*(COUNTIFS($C$3:$Q$3,"NOTTE",$C28:$Q28,AJ$3)=0))+((AJ29&lt;&gt;"Xn")*(COUNTIFS($C$3:$Q$3,"MAT",$C29:$Q29,AJ$3)=0)*(COUNTIFS($C$3:$Q$3,"POM",$C29:$Q29,AJ$3)=0)*(COUNTIFS($C$3:$Q$3,"NOTTE",$C29:$Q29,AJ$3)=0)*(COUNTIFS($C$3:$Q$3,"NOTTE",$C28:$Q28,AJ$3)=0))=0,"",IF(0+((AJ29&lt;&gt;"Xm")*(AJ29&lt;&gt;"Xg")*(COUNTIFS($C$3:$Q$3,"MAT",$C29:$Q29,AJ$3)=0)*(COUNTIFS($C$3:$Q$3,"NOTTE",$C29:$Q29,AJ$3)=0)*(COUNTIFS($C$3:$Q$3,"NOTTE",$C28:$Q28,AJ$3)=0))+((AJ29&lt;&gt;"Xp")*(AJ29&lt;&gt;"Xg")*(COUNTIFS($C$3:$Q$3,"POM",$C29:$Q29,AJ$3)=0)*(COUNTIFS($C$3:$Q$3,"NOTTE",$C29:$Q29,AJ$3)=0)*(COUNTIFS($C$3:$Q$3,"NOTTE",$C28:$Q28,AJ$3)=0))+((AJ29&lt;&gt;"Xn")*(COUNTIFS($C$3:$Q$3,"MAT",$C29:$Q29,AJ$3)=0)*(COUNTIFS($C$3:$Q$3,"POM",$C29:$Q29,AJ$3)=0)*(COUNTIFS($C$3:$Q$3,"NOTTE",$C29:$Q29,AJ$3)=0)*(COUNTIFS($C$3:$Q$3,"NOTTE",$C28:$Q28,AJ$3)=0))=3,AJ$3&amp;", ",AJ$3&amp;IF((AJ29&lt;&gt;"Xm")*(AJ29&lt;&gt;"Xg")*(COUNTIFS($C$3:$Q$3,"MAT",$C29:$Q29,AJ$3)=0)*(COUNTIFS($C$3:$Q$3,"NOTTE",$C29:$Q29,AJ$3)=0)*(COUNTIFS($C$3:$Q$3,"NOTTE",$C28:$Q28,AJ$3)=0),"_m","")&amp;IF((AJ29&lt;&gt;"Xp")*(AJ29&lt;&gt;"Xg")*(COUNTIFS($C$3:$Q$3,"POM",$C29:$Q29,AJ$3)=0)*(COUNTIFS($C$3:$Q$3,"NOTTE",$C29:$Q29,AJ$3)=0)*(COUNTIFS($C$3:$Q$3,"NOTTE",$C28:$Q28,AJ$3)=0),"_p","")&amp;IF((AJ29&lt;&gt;"Xn")*(COUNTIFS($C$3:$Q$3,"MAT",$C29:$Q29,AJ$3)=0)*(COUNTIFS($C$3:$Q$3,"POM",$C29:$Q29,AJ$3)=0)*(COUNTIFS($C$3:$Q$3,"NOTTE",$C29:$Q29,AJ$3)=0)*(COUNTIFS($C$3:$Q$3,"NOTTE",$C28:$Q28,AJ$3)=0),"_n","")&amp;", ")))</f>
        <v xml:space="preserve">CONTI A, </v>
      </c>
      <c r="CN29" s="9" t="str">
        <f>IF(0+(AK29="X")&gt;0,"",IF(0+((AK29&lt;&gt;"Xm")*(AK29&lt;&gt;"Xg")*(COUNTIFS($C$3:$Q$3,"MAT",$C29:$Q29,AK$3)=0)*(COUNTIFS($C$3:$Q$3,"NOTTE",$C29:$Q29,AK$3)=0)*(COUNTIFS($C$3:$Q$3,"NOTTE",$C28:$Q28,AK$3)=0))+((AK29&lt;&gt;"Xp")*(AK29&lt;&gt;"Xg")*(COUNTIFS($C$3:$Q$3,"POM",$C29:$Q29,AK$3)=0)*(COUNTIFS($C$3:$Q$3,"NOTTE",$C29:$Q29,AK$3)=0)*(COUNTIFS($C$3:$Q$3,"NOTTE",$C28:$Q28,AK$3)=0))+((AK29&lt;&gt;"Xn")*(COUNTIFS($C$3:$Q$3,"MAT",$C29:$Q29,AK$3)=0)*(COUNTIFS($C$3:$Q$3,"POM",$C29:$Q29,AK$3)=0)*(COUNTIFS($C$3:$Q$3,"NOTTE",$C29:$Q29,AK$3)=0)*(COUNTIFS($C$3:$Q$3,"NOTTE",$C28:$Q28,AK$3)=0))=0,"",IF(0+((AK29&lt;&gt;"Xm")*(AK29&lt;&gt;"Xg")*(COUNTIFS($C$3:$Q$3,"MAT",$C29:$Q29,AK$3)=0)*(COUNTIFS($C$3:$Q$3,"NOTTE",$C29:$Q29,AK$3)=0)*(COUNTIFS($C$3:$Q$3,"NOTTE",$C28:$Q28,AK$3)=0))+((AK29&lt;&gt;"Xp")*(AK29&lt;&gt;"Xg")*(COUNTIFS($C$3:$Q$3,"POM",$C29:$Q29,AK$3)=0)*(COUNTIFS($C$3:$Q$3,"NOTTE",$C29:$Q29,AK$3)=0)*(COUNTIFS($C$3:$Q$3,"NOTTE",$C28:$Q28,AK$3)=0))+((AK29&lt;&gt;"Xn")*(COUNTIFS($C$3:$Q$3,"MAT",$C29:$Q29,AK$3)=0)*(COUNTIFS($C$3:$Q$3,"POM",$C29:$Q29,AK$3)=0)*(COUNTIFS($C$3:$Q$3,"NOTTE",$C29:$Q29,AK$3)=0)*(COUNTIFS($C$3:$Q$3,"NOTTE",$C28:$Q28,AK$3)=0))=3,AK$3&amp;", ",AK$3&amp;IF((AK29&lt;&gt;"Xm")*(AK29&lt;&gt;"Xg")*(COUNTIFS($C$3:$Q$3,"MAT",$C29:$Q29,AK$3)=0)*(COUNTIFS($C$3:$Q$3,"NOTTE",$C29:$Q29,AK$3)=0)*(COUNTIFS($C$3:$Q$3,"NOTTE",$C28:$Q28,AK$3)=0),"_m","")&amp;IF((AK29&lt;&gt;"Xp")*(AK29&lt;&gt;"Xg")*(COUNTIFS($C$3:$Q$3,"POM",$C29:$Q29,AK$3)=0)*(COUNTIFS($C$3:$Q$3,"NOTTE",$C29:$Q29,AK$3)=0)*(COUNTIFS($C$3:$Q$3,"NOTTE",$C28:$Q28,AK$3)=0),"_p","")&amp;IF((AK29&lt;&gt;"Xn")*(COUNTIFS($C$3:$Q$3,"MAT",$C29:$Q29,AK$3)=0)*(COUNTIFS($C$3:$Q$3,"POM",$C29:$Q29,AK$3)=0)*(COUNTIFS($C$3:$Q$3,"NOTTE",$C29:$Q29,AK$3)=0)*(COUNTIFS($C$3:$Q$3,"NOTTE",$C28:$Q28,AK$3)=0),"_n","")&amp;", ")))</f>
        <v xml:space="preserve">CONTI S, </v>
      </c>
      <c r="CO29" s="9" t="str">
        <f>IF(0+(AL29="X")&gt;0,"",IF(0+((AL29&lt;&gt;"Xm")*(AL29&lt;&gt;"Xg")*(COUNTIFS($C$3:$Q$3,"MAT",$C29:$Q29,AL$3)=0)*(COUNTIFS($C$3:$Q$3,"NOTTE",$C29:$Q29,AL$3)=0)*(COUNTIFS($C$3:$Q$3,"NOTTE",$C28:$Q28,AL$3)=0))+((AL29&lt;&gt;"Xp")*(AL29&lt;&gt;"Xg")*(COUNTIFS($C$3:$Q$3,"POM",$C29:$Q29,AL$3)=0)*(COUNTIFS($C$3:$Q$3,"NOTTE",$C29:$Q29,AL$3)=0)*(COUNTIFS($C$3:$Q$3,"NOTTE",$C28:$Q28,AL$3)=0))+((AL29&lt;&gt;"Xn")*(COUNTIFS($C$3:$Q$3,"MAT",$C29:$Q29,AL$3)=0)*(COUNTIFS($C$3:$Q$3,"POM",$C29:$Q29,AL$3)=0)*(COUNTIFS($C$3:$Q$3,"NOTTE",$C29:$Q29,AL$3)=0)*(COUNTIFS($C$3:$Q$3,"NOTTE",$C28:$Q28,AL$3)=0))=0,"",IF(0+((AL29&lt;&gt;"Xm")*(AL29&lt;&gt;"Xg")*(COUNTIFS($C$3:$Q$3,"MAT",$C29:$Q29,AL$3)=0)*(COUNTIFS($C$3:$Q$3,"NOTTE",$C29:$Q29,AL$3)=0)*(COUNTIFS($C$3:$Q$3,"NOTTE",$C28:$Q28,AL$3)=0))+((AL29&lt;&gt;"Xp")*(AL29&lt;&gt;"Xg")*(COUNTIFS($C$3:$Q$3,"POM",$C29:$Q29,AL$3)=0)*(COUNTIFS($C$3:$Q$3,"NOTTE",$C29:$Q29,AL$3)=0)*(COUNTIFS($C$3:$Q$3,"NOTTE",$C28:$Q28,AL$3)=0))+((AL29&lt;&gt;"Xn")*(COUNTIFS($C$3:$Q$3,"MAT",$C29:$Q29,AL$3)=0)*(COUNTIFS($C$3:$Q$3,"POM",$C29:$Q29,AL$3)=0)*(COUNTIFS($C$3:$Q$3,"NOTTE",$C29:$Q29,AL$3)=0)*(COUNTIFS($C$3:$Q$3,"NOTTE",$C28:$Q28,AL$3)=0))=3,AL$3&amp;", ",AL$3&amp;IF((AL29&lt;&gt;"Xm")*(AL29&lt;&gt;"Xg")*(COUNTIFS($C$3:$Q$3,"MAT",$C29:$Q29,AL$3)=0)*(COUNTIFS($C$3:$Q$3,"NOTTE",$C29:$Q29,AL$3)=0)*(COUNTIFS($C$3:$Q$3,"NOTTE",$C28:$Q28,AL$3)=0),"_m","")&amp;IF((AL29&lt;&gt;"Xp")*(AL29&lt;&gt;"Xg")*(COUNTIFS($C$3:$Q$3,"POM",$C29:$Q29,AL$3)=0)*(COUNTIFS($C$3:$Q$3,"NOTTE",$C29:$Q29,AL$3)=0)*(COUNTIFS($C$3:$Q$3,"NOTTE",$C28:$Q28,AL$3)=0),"_p","")&amp;IF((AL29&lt;&gt;"Xn")*(COUNTIFS($C$3:$Q$3,"MAT",$C29:$Q29,AL$3)=0)*(COUNTIFS($C$3:$Q$3,"POM",$C29:$Q29,AL$3)=0)*(COUNTIFS($C$3:$Q$3,"NOTTE",$C29:$Q29,AL$3)=0)*(COUNTIFS($C$3:$Q$3,"NOTTE",$C28:$Q28,AL$3)=0),"_n","")&amp;", ")))</f>
        <v xml:space="preserve">FERRARI, </v>
      </c>
      <c r="CP29" s="9" t="str">
        <f>IF(0+(AM29="X")&gt;0,"",IF(0+((AM29&lt;&gt;"Xm")*(AM29&lt;&gt;"Xg")*(COUNTIFS($C$3:$Q$3,"MAT",$C29:$Q29,AM$3)=0)*(COUNTIFS($C$3:$Q$3,"NOTTE",$C29:$Q29,AM$3)=0)*(COUNTIFS($C$3:$Q$3,"NOTTE",$C28:$Q28,AM$3)=0))+((AM29&lt;&gt;"Xp")*(AM29&lt;&gt;"Xg")*(COUNTIFS($C$3:$Q$3,"POM",$C29:$Q29,AM$3)=0)*(COUNTIFS($C$3:$Q$3,"NOTTE",$C29:$Q29,AM$3)=0)*(COUNTIFS($C$3:$Q$3,"NOTTE",$C28:$Q28,AM$3)=0))+((AM29&lt;&gt;"Xn")*(COUNTIFS($C$3:$Q$3,"MAT",$C29:$Q29,AM$3)=0)*(COUNTIFS($C$3:$Q$3,"POM",$C29:$Q29,AM$3)=0)*(COUNTIFS($C$3:$Q$3,"NOTTE",$C29:$Q29,AM$3)=0)*(COUNTIFS($C$3:$Q$3,"NOTTE",$C28:$Q28,AM$3)=0))=0,"",IF(0+((AM29&lt;&gt;"Xm")*(AM29&lt;&gt;"Xg")*(COUNTIFS($C$3:$Q$3,"MAT",$C29:$Q29,AM$3)=0)*(COUNTIFS($C$3:$Q$3,"NOTTE",$C29:$Q29,AM$3)=0)*(COUNTIFS($C$3:$Q$3,"NOTTE",$C28:$Q28,AM$3)=0))+((AM29&lt;&gt;"Xp")*(AM29&lt;&gt;"Xg")*(COUNTIFS($C$3:$Q$3,"POM",$C29:$Q29,AM$3)=0)*(COUNTIFS($C$3:$Q$3,"NOTTE",$C29:$Q29,AM$3)=0)*(COUNTIFS($C$3:$Q$3,"NOTTE",$C28:$Q28,AM$3)=0))+((AM29&lt;&gt;"Xn")*(COUNTIFS($C$3:$Q$3,"MAT",$C29:$Q29,AM$3)=0)*(COUNTIFS($C$3:$Q$3,"POM",$C29:$Q29,AM$3)=0)*(COUNTIFS($C$3:$Q$3,"NOTTE",$C29:$Q29,AM$3)=0)*(COUNTIFS($C$3:$Q$3,"NOTTE",$C28:$Q28,AM$3)=0))=3,AM$3&amp;", ",AM$3&amp;IF((AM29&lt;&gt;"Xm")*(AM29&lt;&gt;"Xg")*(COUNTIFS($C$3:$Q$3,"MAT",$C29:$Q29,AM$3)=0)*(COUNTIFS($C$3:$Q$3,"NOTTE",$C29:$Q29,AM$3)=0)*(COUNTIFS($C$3:$Q$3,"NOTTE",$C28:$Q28,AM$3)=0),"_m","")&amp;IF((AM29&lt;&gt;"Xp")*(AM29&lt;&gt;"Xg")*(COUNTIFS($C$3:$Q$3,"POM",$C29:$Q29,AM$3)=0)*(COUNTIFS($C$3:$Q$3,"NOTTE",$C29:$Q29,AM$3)=0)*(COUNTIFS($C$3:$Q$3,"NOTTE",$C28:$Q28,AM$3)=0),"_p","")&amp;IF((AM29&lt;&gt;"Xn")*(COUNTIFS($C$3:$Q$3,"MAT",$C29:$Q29,AM$3)=0)*(COUNTIFS($C$3:$Q$3,"POM",$C29:$Q29,AM$3)=0)*(COUNTIFS($C$3:$Q$3,"NOTTE",$C29:$Q29,AM$3)=0)*(COUNTIFS($C$3:$Q$3,"NOTTE",$C28:$Q28,AM$3)=0),"_n","")&amp;", ")))</f>
        <v xml:space="preserve">GRECO, </v>
      </c>
      <c r="CQ29" s="9" t="str">
        <f>IF(0+(AN29="X")&gt;0,"",IF(0+((AN29&lt;&gt;"Xm")*(AN29&lt;&gt;"Xg")*(COUNTIFS($C$3:$Q$3,"MAT",$C29:$Q29,AN$3)=0)*(COUNTIFS($C$3:$Q$3,"NOTTE",$C29:$Q29,AN$3)=0)*(COUNTIFS($C$3:$Q$3,"NOTTE",$C28:$Q28,AN$3)=0))+((AN29&lt;&gt;"Xp")*(AN29&lt;&gt;"Xg")*(COUNTIFS($C$3:$Q$3,"POM",$C29:$Q29,AN$3)=0)*(COUNTIFS($C$3:$Q$3,"NOTTE",$C29:$Q29,AN$3)=0)*(COUNTIFS($C$3:$Q$3,"NOTTE",$C28:$Q28,AN$3)=0))+((AN29&lt;&gt;"Xn")*(COUNTIFS($C$3:$Q$3,"MAT",$C29:$Q29,AN$3)=0)*(COUNTIFS($C$3:$Q$3,"POM",$C29:$Q29,AN$3)=0)*(COUNTIFS($C$3:$Q$3,"NOTTE",$C29:$Q29,AN$3)=0)*(COUNTIFS($C$3:$Q$3,"NOTTE",$C28:$Q28,AN$3)=0))=0,"",IF(0+((AN29&lt;&gt;"Xm")*(AN29&lt;&gt;"Xg")*(COUNTIFS($C$3:$Q$3,"MAT",$C29:$Q29,AN$3)=0)*(COUNTIFS($C$3:$Q$3,"NOTTE",$C29:$Q29,AN$3)=0)*(COUNTIFS($C$3:$Q$3,"NOTTE",$C28:$Q28,AN$3)=0))+((AN29&lt;&gt;"Xp")*(AN29&lt;&gt;"Xg")*(COUNTIFS($C$3:$Q$3,"POM",$C29:$Q29,AN$3)=0)*(COUNTIFS($C$3:$Q$3,"NOTTE",$C29:$Q29,AN$3)=0)*(COUNTIFS($C$3:$Q$3,"NOTTE",$C28:$Q28,AN$3)=0))+((AN29&lt;&gt;"Xn")*(COUNTIFS($C$3:$Q$3,"MAT",$C29:$Q29,AN$3)=0)*(COUNTIFS($C$3:$Q$3,"POM",$C29:$Q29,AN$3)=0)*(COUNTIFS($C$3:$Q$3,"NOTTE",$C29:$Q29,AN$3)=0)*(COUNTIFS($C$3:$Q$3,"NOTTE",$C28:$Q28,AN$3)=0))=3,AN$3&amp;", ",AN$3&amp;IF((AN29&lt;&gt;"Xm")*(AN29&lt;&gt;"Xg")*(COUNTIFS($C$3:$Q$3,"MAT",$C29:$Q29,AN$3)=0)*(COUNTIFS($C$3:$Q$3,"NOTTE",$C29:$Q29,AN$3)=0)*(COUNTIFS($C$3:$Q$3,"NOTTE",$C28:$Q28,AN$3)=0),"_m","")&amp;IF((AN29&lt;&gt;"Xp")*(AN29&lt;&gt;"Xg")*(COUNTIFS($C$3:$Q$3,"POM",$C29:$Q29,AN$3)=0)*(COUNTIFS($C$3:$Q$3,"NOTTE",$C29:$Q29,AN$3)=0)*(COUNTIFS($C$3:$Q$3,"NOTTE",$C28:$Q28,AN$3)=0),"_p","")&amp;IF((AN29&lt;&gt;"Xn")*(COUNTIFS($C$3:$Q$3,"MAT",$C29:$Q29,AN$3)=0)*(COUNTIFS($C$3:$Q$3,"POM",$C29:$Q29,AN$3)=0)*(COUNTIFS($C$3:$Q$3,"NOTTE",$C29:$Q29,AN$3)=0)*(COUNTIFS($C$3:$Q$3,"NOTTE",$C28:$Q28,AN$3)=0),"_n","")&amp;", ")))</f>
        <v xml:space="preserve">SANNA, </v>
      </c>
      <c r="CR29" s="9" t="str">
        <f>IF(0+(AO29="X")&gt;0,"",IF(0+((AO29&lt;&gt;"Xm")*(AO29&lt;&gt;"Xg")*(COUNTIFS($C$3:$Q$3,"MAT",$C29:$Q29,AO$3)=0)*(COUNTIFS($C$3:$Q$3,"NOTTE",$C29:$Q29,AO$3)=0)*(COUNTIFS($C$3:$Q$3,"NOTTE",$C28:$Q28,AO$3)=0))+((AO29&lt;&gt;"Xp")*(AO29&lt;&gt;"Xg")*(COUNTIFS($C$3:$Q$3,"POM",$C29:$Q29,AO$3)=0)*(COUNTIFS($C$3:$Q$3,"NOTTE",$C29:$Q29,AO$3)=0)*(COUNTIFS($C$3:$Q$3,"NOTTE",$C28:$Q28,AO$3)=0))+((AO29&lt;&gt;"Xn")*(COUNTIFS($C$3:$Q$3,"MAT",$C29:$Q29,AO$3)=0)*(COUNTIFS($C$3:$Q$3,"POM",$C29:$Q29,AO$3)=0)*(COUNTIFS($C$3:$Q$3,"NOTTE",$C29:$Q29,AO$3)=0)*(COUNTIFS($C$3:$Q$3,"NOTTE",$C28:$Q28,AO$3)=0))=0,"",IF(0+((AO29&lt;&gt;"Xm")*(AO29&lt;&gt;"Xg")*(COUNTIFS($C$3:$Q$3,"MAT",$C29:$Q29,AO$3)=0)*(COUNTIFS($C$3:$Q$3,"NOTTE",$C29:$Q29,AO$3)=0)*(COUNTIFS($C$3:$Q$3,"NOTTE",$C28:$Q28,AO$3)=0))+((AO29&lt;&gt;"Xp")*(AO29&lt;&gt;"Xg")*(COUNTIFS($C$3:$Q$3,"POM",$C29:$Q29,AO$3)=0)*(COUNTIFS($C$3:$Q$3,"NOTTE",$C29:$Q29,AO$3)=0)*(COUNTIFS($C$3:$Q$3,"NOTTE",$C28:$Q28,AO$3)=0))+((AO29&lt;&gt;"Xn")*(COUNTIFS($C$3:$Q$3,"MAT",$C29:$Q29,AO$3)=0)*(COUNTIFS($C$3:$Q$3,"POM",$C29:$Q29,AO$3)=0)*(COUNTIFS($C$3:$Q$3,"NOTTE",$C29:$Q29,AO$3)=0)*(COUNTIFS($C$3:$Q$3,"NOTTE",$C28:$Q28,AO$3)=0))=3,AO$3&amp;", ",AO$3&amp;IF((AO29&lt;&gt;"Xm")*(AO29&lt;&gt;"Xg")*(COUNTIFS($C$3:$Q$3,"MAT",$C29:$Q29,AO$3)=0)*(COUNTIFS($C$3:$Q$3,"NOTTE",$C29:$Q29,AO$3)=0)*(COUNTIFS($C$3:$Q$3,"NOTTE",$C28:$Q28,AO$3)=0),"_m","")&amp;IF((AO29&lt;&gt;"Xp")*(AO29&lt;&gt;"Xg")*(COUNTIFS($C$3:$Q$3,"POM",$C29:$Q29,AO$3)=0)*(COUNTIFS($C$3:$Q$3,"NOTTE",$C29:$Q29,AO$3)=0)*(COUNTIFS($C$3:$Q$3,"NOTTE",$C28:$Q28,AO$3)=0),"_p","")&amp;IF((AO29&lt;&gt;"Xn")*(COUNTIFS($C$3:$Q$3,"MAT",$C29:$Q29,AO$3)=0)*(COUNTIFS($C$3:$Q$3,"POM",$C29:$Q29,AO$3)=0)*(COUNTIFS($C$3:$Q$3,"NOTTE",$C29:$Q29,AO$3)=0)*(COUNTIFS($C$3:$Q$3,"NOTTE",$C28:$Q28,AO$3)=0),"_n","")&amp;", ")))</f>
        <v xml:space="preserve">LI, </v>
      </c>
    </row>
    <row r="30">
      <c r="A30" s="10" t="str">
        <f>CHOOSE(WEEKDAY(DATE($B$1,$A$2,B30),2),"lunedì","martedì","mercoledì","giovedì","venerdì","sabato","domenica")</f>
        <v>venerdì</v>
      </c>
      <c r="B30" s="10" t="n">
        <v>27</v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4" t="n"/>
      <c r="M30" s="11" t="n"/>
      <c r="N30" s="11" t="n"/>
      <c r="O30" s="11" t="n"/>
      <c r="P30" s="4" t="n"/>
      <c r="Q30" s="11" t="n"/>
      <c r="R30" s="11" t="n"/>
      <c r="S30" s="11">
        <f>IF(SUMPRODUCT(($C$3:$Q$3&lt;&gt;"")*($C30:$Q30&lt;&gt;"")*(LEFT($C30:$Q30,6)&lt;&gt;"chiuso")*(COUNTIFS($C30:$Q30,$C30:$Q30,$C$3:$Q$3,$C$3:$Q$3)&gt;1))&gt;0,"X","")</f>
      </c>
      <c r="T30" s="11" t="str">
        <f>IF(LEN(BP30&amp;BQ30&amp;BR30&amp;BS30&amp;BT30&amp;BU30&amp;BV30&amp;BW30&amp;BX30&amp;BY30&amp;BZ30&amp;CA30&amp;CB30&amp;CC30)=0,"",LEFT(BP30&amp;BQ30&amp;BR30&amp;BS30&amp;BT30&amp;BU30&amp;BV30&amp;BW30&amp;BX30&amp;BY30&amp;BZ30&amp;CA30&amp;CB30&amp;CC30,LEN(BP30&amp;BQ30&amp;BR30&amp;BS30&amp;BT30&amp;BU30&amp;BV30&amp;BW30&amp;BX30&amp;BY30&amp;BZ30&amp;CA30&amp;CB30&amp;CC30)-2))</f>
        <v>LEONI, ROSSI M, ROSSI L, GALLINA, RUSSO, VERDI, HU, MARINI, CONTI A, CONTI S, FERRARI, GRECO, SANNA, LI</v>
      </c>
      <c r="U30" s="11" t="str">
        <f>IF(LEN(CE30&amp;CF30&amp;CG30&amp;CH30&amp;CI30&amp;CJ30&amp;CK30&amp;CL30&amp;CM30&amp;CN30&amp;CO30&amp;CP30&amp;CQ30&amp;CR30)=0,"",LEFT(CE30&amp;CF30&amp;CG30&amp;CH30&amp;CI30&amp;CJ30&amp;CK30&amp;CL30&amp;CM30&amp;CN30&amp;CO30&amp;CP30&amp;CQ30&amp;CR30,LEN(CE30&amp;CF30&amp;CG30&amp;CH30&amp;CI30&amp;CJ30&amp;CK30&amp;CL30&amp;CM30&amp;CN30&amp;CO30&amp;CP30&amp;CQ30&amp;CR30)-2))</f>
        <v>LEONI, ROSSI M, ROSSI L, GALLINA, RUSSO, VERDI, HU, MARINI, CONTI A, CONTI S, FERRARI, GRECO, SANNA, LI</v>
      </c>
      <c r="Z30" s="10" t="str">
        <f>A30</f>
        <v>venerdì</v>
      </c>
      <c r="AA30" s="10">
        <f>B30</f>
        <v>27</v>
      </c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BP30" s="9" t="str">
        <f>IF(0+(AB30="X")&gt;0,"",IF(0+((AB30&lt;&gt;"Xm")*(AB30&lt;&gt;"Xg"))+((AB30&lt;&gt;"Xp")*(AB30&lt;&gt;"Xg"))+((AB30&lt;&gt;"Xn"))=0,"",IF(0+((AB30&lt;&gt;"Xm")*(AB30&lt;&gt;"Xg"))+((AB30&lt;&gt;"Xp")*(AB30&lt;&gt;"Xg"))+((AB30&lt;&gt;"Xn"))=3,AB$3&amp;", ",AB$3&amp;IF((AB30&lt;&gt;"Xm")*(AB30&lt;&gt;"Xg"),"_m","")&amp;IF((AB30&lt;&gt;"Xp")*(AB30&lt;&gt;"Xg"),"_p","")&amp;IF((AB30&lt;&gt;"Xn"),"_n","")&amp;", ")))</f>
        <v xml:space="preserve">LEONI, </v>
      </c>
      <c r="BQ30" s="9" t="str">
        <f>IF(0+(AC30="X")&gt;0,"",IF(0+((AC30&lt;&gt;"Xm")*(AC30&lt;&gt;"Xg"))+((AC30&lt;&gt;"Xp")*(AC30&lt;&gt;"Xg"))+((AC30&lt;&gt;"Xn"))=0,"",IF(0+((AC30&lt;&gt;"Xm")*(AC30&lt;&gt;"Xg"))+((AC30&lt;&gt;"Xp")*(AC30&lt;&gt;"Xg"))+((AC30&lt;&gt;"Xn"))=3,AC$3&amp;", ",AC$3&amp;IF((AC30&lt;&gt;"Xm")*(AC30&lt;&gt;"Xg"),"_m","")&amp;IF((AC30&lt;&gt;"Xp")*(AC30&lt;&gt;"Xg"),"_p","")&amp;IF((AC30&lt;&gt;"Xn"),"_n","")&amp;", ")))</f>
        <v xml:space="preserve">ROSSI M, </v>
      </c>
      <c r="BR30" s="9" t="str">
        <f>IF(0+(AD30="X")&gt;0,"",IF(0+((AD30&lt;&gt;"Xm")*(AD30&lt;&gt;"Xg"))+((AD30&lt;&gt;"Xp")*(AD30&lt;&gt;"Xg"))+((AD30&lt;&gt;"Xn"))=0,"",IF(0+((AD30&lt;&gt;"Xm")*(AD30&lt;&gt;"Xg"))+((AD30&lt;&gt;"Xp")*(AD30&lt;&gt;"Xg"))+((AD30&lt;&gt;"Xn"))=3,AD$3&amp;", ",AD$3&amp;IF((AD30&lt;&gt;"Xm")*(AD30&lt;&gt;"Xg"),"_m","")&amp;IF((AD30&lt;&gt;"Xp")*(AD30&lt;&gt;"Xg"),"_p","")&amp;IF((AD30&lt;&gt;"Xn"),"_n","")&amp;", ")))</f>
        <v xml:space="preserve">ROSSI L, </v>
      </c>
      <c r="BS30" s="9" t="str">
        <f>IF(0+(AE30="X")&gt;0,"",IF(0+((AE30&lt;&gt;"Xm")*(AE30&lt;&gt;"Xg"))+((AE30&lt;&gt;"Xp")*(AE30&lt;&gt;"Xg"))+((AE30&lt;&gt;"Xn"))=0,"",IF(0+((AE30&lt;&gt;"Xm")*(AE30&lt;&gt;"Xg"))+((AE30&lt;&gt;"Xp")*(AE30&lt;&gt;"Xg"))+((AE30&lt;&gt;"Xn"))=3,AE$3&amp;", ",AE$3&amp;IF((AE30&lt;&gt;"Xm")*(AE30&lt;&gt;"Xg"),"_m","")&amp;IF((AE30&lt;&gt;"Xp")*(AE30&lt;&gt;"Xg"),"_p","")&amp;IF((AE30&lt;&gt;"Xn"),"_n","")&amp;", ")))</f>
        <v xml:space="preserve">GALLINA, </v>
      </c>
      <c r="BT30" s="9" t="str">
        <f>IF(0+(AF30="X")&gt;0,"",IF(0+((AF30&lt;&gt;"Xm")*(AF30&lt;&gt;"Xg"))+((AF30&lt;&gt;"Xp")*(AF30&lt;&gt;"Xg"))+((AF30&lt;&gt;"Xn"))=0,"",IF(0+((AF30&lt;&gt;"Xm")*(AF30&lt;&gt;"Xg"))+((AF30&lt;&gt;"Xp")*(AF30&lt;&gt;"Xg"))+((AF30&lt;&gt;"Xn"))=3,AF$3&amp;", ",AF$3&amp;IF((AF30&lt;&gt;"Xm")*(AF30&lt;&gt;"Xg"),"_m","")&amp;IF((AF30&lt;&gt;"Xp")*(AF30&lt;&gt;"Xg"),"_p","")&amp;IF((AF30&lt;&gt;"Xn"),"_n","")&amp;", ")))</f>
        <v xml:space="preserve">RUSSO, </v>
      </c>
      <c r="BU30" s="9" t="str">
        <f>IF(0+(AG30="X")&gt;0,"",IF(0+((AG30&lt;&gt;"Xm")*(AG30&lt;&gt;"Xg"))+((AG30&lt;&gt;"Xp")*(AG30&lt;&gt;"Xg"))+((AG30&lt;&gt;"Xn"))=0,"",IF(0+((AG30&lt;&gt;"Xm")*(AG30&lt;&gt;"Xg"))+((AG30&lt;&gt;"Xp")*(AG30&lt;&gt;"Xg"))+((AG30&lt;&gt;"Xn"))=3,AG$3&amp;", ",AG$3&amp;IF((AG30&lt;&gt;"Xm")*(AG30&lt;&gt;"Xg"),"_m","")&amp;IF((AG30&lt;&gt;"Xp")*(AG30&lt;&gt;"Xg"),"_p","")&amp;IF((AG30&lt;&gt;"Xn"),"_n","")&amp;", ")))</f>
        <v xml:space="preserve">VERDI, </v>
      </c>
      <c r="BV30" s="9" t="str">
        <f>IF(0+(AH30="X")&gt;0,"",IF(0+((AH30&lt;&gt;"Xm")*(AH30&lt;&gt;"Xg"))+((AH30&lt;&gt;"Xp")*(AH30&lt;&gt;"Xg"))+((AH30&lt;&gt;"Xn"))=0,"",IF(0+((AH30&lt;&gt;"Xm")*(AH30&lt;&gt;"Xg"))+((AH30&lt;&gt;"Xp")*(AH30&lt;&gt;"Xg"))+((AH30&lt;&gt;"Xn"))=3,AH$3&amp;", ",AH$3&amp;IF((AH30&lt;&gt;"Xm")*(AH30&lt;&gt;"Xg"),"_m","")&amp;IF((AH30&lt;&gt;"Xp")*(AH30&lt;&gt;"Xg"),"_p","")&amp;IF((AH30&lt;&gt;"Xn"),"_n","")&amp;", ")))</f>
        <v xml:space="preserve">HU, </v>
      </c>
      <c r="BW30" s="9" t="str">
        <f>IF(0+(AI30="X")&gt;0,"",IF(0+((AI30&lt;&gt;"Xm")*(AI30&lt;&gt;"Xg"))+((AI30&lt;&gt;"Xp")*(AI30&lt;&gt;"Xg"))+((AI30&lt;&gt;"Xn"))=0,"",IF(0+((AI30&lt;&gt;"Xm")*(AI30&lt;&gt;"Xg"))+((AI30&lt;&gt;"Xp")*(AI30&lt;&gt;"Xg"))+((AI30&lt;&gt;"Xn"))=3,AI$3&amp;", ",AI$3&amp;IF((AI30&lt;&gt;"Xm")*(AI30&lt;&gt;"Xg"),"_m","")&amp;IF((AI30&lt;&gt;"Xp")*(AI30&lt;&gt;"Xg"),"_p","")&amp;IF((AI30&lt;&gt;"Xn"),"_n","")&amp;", ")))</f>
        <v xml:space="preserve">MARINI, </v>
      </c>
      <c r="BX30" s="9" t="str">
        <f>IF(0+(AJ30="X")&gt;0,"",IF(0+((AJ30&lt;&gt;"Xm")*(AJ30&lt;&gt;"Xg"))+((AJ30&lt;&gt;"Xp")*(AJ30&lt;&gt;"Xg"))+((AJ30&lt;&gt;"Xn"))=0,"",IF(0+((AJ30&lt;&gt;"Xm")*(AJ30&lt;&gt;"Xg"))+((AJ30&lt;&gt;"Xp")*(AJ30&lt;&gt;"Xg"))+((AJ30&lt;&gt;"Xn"))=3,AJ$3&amp;", ",AJ$3&amp;IF((AJ30&lt;&gt;"Xm")*(AJ30&lt;&gt;"Xg"),"_m","")&amp;IF((AJ30&lt;&gt;"Xp")*(AJ30&lt;&gt;"Xg"),"_p","")&amp;IF((AJ30&lt;&gt;"Xn"),"_n","")&amp;", ")))</f>
        <v xml:space="preserve">CONTI A, </v>
      </c>
      <c r="BY30" s="9" t="str">
        <f>IF(0+(AK30="X")&gt;0,"",IF(0+((AK30&lt;&gt;"Xm")*(AK30&lt;&gt;"Xg"))+((AK30&lt;&gt;"Xp")*(AK30&lt;&gt;"Xg"))+((AK30&lt;&gt;"Xn"))=0,"",IF(0+((AK30&lt;&gt;"Xm")*(AK30&lt;&gt;"Xg"))+((AK30&lt;&gt;"Xp")*(AK30&lt;&gt;"Xg"))+((AK30&lt;&gt;"Xn"))=3,AK$3&amp;", ",AK$3&amp;IF((AK30&lt;&gt;"Xm")*(AK30&lt;&gt;"Xg"),"_m","")&amp;IF((AK30&lt;&gt;"Xp")*(AK30&lt;&gt;"Xg"),"_p","")&amp;IF((AK30&lt;&gt;"Xn"),"_n","")&amp;", ")))</f>
        <v xml:space="preserve">CONTI S, </v>
      </c>
      <c r="BZ30" s="9" t="str">
        <f>IF(0+(AL30="X")&gt;0,"",IF(0+((AL30&lt;&gt;"Xm")*(AL30&lt;&gt;"Xg"))+((AL30&lt;&gt;"Xp")*(AL30&lt;&gt;"Xg"))+((AL30&lt;&gt;"Xn"))=0,"",IF(0+((AL30&lt;&gt;"Xm")*(AL30&lt;&gt;"Xg"))+((AL30&lt;&gt;"Xp")*(AL30&lt;&gt;"Xg"))+((AL30&lt;&gt;"Xn"))=3,AL$3&amp;", ",AL$3&amp;IF((AL30&lt;&gt;"Xm")*(AL30&lt;&gt;"Xg"),"_m","")&amp;IF((AL30&lt;&gt;"Xp")*(AL30&lt;&gt;"Xg"),"_p","")&amp;IF((AL30&lt;&gt;"Xn"),"_n","")&amp;", ")))</f>
        <v xml:space="preserve">FERRARI, </v>
      </c>
      <c r="CA30" s="9" t="str">
        <f>IF(0+(AM30="X")&gt;0,"",IF(0+((AM30&lt;&gt;"Xm")*(AM30&lt;&gt;"Xg"))+((AM30&lt;&gt;"Xp")*(AM30&lt;&gt;"Xg"))+((AM30&lt;&gt;"Xn"))=0,"",IF(0+((AM30&lt;&gt;"Xm")*(AM30&lt;&gt;"Xg"))+((AM30&lt;&gt;"Xp")*(AM30&lt;&gt;"Xg"))+((AM30&lt;&gt;"Xn"))=3,AM$3&amp;", ",AM$3&amp;IF((AM30&lt;&gt;"Xm")*(AM30&lt;&gt;"Xg"),"_m","")&amp;IF((AM30&lt;&gt;"Xp")*(AM30&lt;&gt;"Xg"),"_p","")&amp;IF((AM30&lt;&gt;"Xn"),"_n","")&amp;", ")))</f>
        <v xml:space="preserve">GRECO, </v>
      </c>
      <c r="CB30" s="9" t="str">
        <f>IF(0+(AN30="X")&gt;0,"",IF(0+((AN30&lt;&gt;"Xm")*(AN30&lt;&gt;"Xg"))+((AN30&lt;&gt;"Xp")*(AN30&lt;&gt;"Xg"))+((AN30&lt;&gt;"Xn"))=0,"",IF(0+((AN30&lt;&gt;"Xm")*(AN30&lt;&gt;"Xg"))+((AN30&lt;&gt;"Xp")*(AN30&lt;&gt;"Xg"))+((AN30&lt;&gt;"Xn"))=3,AN$3&amp;", ",AN$3&amp;IF((AN30&lt;&gt;"Xm")*(AN30&lt;&gt;"Xg"),"_m","")&amp;IF((AN30&lt;&gt;"Xp")*(AN30&lt;&gt;"Xg"),"_p","")&amp;IF((AN30&lt;&gt;"Xn"),"_n","")&amp;", ")))</f>
        <v xml:space="preserve">SANNA, </v>
      </c>
      <c r="CC30" s="9" t="str">
        <f>IF(0+(AO30="X")&gt;0,"",IF(0+((AO30&lt;&gt;"Xm")*(AO30&lt;&gt;"Xg"))+((AO30&lt;&gt;"Xp")*(AO30&lt;&gt;"Xg"))+((AO30&lt;&gt;"Xn"))=0,"",IF(0+((AO30&lt;&gt;"Xm")*(AO30&lt;&gt;"Xg"))+((AO30&lt;&gt;"Xp")*(AO30&lt;&gt;"Xg"))+((AO30&lt;&gt;"Xn"))=3,AO$3&amp;", ",AO$3&amp;IF((AO30&lt;&gt;"Xm")*(AO30&lt;&gt;"Xg"),"_m","")&amp;IF((AO30&lt;&gt;"Xp")*(AO30&lt;&gt;"Xg"),"_p","")&amp;IF((AO30&lt;&gt;"Xn"),"_n","")&amp;", ")))</f>
        <v xml:space="preserve">LI, </v>
      </c>
      <c r="CD30" s="9" t="n"/>
      <c r="CE30" s="9" t="str">
        <f>IF(0+(AB30="X")&gt;0,"",IF(0+((AB30&lt;&gt;"Xm")*(AB30&lt;&gt;"Xg")*(COUNTIFS($C$3:$Q$3,"MAT",$C30:$Q30,AB$3)=0)*(COUNTIFS($C$3:$Q$3,"NOTTE",$C30:$Q30,AB$3)=0)*(COUNTIFS($C$3:$Q$3,"NOTTE",$C29:$Q29,AB$3)=0))+((AB30&lt;&gt;"Xp")*(AB30&lt;&gt;"Xg")*(COUNTIFS($C$3:$Q$3,"POM",$C30:$Q30,AB$3)=0)*(COUNTIFS($C$3:$Q$3,"NOTTE",$C30:$Q30,AB$3)=0)*(COUNTIFS($C$3:$Q$3,"NOTTE",$C29:$Q29,AB$3)=0))+((AB30&lt;&gt;"Xn")*(COUNTIFS($C$3:$Q$3,"MAT",$C30:$Q30,AB$3)=0)*(COUNTIFS($C$3:$Q$3,"POM",$C30:$Q30,AB$3)=0)*(COUNTIFS($C$3:$Q$3,"NOTTE",$C30:$Q30,AB$3)=0)*(COUNTIFS($C$3:$Q$3,"NOTTE",$C29:$Q29,AB$3)=0))=0,"",IF(0+((AB30&lt;&gt;"Xm")*(AB30&lt;&gt;"Xg")*(COUNTIFS($C$3:$Q$3,"MAT",$C30:$Q30,AB$3)=0)*(COUNTIFS($C$3:$Q$3,"NOTTE",$C30:$Q30,AB$3)=0)*(COUNTIFS($C$3:$Q$3,"NOTTE",$C29:$Q29,AB$3)=0))+((AB30&lt;&gt;"Xp")*(AB30&lt;&gt;"Xg")*(COUNTIFS($C$3:$Q$3,"POM",$C30:$Q30,AB$3)=0)*(COUNTIFS($C$3:$Q$3,"NOTTE",$C30:$Q30,AB$3)=0)*(COUNTIFS($C$3:$Q$3,"NOTTE",$C29:$Q29,AB$3)=0))+((AB30&lt;&gt;"Xn")*(COUNTIFS($C$3:$Q$3,"MAT",$C30:$Q30,AB$3)=0)*(COUNTIFS($C$3:$Q$3,"POM",$C30:$Q30,AB$3)=0)*(COUNTIFS($C$3:$Q$3,"NOTTE",$C30:$Q30,AB$3)=0)*(COUNTIFS($C$3:$Q$3,"NOTTE",$C29:$Q29,AB$3)=0))=3,AB$3&amp;", ",AB$3&amp;IF((AB30&lt;&gt;"Xm")*(AB30&lt;&gt;"Xg")*(COUNTIFS($C$3:$Q$3,"MAT",$C30:$Q30,AB$3)=0)*(COUNTIFS($C$3:$Q$3,"NOTTE",$C30:$Q30,AB$3)=0)*(COUNTIFS($C$3:$Q$3,"NOTTE",$C29:$Q29,AB$3)=0),"_m","")&amp;IF((AB30&lt;&gt;"Xp")*(AB30&lt;&gt;"Xg")*(COUNTIFS($C$3:$Q$3,"POM",$C30:$Q30,AB$3)=0)*(COUNTIFS($C$3:$Q$3,"NOTTE",$C30:$Q30,AB$3)=0)*(COUNTIFS($C$3:$Q$3,"NOTTE",$C29:$Q29,AB$3)=0),"_p","")&amp;IF((AB30&lt;&gt;"Xn")*(COUNTIFS($C$3:$Q$3,"MAT",$C30:$Q30,AB$3)=0)*(COUNTIFS($C$3:$Q$3,"POM",$C30:$Q30,AB$3)=0)*(COUNTIFS($C$3:$Q$3,"NOTTE",$C30:$Q30,AB$3)=0)*(COUNTIFS($C$3:$Q$3,"NOTTE",$C29:$Q29,AB$3)=0),"_n","")&amp;", ")))</f>
        <v xml:space="preserve">LEONI, </v>
      </c>
      <c r="CF30" s="9" t="str">
        <f>IF(0+(AC30="X")&gt;0,"",IF(0+((AC30&lt;&gt;"Xm")*(AC30&lt;&gt;"Xg")*(COUNTIFS($C$3:$Q$3,"MAT",$C30:$Q30,AC$3)=0)*(COUNTIFS($C$3:$Q$3,"NOTTE",$C30:$Q30,AC$3)=0)*(COUNTIFS($C$3:$Q$3,"NOTTE",$C29:$Q29,AC$3)=0))+((AC30&lt;&gt;"Xp")*(AC30&lt;&gt;"Xg")*(COUNTIFS($C$3:$Q$3,"POM",$C30:$Q30,AC$3)=0)*(COUNTIFS($C$3:$Q$3,"NOTTE",$C30:$Q30,AC$3)=0)*(COUNTIFS($C$3:$Q$3,"NOTTE",$C29:$Q29,AC$3)=0))+((AC30&lt;&gt;"Xn")*(COUNTIFS($C$3:$Q$3,"MAT",$C30:$Q30,AC$3)=0)*(COUNTIFS($C$3:$Q$3,"POM",$C30:$Q30,AC$3)=0)*(COUNTIFS($C$3:$Q$3,"NOTTE",$C30:$Q30,AC$3)=0)*(COUNTIFS($C$3:$Q$3,"NOTTE",$C29:$Q29,AC$3)=0))=0,"",IF(0+((AC30&lt;&gt;"Xm")*(AC30&lt;&gt;"Xg")*(COUNTIFS($C$3:$Q$3,"MAT",$C30:$Q30,AC$3)=0)*(COUNTIFS($C$3:$Q$3,"NOTTE",$C30:$Q30,AC$3)=0)*(COUNTIFS($C$3:$Q$3,"NOTTE",$C29:$Q29,AC$3)=0))+((AC30&lt;&gt;"Xp")*(AC30&lt;&gt;"Xg")*(COUNTIFS($C$3:$Q$3,"POM",$C30:$Q30,AC$3)=0)*(COUNTIFS($C$3:$Q$3,"NOTTE",$C30:$Q30,AC$3)=0)*(COUNTIFS($C$3:$Q$3,"NOTTE",$C29:$Q29,AC$3)=0))+((AC30&lt;&gt;"Xn")*(COUNTIFS($C$3:$Q$3,"MAT",$C30:$Q30,AC$3)=0)*(COUNTIFS($C$3:$Q$3,"POM",$C30:$Q30,AC$3)=0)*(COUNTIFS($C$3:$Q$3,"NOTTE",$C30:$Q30,AC$3)=0)*(COUNTIFS($C$3:$Q$3,"NOTTE",$C29:$Q29,AC$3)=0))=3,AC$3&amp;", ",AC$3&amp;IF((AC30&lt;&gt;"Xm")*(AC30&lt;&gt;"Xg")*(COUNTIFS($C$3:$Q$3,"MAT",$C30:$Q30,AC$3)=0)*(COUNTIFS($C$3:$Q$3,"NOTTE",$C30:$Q30,AC$3)=0)*(COUNTIFS($C$3:$Q$3,"NOTTE",$C29:$Q29,AC$3)=0),"_m","")&amp;IF((AC30&lt;&gt;"Xp")*(AC30&lt;&gt;"Xg")*(COUNTIFS($C$3:$Q$3,"POM",$C30:$Q30,AC$3)=0)*(COUNTIFS($C$3:$Q$3,"NOTTE",$C30:$Q30,AC$3)=0)*(COUNTIFS($C$3:$Q$3,"NOTTE",$C29:$Q29,AC$3)=0),"_p","")&amp;IF((AC30&lt;&gt;"Xn")*(COUNTIFS($C$3:$Q$3,"MAT",$C30:$Q30,AC$3)=0)*(COUNTIFS($C$3:$Q$3,"POM",$C30:$Q30,AC$3)=0)*(COUNTIFS($C$3:$Q$3,"NOTTE",$C30:$Q30,AC$3)=0)*(COUNTIFS($C$3:$Q$3,"NOTTE",$C29:$Q29,AC$3)=0),"_n","")&amp;", ")))</f>
        <v xml:space="preserve">ROSSI M, </v>
      </c>
      <c r="CG30" s="9" t="str">
        <f>IF(0+(AD30="X")&gt;0,"",IF(0+((AD30&lt;&gt;"Xm")*(AD30&lt;&gt;"Xg")*(COUNTIFS($C$3:$Q$3,"MAT",$C30:$Q30,AD$3)=0)*(COUNTIFS($C$3:$Q$3,"NOTTE",$C30:$Q30,AD$3)=0)*(COUNTIFS($C$3:$Q$3,"NOTTE",$C29:$Q29,AD$3)=0))+((AD30&lt;&gt;"Xp")*(AD30&lt;&gt;"Xg")*(COUNTIFS($C$3:$Q$3,"POM",$C30:$Q30,AD$3)=0)*(COUNTIFS($C$3:$Q$3,"NOTTE",$C30:$Q30,AD$3)=0)*(COUNTIFS($C$3:$Q$3,"NOTTE",$C29:$Q29,AD$3)=0))+((AD30&lt;&gt;"Xn")*(COUNTIFS($C$3:$Q$3,"MAT",$C30:$Q30,AD$3)=0)*(COUNTIFS($C$3:$Q$3,"POM",$C30:$Q30,AD$3)=0)*(COUNTIFS($C$3:$Q$3,"NOTTE",$C30:$Q30,AD$3)=0)*(COUNTIFS($C$3:$Q$3,"NOTTE",$C29:$Q29,AD$3)=0))=0,"",IF(0+((AD30&lt;&gt;"Xm")*(AD30&lt;&gt;"Xg")*(COUNTIFS($C$3:$Q$3,"MAT",$C30:$Q30,AD$3)=0)*(COUNTIFS($C$3:$Q$3,"NOTTE",$C30:$Q30,AD$3)=0)*(COUNTIFS($C$3:$Q$3,"NOTTE",$C29:$Q29,AD$3)=0))+((AD30&lt;&gt;"Xp")*(AD30&lt;&gt;"Xg")*(COUNTIFS($C$3:$Q$3,"POM",$C30:$Q30,AD$3)=0)*(COUNTIFS($C$3:$Q$3,"NOTTE",$C30:$Q30,AD$3)=0)*(COUNTIFS($C$3:$Q$3,"NOTTE",$C29:$Q29,AD$3)=0))+((AD30&lt;&gt;"Xn")*(COUNTIFS($C$3:$Q$3,"MAT",$C30:$Q30,AD$3)=0)*(COUNTIFS($C$3:$Q$3,"POM",$C30:$Q30,AD$3)=0)*(COUNTIFS($C$3:$Q$3,"NOTTE",$C30:$Q30,AD$3)=0)*(COUNTIFS($C$3:$Q$3,"NOTTE",$C29:$Q29,AD$3)=0))=3,AD$3&amp;", ",AD$3&amp;IF((AD30&lt;&gt;"Xm")*(AD30&lt;&gt;"Xg")*(COUNTIFS($C$3:$Q$3,"MAT",$C30:$Q30,AD$3)=0)*(COUNTIFS($C$3:$Q$3,"NOTTE",$C30:$Q30,AD$3)=0)*(COUNTIFS($C$3:$Q$3,"NOTTE",$C29:$Q29,AD$3)=0),"_m","")&amp;IF((AD30&lt;&gt;"Xp")*(AD30&lt;&gt;"Xg")*(COUNTIFS($C$3:$Q$3,"POM",$C30:$Q30,AD$3)=0)*(COUNTIFS($C$3:$Q$3,"NOTTE",$C30:$Q30,AD$3)=0)*(COUNTIFS($C$3:$Q$3,"NOTTE",$C29:$Q29,AD$3)=0),"_p","")&amp;IF((AD30&lt;&gt;"Xn")*(COUNTIFS($C$3:$Q$3,"MAT",$C30:$Q30,AD$3)=0)*(COUNTIFS($C$3:$Q$3,"POM",$C30:$Q30,AD$3)=0)*(COUNTIFS($C$3:$Q$3,"NOTTE",$C30:$Q30,AD$3)=0)*(COUNTIFS($C$3:$Q$3,"NOTTE",$C29:$Q29,AD$3)=0),"_n","")&amp;", ")))</f>
        <v xml:space="preserve">ROSSI L, </v>
      </c>
      <c r="CH30" s="9" t="str">
        <f>IF(0+(AE30="X")&gt;0,"",IF(0+((AE30&lt;&gt;"Xm")*(AE30&lt;&gt;"Xg")*(COUNTIFS($C$3:$Q$3,"MAT",$C30:$Q30,AE$3)=0)*(COUNTIFS($C$3:$Q$3,"NOTTE",$C30:$Q30,AE$3)=0)*(COUNTIFS($C$3:$Q$3,"NOTTE",$C29:$Q29,AE$3)=0))+((AE30&lt;&gt;"Xp")*(AE30&lt;&gt;"Xg")*(COUNTIFS($C$3:$Q$3,"POM",$C30:$Q30,AE$3)=0)*(COUNTIFS($C$3:$Q$3,"NOTTE",$C30:$Q30,AE$3)=0)*(COUNTIFS($C$3:$Q$3,"NOTTE",$C29:$Q29,AE$3)=0))+((AE30&lt;&gt;"Xn")*(COUNTIFS($C$3:$Q$3,"MAT",$C30:$Q30,AE$3)=0)*(COUNTIFS($C$3:$Q$3,"POM",$C30:$Q30,AE$3)=0)*(COUNTIFS($C$3:$Q$3,"NOTTE",$C30:$Q30,AE$3)=0)*(COUNTIFS($C$3:$Q$3,"NOTTE",$C29:$Q29,AE$3)=0))=0,"",IF(0+((AE30&lt;&gt;"Xm")*(AE30&lt;&gt;"Xg")*(COUNTIFS($C$3:$Q$3,"MAT",$C30:$Q30,AE$3)=0)*(COUNTIFS($C$3:$Q$3,"NOTTE",$C30:$Q30,AE$3)=0)*(COUNTIFS($C$3:$Q$3,"NOTTE",$C29:$Q29,AE$3)=0))+((AE30&lt;&gt;"Xp")*(AE30&lt;&gt;"Xg")*(COUNTIFS($C$3:$Q$3,"POM",$C30:$Q30,AE$3)=0)*(COUNTIFS($C$3:$Q$3,"NOTTE",$C30:$Q30,AE$3)=0)*(COUNTIFS($C$3:$Q$3,"NOTTE",$C29:$Q29,AE$3)=0))+((AE30&lt;&gt;"Xn")*(COUNTIFS($C$3:$Q$3,"MAT",$C30:$Q30,AE$3)=0)*(COUNTIFS($C$3:$Q$3,"POM",$C30:$Q30,AE$3)=0)*(COUNTIFS($C$3:$Q$3,"NOTTE",$C30:$Q30,AE$3)=0)*(COUNTIFS($C$3:$Q$3,"NOTTE",$C29:$Q29,AE$3)=0))=3,AE$3&amp;", ",AE$3&amp;IF((AE30&lt;&gt;"Xm")*(AE30&lt;&gt;"Xg")*(COUNTIFS($C$3:$Q$3,"MAT",$C30:$Q30,AE$3)=0)*(COUNTIFS($C$3:$Q$3,"NOTTE",$C30:$Q30,AE$3)=0)*(COUNTIFS($C$3:$Q$3,"NOTTE",$C29:$Q29,AE$3)=0),"_m","")&amp;IF((AE30&lt;&gt;"Xp")*(AE30&lt;&gt;"Xg")*(COUNTIFS($C$3:$Q$3,"POM",$C30:$Q30,AE$3)=0)*(COUNTIFS($C$3:$Q$3,"NOTTE",$C30:$Q30,AE$3)=0)*(COUNTIFS($C$3:$Q$3,"NOTTE",$C29:$Q29,AE$3)=0),"_p","")&amp;IF((AE30&lt;&gt;"Xn")*(COUNTIFS($C$3:$Q$3,"MAT",$C30:$Q30,AE$3)=0)*(COUNTIFS($C$3:$Q$3,"POM",$C30:$Q30,AE$3)=0)*(COUNTIFS($C$3:$Q$3,"NOTTE",$C30:$Q30,AE$3)=0)*(COUNTIFS($C$3:$Q$3,"NOTTE",$C29:$Q29,AE$3)=0),"_n","")&amp;", ")))</f>
        <v xml:space="preserve">GALLINA, </v>
      </c>
      <c r="CI30" s="9" t="str">
        <f>IF(0+(AF30="X")&gt;0,"",IF(0+((AF30&lt;&gt;"Xm")*(AF30&lt;&gt;"Xg")*(COUNTIFS($C$3:$Q$3,"MAT",$C30:$Q30,AF$3)=0)*(COUNTIFS($C$3:$Q$3,"NOTTE",$C30:$Q30,AF$3)=0)*(COUNTIFS($C$3:$Q$3,"NOTTE",$C29:$Q29,AF$3)=0))+((AF30&lt;&gt;"Xp")*(AF30&lt;&gt;"Xg")*(COUNTIFS($C$3:$Q$3,"POM",$C30:$Q30,AF$3)=0)*(COUNTIFS($C$3:$Q$3,"NOTTE",$C30:$Q30,AF$3)=0)*(COUNTIFS($C$3:$Q$3,"NOTTE",$C29:$Q29,AF$3)=0))+((AF30&lt;&gt;"Xn")*(COUNTIFS($C$3:$Q$3,"MAT",$C30:$Q30,AF$3)=0)*(COUNTIFS($C$3:$Q$3,"POM",$C30:$Q30,AF$3)=0)*(COUNTIFS($C$3:$Q$3,"NOTTE",$C30:$Q30,AF$3)=0)*(COUNTIFS($C$3:$Q$3,"NOTTE",$C29:$Q29,AF$3)=0))=0,"",IF(0+((AF30&lt;&gt;"Xm")*(AF30&lt;&gt;"Xg")*(COUNTIFS($C$3:$Q$3,"MAT",$C30:$Q30,AF$3)=0)*(COUNTIFS($C$3:$Q$3,"NOTTE",$C30:$Q30,AF$3)=0)*(COUNTIFS($C$3:$Q$3,"NOTTE",$C29:$Q29,AF$3)=0))+((AF30&lt;&gt;"Xp")*(AF30&lt;&gt;"Xg")*(COUNTIFS($C$3:$Q$3,"POM",$C30:$Q30,AF$3)=0)*(COUNTIFS($C$3:$Q$3,"NOTTE",$C30:$Q30,AF$3)=0)*(COUNTIFS($C$3:$Q$3,"NOTTE",$C29:$Q29,AF$3)=0))+((AF30&lt;&gt;"Xn")*(COUNTIFS($C$3:$Q$3,"MAT",$C30:$Q30,AF$3)=0)*(COUNTIFS($C$3:$Q$3,"POM",$C30:$Q30,AF$3)=0)*(COUNTIFS($C$3:$Q$3,"NOTTE",$C30:$Q30,AF$3)=0)*(COUNTIFS($C$3:$Q$3,"NOTTE",$C29:$Q29,AF$3)=0))=3,AF$3&amp;", ",AF$3&amp;IF((AF30&lt;&gt;"Xm")*(AF30&lt;&gt;"Xg")*(COUNTIFS($C$3:$Q$3,"MAT",$C30:$Q30,AF$3)=0)*(COUNTIFS($C$3:$Q$3,"NOTTE",$C30:$Q30,AF$3)=0)*(COUNTIFS($C$3:$Q$3,"NOTTE",$C29:$Q29,AF$3)=0),"_m","")&amp;IF((AF30&lt;&gt;"Xp")*(AF30&lt;&gt;"Xg")*(COUNTIFS($C$3:$Q$3,"POM",$C30:$Q30,AF$3)=0)*(COUNTIFS($C$3:$Q$3,"NOTTE",$C30:$Q30,AF$3)=0)*(COUNTIFS($C$3:$Q$3,"NOTTE",$C29:$Q29,AF$3)=0),"_p","")&amp;IF((AF30&lt;&gt;"Xn")*(COUNTIFS($C$3:$Q$3,"MAT",$C30:$Q30,AF$3)=0)*(COUNTIFS($C$3:$Q$3,"POM",$C30:$Q30,AF$3)=0)*(COUNTIFS($C$3:$Q$3,"NOTTE",$C30:$Q30,AF$3)=0)*(COUNTIFS($C$3:$Q$3,"NOTTE",$C29:$Q29,AF$3)=0),"_n","")&amp;", ")))</f>
        <v xml:space="preserve">RUSSO, </v>
      </c>
      <c r="CJ30" s="9" t="str">
        <f>IF(0+(AG30="X")&gt;0,"",IF(0+((AG30&lt;&gt;"Xm")*(AG30&lt;&gt;"Xg")*(COUNTIFS($C$3:$Q$3,"MAT",$C30:$Q30,AG$3)=0)*(COUNTIFS($C$3:$Q$3,"NOTTE",$C30:$Q30,AG$3)=0)*(COUNTIFS($C$3:$Q$3,"NOTTE",$C29:$Q29,AG$3)=0))+((AG30&lt;&gt;"Xp")*(AG30&lt;&gt;"Xg")*(COUNTIFS($C$3:$Q$3,"POM",$C30:$Q30,AG$3)=0)*(COUNTIFS($C$3:$Q$3,"NOTTE",$C30:$Q30,AG$3)=0)*(COUNTIFS($C$3:$Q$3,"NOTTE",$C29:$Q29,AG$3)=0))+((AG30&lt;&gt;"Xn")*(COUNTIFS($C$3:$Q$3,"MAT",$C30:$Q30,AG$3)=0)*(COUNTIFS($C$3:$Q$3,"POM",$C30:$Q30,AG$3)=0)*(COUNTIFS($C$3:$Q$3,"NOTTE",$C30:$Q30,AG$3)=0)*(COUNTIFS($C$3:$Q$3,"NOTTE",$C29:$Q29,AG$3)=0))=0,"",IF(0+((AG30&lt;&gt;"Xm")*(AG30&lt;&gt;"Xg")*(COUNTIFS($C$3:$Q$3,"MAT",$C30:$Q30,AG$3)=0)*(COUNTIFS($C$3:$Q$3,"NOTTE",$C30:$Q30,AG$3)=0)*(COUNTIFS($C$3:$Q$3,"NOTTE",$C29:$Q29,AG$3)=0))+((AG30&lt;&gt;"Xp")*(AG30&lt;&gt;"Xg")*(COUNTIFS($C$3:$Q$3,"POM",$C30:$Q30,AG$3)=0)*(COUNTIFS($C$3:$Q$3,"NOTTE",$C30:$Q30,AG$3)=0)*(COUNTIFS($C$3:$Q$3,"NOTTE",$C29:$Q29,AG$3)=0))+((AG30&lt;&gt;"Xn")*(COUNTIFS($C$3:$Q$3,"MAT",$C30:$Q30,AG$3)=0)*(COUNTIFS($C$3:$Q$3,"POM",$C30:$Q30,AG$3)=0)*(COUNTIFS($C$3:$Q$3,"NOTTE",$C30:$Q30,AG$3)=0)*(COUNTIFS($C$3:$Q$3,"NOTTE",$C29:$Q29,AG$3)=0))=3,AG$3&amp;", ",AG$3&amp;IF((AG30&lt;&gt;"Xm")*(AG30&lt;&gt;"Xg")*(COUNTIFS($C$3:$Q$3,"MAT",$C30:$Q30,AG$3)=0)*(COUNTIFS($C$3:$Q$3,"NOTTE",$C30:$Q30,AG$3)=0)*(COUNTIFS($C$3:$Q$3,"NOTTE",$C29:$Q29,AG$3)=0),"_m","")&amp;IF((AG30&lt;&gt;"Xp")*(AG30&lt;&gt;"Xg")*(COUNTIFS($C$3:$Q$3,"POM",$C30:$Q30,AG$3)=0)*(COUNTIFS($C$3:$Q$3,"NOTTE",$C30:$Q30,AG$3)=0)*(COUNTIFS($C$3:$Q$3,"NOTTE",$C29:$Q29,AG$3)=0),"_p","")&amp;IF((AG30&lt;&gt;"Xn")*(COUNTIFS($C$3:$Q$3,"MAT",$C30:$Q30,AG$3)=0)*(COUNTIFS($C$3:$Q$3,"POM",$C30:$Q30,AG$3)=0)*(COUNTIFS($C$3:$Q$3,"NOTTE",$C30:$Q30,AG$3)=0)*(COUNTIFS($C$3:$Q$3,"NOTTE",$C29:$Q29,AG$3)=0),"_n","")&amp;", ")))</f>
        <v xml:space="preserve">VERDI, </v>
      </c>
      <c r="CK30" s="9" t="str">
        <f>IF(0+(AH30="X")&gt;0,"",IF(0+((AH30&lt;&gt;"Xm")*(AH30&lt;&gt;"Xg")*(COUNTIFS($C$3:$Q$3,"MAT",$C30:$Q30,AH$3)=0)*(COUNTIFS($C$3:$Q$3,"NOTTE",$C30:$Q30,AH$3)=0)*(COUNTIFS($C$3:$Q$3,"NOTTE",$C29:$Q29,AH$3)=0))+((AH30&lt;&gt;"Xp")*(AH30&lt;&gt;"Xg")*(COUNTIFS($C$3:$Q$3,"POM",$C30:$Q30,AH$3)=0)*(COUNTIFS($C$3:$Q$3,"NOTTE",$C30:$Q30,AH$3)=0)*(COUNTIFS($C$3:$Q$3,"NOTTE",$C29:$Q29,AH$3)=0))+((AH30&lt;&gt;"Xn")*(COUNTIFS($C$3:$Q$3,"MAT",$C30:$Q30,AH$3)=0)*(COUNTIFS($C$3:$Q$3,"POM",$C30:$Q30,AH$3)=0)*(COUNTIFS($C$3:$Q$3,"NOTTE",$C30:$Q30,AH$3)=0)*(COUNTIFS($C$3:$Q$3,"NOTTE",$C29:$Q29,AH$3)=0))=0,"",IF(0+((AH30&lt;&gt;"Xm")*(AH30&lt;&gt;"Xg")*(COUNTIFS($C$3:$Q$3,"MAT",$C30:$Q30,AH$3)=0)*(COUNTIFS($C$3:$Q$3,"NOTTE",$C30:$Q30,AH$3)=0)*(COUNTIFS($C$3:$Q$3,"NOTTE",$C29:$Q29,AH$3)=0))+((AH30&lt;&gt;"Xp")*(AH30&lt;&gt;"Xg")*(COUNTIFS($C$3:$Q$3,"POM",$C30:$Q30,AH$3)=0)*(COUNTIFS($C$3:$Q$3,"NOTTE",$C30:$Q30,AH$3)=0)*(COUNTIFS($C$3:$Q$3,"NOTTE",$C29:$Q29,AH$3)=0))+((AH30&lt;&gt;"Xn")*(COUNTIFS($C$3:$Q$3,"MAT",$C30:$Q30,AH$3)=0)*(COUNTIFS($C$3:$Q$3,"POM",$C30:$Q30,AH$3)=0)*(COUNTIFS($C$3:$Q$3,"NOTTE",$C30:$Q30,AH$3)=0)*(COUNTIFS($C$3:$Q$3,"NOTTE",$C29:$Q29,AH$3)=0))=3,AH$3&amp;", ",AH$3&amp;IF((AH30&lt;&gt;"Xm")*(AH30&lt;&gt;"Xg")*(COUNTIFS($C$3:$Q$3,"MAT",$C30:$Q30,AH$3)=0)*(COUNTIFS($C$3:$Q$3,"NOTTE",$C30:$Q30,AH$3)=0)*(COUNTIFS($C$3:$Q$3,"NOTTE",$C29:$Q29,AH$3)=0),"_m","")&amp;IF((AH30&lt;&gt;"Xp")*(AH30&lt;&gt;"Xg")*(COUNTIFS($C$3:$Q$3,"POM",$C30:$Q30,AH$3)=0)*(COUNTIFS($C$3:$Q$3,"NOTTE",$C30:$Q30,AH$3)=0)*(COUNTIFS($C$3:$Q$3,"NOTTE",$C29:$Q29,AH$3)=0),"_p","")&amp;IF((AH30&lt;&gt;"Xn")*(COUNTIFS($C$3:$Q$3,"MAT",$C30:$Q30,AH$3)=0)*(COUNTIFS($C$3:$Q$3,"POM",$C30:$Q30,AH$3)=0)*(COUNTIFS($C$3:$Q$3,"NOTTE",$C30:$Q30,AH$3)=0)*(COUNTIFS($C$3:$Q$3,"NOTTE",$C29:$Q29,AH$3)=0),"_n","")&amp;", ")))</f>
        <v xml:space="preserve">HU, </v>
      </c>
      <c r="CL30" s="9" t="str">
        <f>IF(0+(AI30="X")&gt;0,"",IF(0+((AI30&lt;&gt;"Xm")*(AI30&lt;&gt;"Xg")*(COUNTIFS($C$3:$Q$3,"MAT",$C30:$Q30,AI$3)=0)*(COUNTIFS($C$3:$Q$3,"NOTTE",$C30:$Q30,AI$3)=0)*(COUNTIFS($C$3:$Q$3,"NOTTE",$C29:$Q29,AI$3)=0))+((AI30&lt;&gt;"Xp")*(AI30&lt;&gt;"Xg")*(COUNTIFS($C$3:$Q$3,"POM",$C30:$Q30,AI$3)=0)*(COUNTIFS($C$3:$Q$3,"NOTTE",$C30:$Q30,AI$3)=0)*(COUNTIFS($C$3:$Q$3,"NOTTE",$C29:$Q29,AI$3)=0))+((AI30&lt;&gt;"Xn")*(COUNTIFS($C$3:$Q$3,"MAT",$C30:$Q30,AI$3)=0)*(COUNTIFS($C$3:$Q$3,"POM",$C30:$Q30,AI$3)=0)*(COUNTIFS($C$3:$Q$3,"NOTTE",$C30:$Q30,AI$3)=0)*(COUNTIFS($C$3:$Q$3,"NOTTE",$C29:$Q29,AI$3)=0))=0,"",IF(0+((AI30&lt;&gt;"Xm")*(AI30&lt;&gt;"Xg")*(COUNTIFS($C$3:$Q$3,"MAT",$C30:$Q30,AI$3)=0)*(COUNTIFS($C$3:$Q$3,"NOTTE",$C30:$Q30,AI$3)=0)*(COUNTIFS($C$3:$Q$3,"NOTTE",$C29:$Q29,AI$3)=0))+((AI30&lt;&gt;"Xp")*(AI30&lt;&gt;"Xg")*(COUNTIFS($C$3:$Q$3,"POM",$C30:$Q30,AI$3)=0)*(COUNTIFS($C$3:$Q$3,"NOTTE",$C30:$Q30,AI$3)=0)*(COUNTIFS($C$3:$Q$3,"NOTTE",$C29:$Q29,AI$3)=0))+((AI30&lt;&gt;"Xn")*(COUNTIFS($C$3:$Q$3,"MAT",$C30:$Q30,AI$3)=0)*(COUNTIFS($C$3:$Q$3,"POM",$C30:$Q30,AI$3)=0)*(COUNTIFS($C$3:$Q$3,"NOTTE",$C30:$Q30,AI$3)=0)*(COUNTIFS($C$3:$Q$3,"NOTTE",$C29:$Q29,AI$3)=0))=3,AI$3&amp;", ",AI$3&amp;IF((AI30&lt;&gt;"Xm")*(AI30&lt;&gt;"Xg")*(COUNTIFS($C$3:$Q$3,"MAT",$C30:$Q30,AI$3)=0)*(COUNTIFS($C$3:$Q$3,"NOTTE",$C30:$Q30,AI$3)=0)*(COUNTIFS($C$3:$Q$3,"NOTTE",$C29:$Q29,AI$3)=0),"_m","")&amp;IF((AI30&lt;&gt;"Xp")*(AI30&lt;&gt;"Xg")*(COUNTIFS($C$3:$Q$3,"POM",$C30:$Q30,AI$3)=0)*(COUNTIFS($C$3:$Q$3,"NOTTE",$C30:$Q30,AI$3)=0)*(COUNTIFS($C$3:$Q$3,"NOTTE",$C29:$Q29,AI$3)=0),"_p","")&amp;IF((AI30&lt;&gt;"Xn")*(COUNTIFS($C$3:$Q$3,"MAT",$C30:$Q30,AI$3)=0)*(COUNTIFS($C$3:$Q$3,"POM",$C30:$Q30,AI$3)=0)*(COUNTIFS($C$3:$Q$3,"NOTTE",$C30:$Q30,AI$3)=0)*(COUNTIFS($C$3:$Q$3,"NOTTE",$C29:$Q29,AI$3)=0),"_n","")&amp;", ")))</f>
        <v xml:space="preserve">MARINI, </v>
      </c>
      <c r="CM30" s="9" t="str">
        <f>IF(0+(AJ30="X")&gt;0,"",IF(0+((AJ30&lt;&gt;"Xm")*(AJ30&lt;&gt;"Xg")*(COUNTIFS($C$3:$Q$3,"MAT",$C30:$Q30,AJ$3)=0)*(COUNTIFS($C$3:$Q$3,"NOTTE",$C30:$Q30,AJ$3)=0)*(COUNTIFS($C$3:$Q$3,"NOTTE",$C29:$Q29,AJ$3)=0))+((AJ30&lt;&gt;"Xp")*(AJ30&lt;&gt;"Xg")*(COUNTIFS($C$3:$Q$3,"POM",$C30:$Q30,AJ$3)=0)*(COUNTIFS($C$3:$Q$3,"NOTTE",$C30:$Q30,AJ$3)=0)*(COUNTIFS($C$3:$Q$3,"NOTTE",$C29:$Q29,AJ$3)=0))+((AJ30&lt;&gt;"Xn")*(COUNTIFS($C$3:$Q$3,"MAT",$C30:$Q30,AJ$3)=0)*(COUNTIFS($C$3:$Q$3,"POM",$C30:$Q30,AJ$3)=0)*(COUNTIFS($C$3:$Q$3,"NOTTE",$C30:$Q30,AJ$3)=0)*(COUNTIFS($C$3:$Q$3,"NOTTE",$C29:$Q29,AJ$3)=0))=0,"",IF(0+((AJ30&lt;&gt;"Xm")*(AJ30&lt;&gt;"Xg")*(COUNTIFS($C$3:$Q$3,"MAT",$C30:$Q30,AJ$3)=0)*(COUNTIFS($C$3:$Q$3,"NOTTE",$C30:$Q30,AJ$3)=0)*(COUNTIFS($C$3:$Q$3,"NOTTE",$C29:$Q29,AJ$3)=0))+((AJ30&lt;&gt;"Xp")*(AJ30&lt;&gt;"Xg")*(COUNTIFS($C$3:$Q$3,"POM",$C30:$Q30,AJ$3)=0)*(COUNTIFS($C$3:$Q$3,"NOTTE",$C30:$Q30,AJ$3)=0)*(COUNTIFS($C$3:$Q$3,"NOTTE",$C29:$Q29,AJ$3)=0))+((AJ30&lt;&gt;"Xn")*(COUNTIFS($C$3:$Q$3,"MAT",$C30:$Q30,AJ$3)=0)*(COUNTIFS($C$3:$Q$3,"POM",$C30:$Q30,AJ$3)=0)*(COUNTIFS($C$3:$Q$3,"NOTTE",$C30:$Q30,AJ$3)=0)*(COUNTIFS($C$3:$Q$3,"NOTTE",$C29:$Q29,AJ$3)=0))=3,AJ$3&amp;", ",AJ$3&amp;IF((AJ30&lt;&gt;"Xm")*(AJ30&lt;&gt;"Xg")*(COUNTIFS($C$3:$Q$3,"MAT",$C30:$Q30,AJ$3)=0)*(COUNTIFS($C$3:$Q$3,"NOTTE",$C30:$Q30,AJ$3)=0)*(COUNTIFS($C$3:$Q$3,"NOTTE",$C29:$Q29,AJ$3)=0),"_m","")&amp;IF((AJ30&lt;&gt;"Xp")*(AJ30&lt;&gt;"Xg")*(COUNTIFS($C$3:$Q$3,"POM",$C30:$Q30,AJ$3)=0)*(COUNTIFS($C$3:$Q$3,"NOTTE",$C30:$Q30,AJ$3)=0)*(COUNTIFS($C$3:$Q$3,"NOTTE",$C29:$Q29,AJ$3)=0),"_p","")&amp;IF((AJ30&lt;&gt;"Xn")*(COUNTIFS($C$3:$Q$3,"MAT",$C30:$Q30,AJ$3)=0)*(COUNTIFS($C$3:$Q$3,"POM",$C30:$Q30,AJ$3)=0)*(COUNTIFS($C$3:$Q$3,"NOTTE",$C30:$Q30,AJ$3)=0)*(COUNTIFS($C$3:$Q$3,"NOTTE",$C29:$Q29,AJ$3)=0),"_n","")&amp;", ")))</f>
        <v xml:space="preserve">CONTI A, </v>
      </c>
      <c r="CN30" s="9" t="str">
        <f>IF(0+(AK30="X")&gt;0,"",IF(0+((AK30&lt;&gt;"Xm")*(AK30&lt;&gt;"Xg")*(COUNTIFS($C$3:$Q$3,"MAT",$C30:$Q30,AK$3)=0)*(COUNTIFS($C$3:$Q$3,"NOTTE",$C30:$Q30,AK$3)=0)*(COUNTIFS($C$3:$Q$3,"NOTTE",$C29:$Q29,AK$3)=0))+((AK30&lt;&gt;"Xp")*(AK30&lt;&gt;"Xg")*(COUNTIFS($C$3:$Q$3,"POM",$C30:$Q30,AK$3)=0)*(COUNTIFS($C$3:$Q$3,"NOTTE",$C30:$Q30,AK$3)=0)*(COUNTIFS($C$3:$Q$3,"NOTTE",$C29:$Q29,AK$3)=0))+((AK30&lt;&gt;"Xn")*(COUNTIFS($C$3:$Q$3,"MAT",$C30:$Q30,AK$3)=0)*(COUNTIFS($C$3:$Q$3,"POM",$C30:$Q30,AK$3)=0)*(COUNTIFS($C$3:$Q$3,"NOTTE",$C30:$Q30,AK$3)=0)*(COUNTIFS($C$3:$Q$3,"NOTTE",$C29:$Q29,AK$3)=0))=0,"",IF(0+((AK30&lt;&gt;"Xm")*(AK30&lt;&gt;"Xg")*(COUNTIFS($C$3:$Q$3,"MAT",$C30:$Q30,AK$3)=0)*(COUNTIFS($C$3:$Q$3,"NOTTE",$C30:$Q30,AK$3)=0)*(COUNTIFS($C$3:$Q$3,"NOTTE",$C29:$Q29,AK$3)=0))+((AK30&lt;&gt;"Xp")*(AK30&lt;&gt;"Xg")*(COUNTIFS($C$3:$Q$3,"POM",$C30:$Q30,AK$3)=0)*(COUNTIFS($C$3:$Q$3,"NOTTE",$C30:$Q30,AK$3)=0)*(COUNTIFS($C$3:$Q$3,"NOTTE",$C29:$Q29,AK$3)=0))+((AK30&lt;&gt;"Xn")*(COUNTIFS($C$3:$Q$3,"MAT",$C30:$Q30,AK$3)=0)*(COUNTIFS($C$3:$Q$3,"POM",$C30:$Q30,AK$3)=0)*(COUNTIFS($C$3:$Q$3,"NOTTE",$C30:$Q30,AK$3)=0)*(COUNTIFS($C$3:$Q$3,"NOTTE",$C29:$Q29,AK$3)=0))=3,AK$3&amp;", ",AK$3&amp;IF((AK30&lt;&gt;"Xm")*(AK30&lt;&gt;"Xg")*(COUNTIFS($C$3:$Q$3,"MAT",$C30:$Q30,AK$3)=0)*(COUNTIFS($C$3:$Q$3,"NOTTE",$C30:$Q30,AK$3)=0)*(COUNTIFS($C$3:$Q$3,"NOTTE",$C29:$Q29,AK$3)=0),"_m","")&amp;IF((AK30&lt;&gt;"Xp")*(AK30&lt;&gt;"Xg")*(COUNTIFS($C$3:$Q$3,"POM",$C30:$Q30,AK$3)=0)*(COUNTIFS($C$3:$Q$3,"NOTTE",$C30:$Q30,AK$3)=0)*(COUNTIFS($C$3:$Q$3,"NOTTE",$C29:$Q29,AK$3)=0),"_p","")&amp;IF((AK30&lt;&gt;"Xn")*(COUNTIFS($C$3:$Q$3,"MAT",$C30:$Q30,AK$3)=0)*(COUNTIFS($C$3:$Q$3,"POM",$C30:$Q30,AK$3)=0)*(COUNTIFS($C$3:$Q$3,"NOTTE",$C30:$Q30,AK$3)=0)*(COUNTIFS($C$3:$Q$3,"NOTTE",$C29:$Q29,AK$3)=0),"_n","")&amp;", ")))</f>
        <v xml:space="preserve">CONTI S, </v>
      </c>
      <c r="CO30" s="9" t="str">
        <f>IF(0+(AL30="X")&gt;0,"",IF(0+((AL30&lt;&gt;"Xm")*(AL30&lt;&gt;"Xg")*(COUNTIFS($C$3:$Q$3,"MAT",$C30:$Q30,AL$3)=0)*(COUNTIFS($C$3:$Q$3,"NOTTE",$C30:$Q30,AL$3)=0)*(COUNTIFS($C$3:$Q$3,"NOTTE",$C29:$Q29,AL$3)=0))+((AL30&lt;&gt;"Xp")*(AL30&lt;&gt;"Xg")*(COUNTIFS($C$3:$Q$3,"POM",$C30:$Q30,AL$3)=0)*(COUNTIFS($C$3:$Q$3,"NOTTE",$C30:$Q30,AL$3)=0)*(COUNTIFS($C$3:$Q$3,"NOTTE",$C29:$Q29,AL$3)=0))+((AL30&lt;&gt;"Xn")*(COUNTIFS($C$3:$Q$3,"MAT",$C30:$Q30,AL$3)=0)*(COUNTIFS($C$3:$Q$3,"POM",$C30:$Q30,AL$3)=0)*(COUNTIFS($C$3:$Q$3,"NOTTE",$C30:$Q30,AL$3)=0)*(COUNTIFS($C$3:$Q$3,"NOTTE",$C29:$Q29,AL$3)=0))=0,"",IF(0+((AL30&lt;&gt;"Xm")*(AL30&lt;&gt;"Xg")*(COUNTIFS($C$3:$Q$3,"MAT",$C30:$Q30,AL$3)=0)*(COUNTIFS($C$3:$Q$3,"NOTTE",$C30:$Q30,AL$3)=0)*(COUNTIFS($C$3:$Q$3,"NOTTE",$C29:$Q29,AL$3)=0))+((AL30&lt;&gt;"Xp")*(AL30&lt;&gt;"Xg")*(COUNTIFS($C$3:$Q$3,"POM",$C30:$Q30,AL$3)=0)*(COUNTIFS($C$3:$Q$3,"NOTTE",$C30:$Q30,AL$3)=0)*(COUNTIFS($C$3:$Q$3,"NOTTE",$C29:$Q29,AL$3)=0))+((AL30&lt;&gt;"Xn")*(COUNTIFS($C$3:$Q$3,"MAT",$C30:$Q30,AL$3)=0)*(COUNTIFS($C$3:$Q$3,"POM",$C30:$Q30,AL$3)=0)*(COUNTIFS($C$3:$Q$3,"NOTTE",$C30:$Q30,AL$3)=0)*(COUNTIFS($C$3:$Q$3,"NOTTE",$C29:$Q29,AL$3)=0))=3,AL$3&amp;", ",AL$3&amp;IF((AL30&lt;&gt;"Xm")*(AL30&lt;&gt;"Xg")*(COUNTIFS($C$3:$Q$3,"MAT",$C30:$Q30,AL$3)=0)*(COUNTIFS($C$3:$Q$3,"NOTTE",$C30:$Q30,AL$3)=0)*(COUNTIFS($C$3:$Q$3,"NOTTE",$C29:$Q29,AL$3)=0),"_m","")&amp;IF((AL30&lt;&gt;"Xp")*(AL30&lt;&gt;"Xg")*(COUNTIFS($C$3:$Q$3,"POM",$C30:$Q30,AL$3)=0)*(COUNTIFS($C$3:$Q$3,"NOTTE",$C30:$Q30,AL$3)=0)*(COUNTIFS($C$3:$Q$3,"NOTTE",$C29:$Q29,AL$3)=0),"_p","")&amp;IF((AL30&lt;&gt;"Xn")*(COUNTIFS($C$3:$Q$3,"MAT",$C30:$Q30,AL$3)=0)*(COUNTIFS($C$3:$Q$3,"POM",$C30:$Q30,AL$3)=0)*(COUNTIFS($C$3:$Q$3,"NOTTE",$C30:$Q30,AL$3)=0)*(COUNTIFS($C$3:$Q$3,"NOTTE",$C29:$Q29,AL$3)=0),"_n","")&amp;", ")))</f>
        <v xml:space="preserve">FERRARI, </v>
      </c>
      <c r="CP30" s="9" t="str">
        <f>IF(0+(AM30="X")&gt;0,"",IF(0+((AM30&lt;&gt;"Xm")*(AM30&lt;&gt;"Xg")*(COUNTIFS($C$3:$Q$3,"MAT",$C30:$Q30,AM$3)=0)*(COUNTIFS($C$3:$Q$3,"NOTTE",$C30:$Q30,AM$3)=0)*(COUNTIFS($C$3:$Q$3,"NOTTE",$C29:$Q29,AM$3)=0))+((AM30&lt;&gt;"Xp")*(AM30&lt;&gt;"Xg")*(COUNTIFS($C$3:$Q$3,"POM",$C30:$Q30,AM$3)=0)*(COUNTIFS($C$3:$Q$3,"NOTTE",$C30:$Q30,AM$3)=0)*(COUNTIFS($C$3:$Q$3,"NOTTE",$C29:$Q29,AM$3)=0))+((AM30&lt;&gt;"Xn")*(COUNTIFS($C$3:$Q$3,"MAT",$C30:$Q30,AM$3)=0)*(COUNTIFS($C$3:$Q$3,"POM",$C30:$Q30,AM$3)=0)*(COUNTIFS($C$3:$Q$3,"NOTTE",$C30:$Q30,AM$3)=0)*(COUNTIFS($C$3:$Q$3,"NOTTE",$C29:$Q29,AM$3)=0))=0,"",IF(0+((AM30&lt;&gt;"Xm")*(AM30&lt;&gt;"Xg")*(COUNTIFS($C$3:$Q$3,"MAT",$C30:$Q30,AM$3)=0)*(COUNTIFS($C$3:$Q$3,"NOTTE",$C30:$Q30,AM$3)=0)*(COUNTIFS($C$3:$Q$3,"NOTTE",$C29:$Q29,AM$3)=0))+((AM30&lt;&gt;"Xp")*(AM30&lt;&gt;"Xg")*(COUNTIFS($C$3:$Q$3,"POM",$C30:$Q30,AM$3)=0)*(COUNTIFS($C$3:$Q$3,"NOTTE",$C30:$Q30,AM$3)=0)*(COUNTIFS($C$3:$Q$3,"NOTTE",$C29:$Q29,AM$3)=0))+((AM30&lt;&gt;"Xn")*(COUNTIFS($C$3:$Q$3,"MAT",$C30:$Q30,AM$3)=0)*(COUNTIFS($C$3:$Q$3,"POM",$C30:$Q30,AM$3)=0)*(COUNTIFS($C$3:$Q$3,"NOTTE",$C30:$Q30,AM$3)=0)*(COUNTIFS($C$3:$Q$3,"NOTTE",$C29:$Q29,AM$3)=0))=3,AM$3&amp;", ",AM$3&amp;IF((AM30&lt;&gt;"Xm")*(AM30&lt;&gt;"Xg")*(COUNTIFS($C$3:$Q$3,"MAT",$C30:$Q30,AM$3)=0)*(COUNTIFS($C$3:$Q$3,"NOTTE",$C30:$Q30,AM$3)=0)*(COUNTIFS($C$3:$Q$3,"NOTTE",$C29:$Q29,AM$3)=0),"_m","")&amp;IF((AM30&lt;&gt;"Xp")*(AM30&lt;&gt;"Xg")*(COUNTIFS($C$3:$Q$3,"POM",$C30:$Q30,AM$3)=0)*(COUNTIFS($C$3:$Q$3,"NOTTE",$C30:$Q30,AM$3)=0)*(COUNTIFS($C$3:$Q$3,"NOTTE",$C29:$Q29,AM$3)=0),"_p","")&amp;IF((AM30&lt;&gt;"Xn")*(COUNTIFS($C$3:$Q$3,"MAT",$C30:$Q30,AM$3)=0)*(COUNTIFS($C$3:$Q$3,"POM",$C30:$Q30,AM$3)=0)*(COUNTIFS($C$3:$Q$3,"NOTTE",$C30:$Q30,AM$3)=0)*(COUNTIFS($C$3:$Q$3,"NOTTE",$C29:$Q29,AM$3)=0),"_n","")&amp;", ")))</f>
        <v xml:space="preserve">GRECO, </v>
      </c>
      <c r="CQ30" s="9" t="str">
        <f>IF(0+(AN30="X")&gt;0,"",IF(0+((AN30&lt;&gt;"Xm")*(AN30&lt;&gt;"Xg")*(COUNTIFS($C$3:$Q$3,"MAT",$C30:$Q30,AN$3)=0)*(COUNTIFS($C$3:$Q$3,"NOTTE",$C30:$Q30,AN$3)=0)*(COUNTIFS($C$3:$Q$3,"NOTTE",$C29:$Q29,AN$3)=0))+((AN30&lt;&gt;"Xp")*(AN30&lt;&gt;"Xg")*(COUNTIFS($C$3:$Q$3,"POM",$C30:$Q30,AN$3)=0)*(COUNTIFS($C$3:$Q$3,"NOTTE",$C30:$Q30,AN$3)=0)*(COUNTIFS($C$3:$Q$3,"NOTTE",$C29:$Q29,AN$3)=0))+((AN30&lt;&gt;"Xn")*(COUNTIFS($C$3:$Q$3,"MAT",$C30:$Q30,AN$3)=0)*(COUNTIFS($C$3:$Q$3,"POM",$C30:$Q30,AN$3)=0)*(COUNTIFS($C$3:$Q$3,"NOTTE",$C30:$Q30,AN$3)=0)*(COUNTIFS($C$3:$Q$3,"NOTTE",$C29:$Q29,AN$3)=0))=0,"",IF(0+((AN30&lt;&gt;"Xm")*(AN30&lt;&gt;"Xg")*(COUNTIFS($C$3:$Q$3,"MAT",$C30:$Q30,AN$3)=0)*(COUNTIFS($C$3:$Q$3,"NOTTE",$C30:$Q30,AN$3)=0)*(COUNTIFS($C$3:$Q$3,"NOTTE",$C29:$Q29,AN$3)=0))+((AN30&lt;&gt;"Xp")*(AN30&lt;&gt;"Xg")*(COUNTIFS($C$3:$Q$3,"POM",$C30:$Q30,AN$3)=0)*(COUNTIFS($C$3:$Q$3,"NOTTE",$C30:$Q30,AN$3)=0)*(COUNTIFS($C$3:$Q$3,"NOTTE",$C29:$Q29,AN$3)=0))+((AN30&lt;&gt;"Xn")*(COUNTIFS($C$3:$Q$3,"MAT",$C30:$Q30,AN$3)=0)*(COUNTIFS($C$3:$Q$3,"POM",$C30:$Q30,AN$3)=0)*(COUNTIFS($C$3:$Q$3,"NOTTE",$C30:$Q30,AN$3)=0)*(COUNTIFS($C$3:$Q$3,"NOTTE",$C29:$Q29,AN$3)=0))=3,AN$3&amp;", ",AN$3&amp;IF((AN30&lt;&gt;"Xm")*(AN30&lt;&gt;"Xg")*(COUNTIFS($C$3:$Q$3,"MAT",$C30:$Q30,AN$3)=0)*(COUNTIFS($C$3:$Q$3,"NOTTE",$C30:$Q30,AN$3)=0)*(COUNTIFS($C$3:$Q$3,"NOTTE",$C29:$Q29,AN$3)=0),"_m","")&amp;IF((AN30&lt;&gt;"Xp")*(AN30&lt;&gt;"Xg")*(COUNTIFS($C$3:$Q$3,"POM",$C30:$Q30,AN$3)=0)*(COUNTIFS($C$3:$Q$3,"NOTTE",$C30:$Q30,AN$3)=0)*(COUNTIFS($C$3:$Q$3,"NOTTE",$C29:$Q29,AN$3)=0),"_p","")&amp;IF((AN30&lt;&gt;"Xn")*(COUNTIFS($C$3:$Q$3,"MAT",$C30:$Q30,AN$3)=0)*(COUNTIFS($C$3:$Q$3,"POM",$C30:$Q30,AN$3)=0)*(COUNTIFS($C$3:$Q$3,"NOTTE",$C30:$Q30,AN$3)=0)*(COUNTIFS($C$3:$Q$3,"NOTTE",$C29:$Q29,AN$3)=0),"_n","")&amp;", ")))</f>
        <v xml:space="preserve">SANNA, </v>
      </c>
      <c r="CR30" s="9" t="str">
        <f>IF(0+(AO30="X")&gt;0,"",IF(0+((AO30&lt;&gt;"Xm")*(AO30&lt;&gt;"Xg")*(COUNTIFS($C$3:$Q$3,"MAT",$C30:$Q30,AO$3)=0)*(COUNTIFS($C$3:$Q$3,"NOTTE",$C30:$Q30,AO$3)=0)*(COUNTIFS($C$3:$Q$3,"NOTTE",$C29:$Q29,AO$3)=0))+((AO30&lt;&gt;"Xp")*(AO30&lt;&gt;"Xg")*(COUNTIFS($C$3:$Q$3,"POM",$C30:$Q30,AO$3)=0)*(COUNTIFS($C$3:$Q$3,"NOTTE",$C30:$Q30,AO$3)=0)*(COUNTIFS($C$3:$Q$3,"NOTTE",$C29:$Q29,AO$3)=0))+((AO30&lt;&gt;"Xn")*(COUNTIFS($C$3:$Q$3,"MAT",$C30:$Q30,AO$3)=0)*(COUNTIFS($C$3:$Q$3,"POM",$C30:$Q30,AO$3)=0)*(COUNTIFS($C$3:$Q$3,"NOTTE",$C30:$Q30,AO$3)=0)*(COUNTIFS($C$3:$Q$3,"NOTTE",$C29:$Q29,AO$3)=0))=0,"",IF(0+((AO30&lt;&gt;"Xm")*(AO30&lt;&gt;"Xg")*(COUNTIFS($C$3:$Q$3,"MAT",$C30:$Q30,AO$3)=0)*(COUNTIFS($C$3:$Q$3,"NOTTE",$C30:$Q30,AO$3)=0)*(COUNTIFS($C$3:$Q$3,"NOTTE",$C29:$Q29,AO$3)=0))+((AO30&lt;&gt;"Xp")*(AO30&lt;&gt;"Xg")*(COUNTIFS($C$3:$Q$3,"POM",$C30:$Q30,AO$3)=0)*(COUNTIFS($C$3:$Q$3,"NOTTE",$C30:$Q30,AO$3)=0)*(COUNTIFS($C$3:$Q$3,"NOTTE",$C29:$Q29,AO$3)=0))+((AO30&lt;&gt;"Xn")*(COUNTIFS($C$3:$Q$3,"MAT",$C30:$Q30,AO$3)=0)*(COUNTIFS($C$3:$Q$3,"POM",$C30:$Q30,AO$3)=0)*(COUNTIFS($C$3:$Q$3,"NOTTE",$C30:$Q30,AO$3)=0)*(COUNTIFS($C$3:$Q$3,"NOTTE",$C29:$Q29,AO$3)=0))=3,AO$3&amp;", ",AO$3&amp;IF((AO30&lt;&gt;"Xm")*(AO30&lt;&gt;"Xg")*(COUNTIFS($C$3:$Q$3,"MAT",$C30:$Q30,AO$3)=0)*(COUNTIFS($C$3:$Q$3,"NOTTE",$C30:$Q30,AO$3)=0)*(COUNTIFS($C$3:$Q$3,"NOTTE",$C29:$Q29,AO$3)=0),"_m","")&amp;IF((AO30&lt;&gt;"Xp")*(AO30&lt;&gt;"Xg")*(COUNTIFS($C$3:$Q$3,"POM",$C30:$Q30,AO$3)=0)*(COUNTIFS($C$3:$Q$3,"NOTTE",$C30:$Q30,AO$3)=0)*(COUNTIFS($C$3:$Q$3,"NOTTE",$C29:$Q29,AO$3)=0),"_p","")&amp;IF((AO30&lt;&gt;"Xn")*(COUNTIFS($C$3:$Q$3,"MAT",$C30:$Q30,AO$3)=0)*(COUNTIFS($C$3:$Q$3,"POM",$C30:$Q30,AO$3)=0)*(COUNTIFS($C$3:$Q$3,"NOTTE",$C30:$Q30,AO$3)=0)*(COUNTIFS($C$3:$Q$3,"NOTTE",$C29:$Q29,AO$3)=0),"_n","")&amp;", ")))</f>
        <v xml:space="preserve">LI, </v>
      </c>
    </row>
    <row r="31">
      <c r="A31" s="3" t="str">
        <f>CHOOSE(WEEKDAY(DATE($B$1,$A$2,B31),2),"lunedì","martedì","mercoledì","giovedì","venerdì","sabato","domenica")</f>
        <v>sabato</v>
      </c>
      <c r="B31" s="3" t="n">
        <v>28</v>
      </c>
      <c r="C31" s="4" t="n"/>
      <c r="D31" s="4" t="n"/>
      <c r="E31" s="3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3" t="n"/>
      <c r="Q31" s="3" t="n"/>
      <c r="R31" s="3" t="n"/>
      <c r="S31" s="3">
        <f>IF(SUMPRODUCT(($C$3:$Q$3&lt;&gt;"")*($C31:$Q31&lt;&gt;"")*(LEFT($C31:$Q31,6)&lt;&gt;"chiuso")*(COUNTIFS($C31:$Q31,$C31:$Q31,$C$3:$Q$3,$C$3:$Q$3)&gt;1))&gt;0,"X","")</f>
      </c>
      <c r="T31" s="3" t="str">
        <f>IF(LEN(BP31&amp;BQ31&amp;BR31&amp;BS31&amp;BT31&amp;BU31&amp;BV31&amp;BW31&amp;BX31&amp;BY31&amp;BZ31&amp;CA31&amp;CB31&amp;CC31)=0,"",LEFT(BP31&amp;BQ31&amp;BR31&amp;BS31&amp;BT31&amp;BU31&amp;BV31&amp;BW31&amp;BX31&amp;BY31&amp;BZ31&amp;CA31&amp;CB31&amp;CC31,LEN(BP31&amp;BQ31&amp;BR31&amp;BS31&amp;BT31&amp;BU31&amp;BV31&amp;BW31&amp;BX31&amp;BY31&amp;BZ31&amp;CA31&amp;CB31&amp;CC31)-2))</f>
        <v>LEONI, ROSSI M, ROSSI L, GALLINA, RUSSO, VERDI, HU, MARINI, CONTI A, CONTI S, FERRARI, GRECO, SANNA, LI</v>
      </c>
      <c r="U31" s="3" t="str">
        <f>IF(LEN(CE31&amp;CF31&amp;CG31&amp;CH31&amp;CI31&amp;CJ31&amp;CK31&amp;CL31&amp;CM31&amp;CN31&amp;CO31&amp;CP31&amp;CQ31&amp;CR31)=0,"",LEFT(CE31&amp;CF31&amp;CG31&amp;CH31&amp;CI31&amp;CJ31&amp;CK31&amp;CL31&amp;CM31&amp;CN31&amp;CO31&amp;CP31&amp;CQ31&amp;CR31,LEN(CE31&amp;CF31&amp;CG31&amp;CH31&amp;CI31&amp;CJ31&amp;CK31&amp;CL31&amp;CM31&amp;CN31&amp;CO31&amp;CP31&amp;CQ31&amp;CR31)-2))</f>
        <v>LEONI, ROSSI M, ROSSI L, GALLINA, RUSSO, VERDI, HU, MARINI, CONTI A, CONTI S, FERRARI, GRECO, SANNA, LI</v>
      </c>
      <c r="Z31" s="3" t="str">
        <f>A31</f>
        <v>sabato</v>
      </c>
      <c r="AA31" s="3">
        <f>B31</f>
        <v>28</v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BP31" s="9" t="str">
        <f>IF(0+(AB31="X")&gt;0,"",IF(0+((AB31&lt;&gt;"Xm")*(AB31&lt;&gt;"Xg"))+((AB31&lt;&gt;"Xm")*(AB31&lt;&gt;"Xp")*(AB31&lt;&gt;"Xg"))+((AB31&lt;&gt;"Xn"))=0,"",IF(0+((AB31&lt;&gt;"Xm")*(AB31&lt;&gt;"Xg"))+((AB31&lt;&gt;"Xm")*(AB31&lt;&gt;"Xp")*(AB31&lt;&gt;"Xg"))+((AB31&lt;&gt;"Xn"))=3,AB$3&amp;", ",AB$3&amp;IF((AB31&lt;&gt;"Xm")*(AB31&lt;&gt;"Xg"),"_m","")&amp;IF((AB31&lt;&gt;"Xm")*(AB31&lt;&gt;"Xp")*(AB31&lt;&gt;"Xg"),"_g","")&amp;IF((AB31&lt;&gt;"Xn"),"_n","")&amp;", ")))</f>
        <v xml:space="preserve">LEONI, </v>
      </c>
      <c r="BQ31" s="9" t="str">
        <f>IF(0+(AC31="X")&gt;0,"",IF(0+((AC31&lt;&gt;"Xm")*(AC31&lt;&gt;"Xg"))+((AC31&lt;&gt;"Xm")*(AC31&lt;&gt;"Xp")*(AC31&lt;&gt;"Xg"))+((AC31&lt;&gt;"Xn"))=0,"",IF(0+((AC31&lt;&gt;"Xm")*(AC31&lt;&gt;"Xg"))+((AC31&lt;&gt;"Xm")*(AC31&lt;&gt;"Xp")*(AC31&lt;&gt;"Xg"))+((AC31&lt;&gt;"Xn"))=3,AC$3&amp;", ",AC$3&amp;IF((AC31&lt;&gt;"Xm")*(AC31&lt;&gt;"Xg"),"_m","")&amp;IF((AC31&lt;&gt;"Xm")*(AC31&lt;&gt;"Xp")*(AC31&lt;&gt;"Xg"),"_g","")&amp;IF((AC31&lt;&gt;"Xn"),"_n","")&amp;", ")))</f>
        <v xml:space="preserve">ROSSI M, </v>
      </c>
      <c r="BR31" s="9" t="str">
        <f>IF(0+(AD31="X")&gt;0,"",IF(0+((AD31&lt;&gt;"Xm")*(AD31&lt;&gt;"Xg"))+((AD31&lt;&gt;"Xm")*(AD31&lt;&gt;"Xp")*(AD31&lt;&gt;"Xg"))+((AD31&lt;&gt;"Xn"))=0,"",IF(0+((AD31&lt;&gt;"Xm")*(AD31&lt;&gt;"Xg"))+((AD31&lt;&gt;"Xm")*(AD31&lt;&gt;"Xp")*(AD31&lt;&gt;"Xg"))+((AD31&lt;&gt;"Xn"))=3,AD$3&amp;", ",AD$3&amp;IF((AD31&lt;&gt;"Xm")*(AD31&lt;&gt;"Xg"),"_m","")&amp;IF((AD31&lt;&gt;"Xm")*(AD31&lt;&gt;"Xp")*(AD31&lt;&gt;"Xg"),"_g","")&amp;IF((AD31&lt;&gt;"Xn"),"_n","")&amp;", ")))</f>
        <v xml:space="preserve">ROSSI L, </v>
      </c>
      <c r="BS31" s="9" t="str">
        <f>IF(0+(AE31="X")&gt;0,"",IF(0+((AE31&lt;&gt;"Xm")*(AE31&lt;&gt;"Xg"))+((AE31&lt;&gt;"Xm")*(AE31&lt;&gt;"Xp")*(AE31&lt;&gt;"Xg"))+((AE31&lt;&gt;"Xn"))=0,"",IF(0+((AE31&lt;&gt;"Xm")*(AE31&lt;&gt;"Xg"))+((AE31&lt;&gt;"Xm")*(AE31&lt;&gt;"Xp")*(AE31&lt;&gt;"Xg"))+((AE31&lt;&gt;"Xn"))=3,AE$3&amp;", ",AE$3&amp;IF((AE31&lt;&gt;"Xm")*(AE31&lt;&gt;"Xg"),"_m","")&amp;IF((AE31&lt;&gt;"Xm")*(AE31&lt;&gt;"Xp")*(AE31&lt;&gt;"Xg"),"_g","")&amp;IF((AE31&lt;&gt;"Xn"),"_n","")&amp;", ")))</f>
        <v xml:space="preserve">GALLINA, </v>
      </c>
      <c r="BT31" s="9" t="str">
        <f>IF(0+(AF31="X")&gt;0,"",IF(0+((AF31&lt;&gt;"Xm")*(AF31&lt;&gt;"Xg"))+((AF31&lt;&gt;"Xm")*(AF31&lt;&gt;"Xp")*(AF31&lt;&gt;"Xg"))+((AF31&lt;&gt;"Xn"))=0,"",IF(0+((AF31&lt;&gt;"Xm")*(AF31&lt;&gt;"Xg"))+((AF31&lt;&gt;"Xm")*(AF31&lt;&gt;"Xp")*(AF31&lt;&gt;"Xg"))+((AF31&lt;&gt;"Xn"))=3,AF$3&amp;", ",AF$3&amp;IF((AF31&lt;&gt;"Xm")*(AF31&lt;&gt;"Xg"),"_m","")&amp;IF((AF31&lt;&gt;"Xm")*(AF31&lt;&gt;"Xp")*(AF31&lt;&gt;"Xg"),"_g","")&amp;IF((AF31&lt;&gt;"Xn"),"_n","")&amp;", ")))</f>
        <v xml:space="preserve">RUSSO, </v>
      </c>
      <c r="BU31" s="9" t="str">
        <f>IF(0+(AG31="X")&gt;0,"",IF(0+((AG31&lt;&gt;"Xm")*(AG31&lt;&gt;"Xg"))+((AG31&lt;&gt;"Xm")*(AG31&lt;&gt;"Xp")*(AG31&lt;&gt;"Xg"))+((AG31&lt;&gt;"Xn"))=0,"",IF(0+((AG31&lt;&gt;"Xm")*(AG31&lt;&gt;"Xg"))+((AG31&lt;&gt;"Xm")*(AG31&lt;&gt;"Xp")*(AG31&lt;&gt;"Xg"))+((AG31&lt;&gt;"Xn"))=3,AG$3&amp;", ",AG$3&amp;IF((AG31&lt;&gt;"Xm")*(AG31&lt;&gt;"Xg"),"_m","")&amp;IF((AG31&lt;&gt;"Xm")*(AG31&lt;&gt;"Xp")*(AG31&lt;&gt;"Xg"),"_g","")&amp;IF((AG31&lt;&gt;"Xn"),"_n","")&amp;", ")))</f>
        <v xml:space="preserve">VERDI, </v>
      </c>
      <c r="BV31" s="9" t="str">
        <f>IF(0+(AH31="X")&gt;0,"",IF(0+((AH31&lt;&gt;"Xm")*(AH31&lt;&gt;"Xg"))+((AH31&lt;&gt;"Xm")*(AH31&lt;&gt;"Xp")*(AH31&lt;&gt;"Xg"))+((AH31&lt;&gt;"Xn"))=0,"",IF(0+((AH31&lt;&gt;"Xm")*(AH31&lt;&gt;"Xg"))+((AH31&lt;&gt;"Xm")*(AH31&lt;&gt;"Xp")*(AH31&lt;&gt;"Xg"))+((AH31&lt;&gt;"Xn"))=3,AH$3&amp;", ",AH$3&amp;IF((AH31&lt;&gt;"Xm")*(AH31&lt;&gt;"Xg"),"_m","")&amp;IF((AH31&lt;&gt;"Xm")*(AH31&lt;&gt;"Xp")*(AH31&lt;&gt;"Xg"),"_g","")&amp;IF((AH31&lt;&gt;"Xn"),"_n","")&amp;", ")))</f>
        <v xml:space="preserve">HU, </v>
      </c>
      <c r="BW31" s="9" t="str">
        <f>IF(0+(AI31="X")&gt;0,"",IF(0+((AI31&lt;&gt;"Xm")*(AI31&lt;&gt;"Xg"))+((AI31&lt;&gt;"Xm")*(AI31&lt;&gt;"Xp")*(AI31&lt;&gt;"Xg"))+((AI31&lt;&gt;"Xn"))=0,"",IF(0+((AI31&lt;&gt;"Xm")*(AI31&lt;&gt;"Xg"))+((AI31&lt;&gt;"Xm")*(AI31&lt;&gt;"Xp")*(AI31&lt;&gt;"Xg"))+((AI31&lt;&gt;"Xn"))=3,AI$3&amp;", ",AI$3&amp;IF((AI31&lt;&gt;"Xm")*(AI31&lt;&gt;"Xg"),"_m","")&amp;IF((AI31&lt;&gt;"Xm")*(AI31&lt;&gt;"Xp")*(AI31&lt;&gt;"Xg"),"_g","")&amp;IF((AI31&lt;&gt;"Xn"),"_n","")&amp;", ")))</f>
        <v xml:space="preserve">MARINI, </v>
      </c>
      <c r="BX31" s="9" t="str">
        <f>IF(0+(AJ31="X")&gt;0,"",IF(0+((AJ31&lt;&gt;"Xm")*(AJ31&lt;&gt;"Xg"))+((AJ31&lt;&gt;"Xm")*(AJ31&lt;&gt;"Xp")*(AJ31&lt;&gt;"Xg"))+((AJ31&lt;&gt;"Xn"))=0,"",IF(0+((AJ31&lt;&gt;"Xm")*(AJ31&lt;&gt;"Xg"))+((AJ31&lt;&gt;"Xm")*(AJ31&lt;&gt;"Xp")*(AJ31&lt;&gt;"Xg"))+((AJ31&lt;&gt;"Xn"))=3,AJ$3&amp;", ",AJ$3&amp;IF((AJ31&lt;&gt;"Xm")*(AJ31&lt;&gt;"Xg"),"_m","")&amp;IF((AJ31&lt;&gt;"Xm")*(AJ31&lt;&gt;"Xp")*(AJ31&lt;&gt;"Xg"),"_g","")&amp;IF((AJ31&lt;&gt;"Xn"),"_n","")&amp;", ")))</f>
        <v xml:space="preserve">CONTI A, </v>
      </c>
      <c r="BY31" s="9" t="str">
        <f>IF(0+(AK31="X")&gt;0,"",IF(0+((AK31&lt;&gt;"Xm")*(AK31&lt;&gt;"Xg"))+((AK31&lt;&gt;"Xm")*(AK31&lt;&gt;"Xp")*(AK31&lt;&gt;"Xg"))+((AK31&lt;&gt;"Xn"))=0,"",IF(0+((AK31&lt;&gt;"Xm")*(AK31&lt;&gt;"Xg"))+((AK31&lt;&gt;"Xm")*(AK31&lt;&gt;"Xp")*(AK31&lt;&gt;"Xg"))+((AK31&lt;&gt;"Xn"))=3,AK$3&amp;", ",AK$3&amp;IF((AK31&lt;&gt;"Xm")*(AK31&lt;&gt;"Xg"),"_m","")&amp;IF((AK31&lt;&gt;"Xm")*(AK31&lt;&gt;"Xp")*(AK31&lt;&gt;"Xg"),"_g","")&amp;IF((AK31&lt;&gt;"Xn"),"_n","")&amp;", ")))</f>
        <v xml:space="preserve">CONTI S, </v>
      </c>
      <c r="BZ31" s="9" t="str">
        <f>IF(0+(AL31="X")&gt;0,"",IF(0+((AL31&lt;&gt;"Xm")*(AL31&lt;&gt;"Xg"))+((AL31&lt;&gt;"Xm")*(AL31&lt;&gt;"Xp")*(AL31&lt;&gt;"Xg"))+((AL31&lt;&gt;"Xn"))=0,"",IF(0+((AL31&lt;&gt;"Xm")*(AL31&lt;&gt;"Xg"))+((AL31&lt;&gt;"Xm")*(AL31&lt;&gt;"Xp")*(AL31&lt;&gt;"Xg"))+((AL31&lt;&gt;"Xn"))=3,AL$3&amp;", ",AL$3&amp;IF((AL31&lt;&gt;"Xm")*(AL31&lt;&gt;"Xg"),"_m","")&amp;IF((AL31&lt;&gt;"Xm")*(AL31&lt;&gt;"Xp")*(AL31&lt;&gt;"Xg"),"_g","")&amp;IF((AL31&lt;&gt;"Xn"),"_n","")&amp;", ")))</f>
        <v xml:space="preserve">FERRARI, </v>
      </c>
      <c r="CA31" s="9" t="str">
        <f>IF(0+(AM31="X")&gt;0,"",IF(0+((AM31&lt;&gt;"Xm")*(AM31&lt;&gt;"Xg"))+((AM31&lt;&gt;"Xm")*(AM31&lt;&gt;"Xp")*(AM31&lt;&gt;"Xg"))+((AM31&lt;&gt;"Xn"))=0,"",IF(0+((AM31&lt;&gt;"Xm")*(AM31&lt;&gt;"Xg"))+((AM31&lt;&gt;"Xm")*(AM31&lt;&gt;"Xp")*(AM31&lt;&gt;"Xg"))+((AM31&lt;&gt;"Xn"))=3,AM$3&amp;", ",AM$3&amp;IF((AM31&lt;&gt;"Xm")*(AM31&lt;&gt;"Xg"),"_m","")&amp;IF((AM31&lt;&gt;"Xm")*(AM31&lt;&gt;"Xp")*(AM31&lt;&gt;"Xg"),"_g","")&amp;IF((AM31&lt;&gt;"Xn"),"_n","")&amp;", ")))</f>
        <v xml:space="preserve">GRECO, </v>
      </c>
      <c r="CB31" s="9" t="str">
        <f>IF(0+(AN31="X")&gt;0,"",IF(0+((AN31&lt;&gt;"Xm")*(AN31&lt;&gt;"Xg"))+((AN31&lt;&gt;"Xm")*(AN31&lt;&gt;"Xp")*(AN31&lt;&gt;"Xg"))+((AN31&lt;&gt;"Xn"))=0,"",IF(0+((AN31&lt;&gt;"Xm")*(AN31&lt;&gt;"Xg"))+((AN31&lt;&gt;"Xm")*(AN31&lt;&gt;"Xp")*(AN31&lt;&gt;"Xg"))+((AN31&lt;&gt;"Xn"))=3,AN$3&amp;", ",AN$3&amp;IF((AN31&lt;&gt;"Xm")*(AN31&lt;&gt;"Xg"),"_m","")&amp;IF((AN31&lt;&gt;"Xm")*(AN31&lt;&gt;"Xp")*(AN31&lt;&gt;"Xg"),"_g","")&amp;IF((AN31&lt;&gt;"Xn"),"_n","")&amp;", ")))</f>
        <v xml:space="preserve">SANNA, </v>
      </c>
      <c r="CC31" s="9" t="str">
        <f>IF(0+(AO31="X")&gt;0,"",IF(0+((AO31&lt;&gt;"Xm")*(AO31&lt;&gt;"Xg"))+((AO31&lt;&gt;"Xm")*(AO31&lt;&gt;"Xp")*(AO31&lt;&gt;"Xg"))+((AO31&lt;&gt;"Xn"))=0,"",IF(0+((AO31&lt;&gt;"Xm")*(AO31&lt;&gt;"Xg"))+((AO31&lt;&gt;"Xm")*(AO31&lt;&gt;"Xp")*(AO31&lt;&gt;"Xg"))+((AO31&lt;&gt;"Xn"))=3,AO$3&amp;", ",AO$3&amp;IF((AO31&lt;&gt;"Xm")*(AO31&lt;&gt;"Xg"),"_m","")&amp;IF((AO31&lt;&gt;"Xm")*(AO31&lt;&gt;"Xp")*(AO31&lt;&gt;"Xg"),"_g","")&amp;IF((AO31&lt;&gt;"Xn"),"_n","")&amp;", ")))</f>
        <v xml:space="preserve">LI, </v>
      </c>
      <c r="CD31" s="9" t="n"/>
      <c r="CE31" s="9" t="str">
        <f>IF(0+(AB31="X")&gt;0,"",IF(0+((AB31&lt;&gt;"Xm")*(AB31&lt;&gt;"Xg")*(COUNTIFS($C$3:$Q$3,"MAT",$C31:$Q31,AB$3)=0)*(COUNTIFS($C$3:$Q$3,"GIORNO",$C31:$Q31,AB$3)=0)*(COUNTIFS($C$3:$Q$3,"NOTTE",$C31:$Q31,AB$3)=0)*(COUNTIFS($C$3:$Q$3,"NOTTE",$C30:$Q30,AB$3)=0))+((AB31&lt;&gt;"Xm")*(AB31&lt;&gt;"Xp")*(AB31&lt;&gt;"Xg")*(COUNTIFS($C$3:$Q$3,"MAT",$C31:$Q31,AB$3)=0)*(COUNTIFS($C$3:$Q$3,"GIORNO",$C31:$Q31,AB$3)=0)*(COUNTIFS($C$3:$Q$3,"NOTTE",$C31:$Q31,AB$3)=0)*(COUNTIFS($C$3:$Q$3,"NOTTE",$C30:$Q30,AB$3)=0))+((AB31&lt;&gt;"Xn")*(COUNTIFS($C$3:$Q$3,"MAT",$C31:$Q31,AB$3)=0)*(COUNTIFS($C$3:$Q$3,"GIORNO",$C31:$Q31,AB$3)=0)*(COUNTIFS($C$3:$Q$3,"NOTTE",$C31:$Q31,AB$3)=0)*(COUNTIFS($C$3:$Q$3,"NOTTE",$C30:$Q30,AB$3)=0))=0,"",IF(0+((AB31&lt;&gt;"Xm")*(AB31&lt;&gt;"Xg")*(COUNTIFS($C$3:$Q$3,"MAT",$C31:$Q31,AB$3)=0)*(COUNTIFS($C$3:$Q$3,"GIORNO",$C31:$Q31,AB$3)=0)*(COUNTIFS($C$3:$Q$3,"NOTTE",$C31:$Q31,AB$3)=0)*(COUNTIFS($C$3:$Q$3,"NOTTE",$C30:$Q30,AB$3)=0))+((AB31&lt;&gt;"Xm")*(AB31&lt;&gt;"Xp")*(AB31&lt;&gt;"Xg")*(COUNTIFS($C$3:$Q$3,"MAT",$C31:$Q31,AB$3)=0)*(COUNTIFS($C$3:$Q$3,"GIORNO",$C31:$Q31,AB$3)=0)*(COUNTIFS($C$3:$Q$3,"NOTTE",$C31:$Q31,AB$3)=0)*(COUNTIFS($C$3:$Q$3,"NOTTE",$C30:$Q30,AB$3)=0))+((AB31&lt;&gt;"Xn")*(COUNTIFS($C$3:$Q$3,"MAT",$C31:$Q31,AB$3)=0)*(COUNTIFS($C$3:$Q$3,"GIORNO",$C31:$Q31,AB$3)=0)*(COUNTIFS($C$3:$Q$3,"NOTTE",$C31:$Q31,AB$3)=0)*(COUNTIFS($C$3:$Q$3,"NOTTE",$C30:$Q30,AB$3)=0))=3,AB$3&amp;", ",AB$3&amp;IF((AB31&lt;&gt;"Xm")*(AB31&lt;&gt;"Xg")*(COUNTIFS($C$3:$Q$3,"MAT",$C31:$Q31,AB$3)=0)*(COUNTIFS($C$3:$Q$3,"GIORNO",$C31:$Q31,AB$3)=0)*(COUNTIFS($C$3:$Q$3,"NOTTE",$C31:$Q31,AB$3)=0)*(COUNTIFS($C$3:$Q$3,"NOTTE",$C30:$Q30,AB$3)=0),"_m","")&amp;IF((AB31&lt;&gt;"Xm")*(AB31&lt;&gt;"Xp")*(AB31&lt;&gt;"Xg")*(COUNTIFS($C$3:$Q$3,"MAT",$C31:$Q31,AB$3)=0)*(COUNTIFS($C$3:$Q$3,"GIORNO",$C31:$Q31,AB$3)=0)*(COUNTIFS($C$3:$Q$3,"NOTTE",$C31:$Q31,AB$3)=0)*(COUNTIFS($C$3:$Q$3,"NOTTE",$C30:$Q30,AB$3)=0),"_g","")&amp;IF((AB31&lt;&gt;"Xn")*(COUNTIFS($C$3:$Q$3,"MAT",$C31:$Q31,AB$3)=0)*(COUNTIFS($C$3:$Q$3,"GIORNO",$C31:$Q31,AB$3)=0)*(COUNTIFS($C$3:$Q$3,"NOTTE",$C31:$Q31,AB$3)=0)*(COUNTIFS($C$3:$Q$3,"NOTTE",$C30:$Q30,AB$3)=0),"_n","")&amp;", ")))</f>
        <v xml:space="preserve">LEONI, </v>
      </c>
      <c r="CF31" s="9" t="str">
        <f>IF(0+(AC31="X")&gt;0,"",IF(0+((AC31&lt;&gt;"Xm")*(AC31&lt;&gt;"Xg")*(COUNTIFS($C$3:$Q$3,"MAT",$C31:$Q31,AC$3)=0)*(COUNTIFS($C$3:$Q$3,"GIORNO",$C31:$Q31,AC$3)=0)*(COUNTIFS($C$3:$Q$3,"NOTTE",$C31:$Q31,AC$3)=0)*(COUNTIFS($C$3:$Q$3,"NOTTE",$C30:$Q30,AC$3)=0))+((AC31&lt;&gt;"Xm")*(AC31&lt;&gt;"Xp")*(AC31&lt;&gt;"Xg")*(COUNTIFS($C$3:$Q$3,"MAT",$C31:$Q31,AC$3)=0)*(COUNTIFS($C$3:$Q$3,"GIORNO",$C31:$Q31,AC$3)=0)*(COUNTIFS($C$3:$Q$3,"NOTTE",$C31:$Q31,AC$3)=0)*(COUNTIFS($C$3:$Q$3,"NOTTE",$C30:$Q30,AC$3)=0))+((AC31&lt;&gt;"Xn")*(COUNTIFS($C$3:$Q$3,"MAT",$C31:$Q31,AC$3)=0)*(COUNTIFS($C$3:$Q$3,"GIORNO",$C31:$Q31,AC$3)=0)*(COUNTIFS($C$3:$Q$3,"NOTTE",$C31:$Q31,AC$3)=0)*(COUNTIFS($C$3:$Q$3,"NOTTE",$C30:$Q30,AC$3)=0))=0,"",IF(0+((AC31&lt;&gt;"Xm")*(AC31&lt;&gt;"Xg")*(COUNTIFS($C$3:$Q$3,"MAT",$C31:$Q31,AC$3)=0)*(COUNTIFS($C$3:$Q$3,"GIORNO",$C31:$Q31,AC$3)=0)*(COUNTIFS($C$3:$Q$3,"NOTTE",$C31:$Q31,AC$3)=0)*(COUNTIFS($C$3:$Q$3,"NOTTE",$C30:$Q30,AC$3)=0))+((AC31&lt;&gt;"Xm")*(AC31&lt;&gt;"Xp")*(AC31&lt;&gt;"Xg")*(COUNTIFS($C$3:$Q$3,"MAT",$C31:$Q31,AC$3)=0)*(COUNTIFS($C$3:$Q$3,"GIORNO",$C31:$Q31,AC$3)=0)*(COUNTIFS($C$3:$Q$3,"NOTTE",$C31:$Q31,AC$3)=0)*(COUNTIFS($C$3:$Q$3,"NOTTE",$C30:$Q30,AC$3)=0))+((AC31&lt;&gt;"Xn")*(COUNTIFS($C$3:$Q$3,"MAT",$C31:$Q31,AC$3)=0)*(COUNTIFS($C$3:$Q$3,"GIORNO",$C31:$Q31,AC$3)=0)*(COUNTIFS($C$3:$Q$3,"NOTTE",$C31:$Q31,AC$3)=0)*(COUNTIFS($C$3:$Q$3,"NOTTE",$C30:$Q30,AC$3)=0))=3,AC$3&amp;", ",AC$3&amp;IF((AC31&lt;&gt;"Xm")*(AC31&lt;&gt;"Xg")*(COUNTIFS($C$3:$Q$3,"MAT",$C31:$Q31,AC$3)=0)*(COUNTIFS($C$3:$Q$3,"GIORNO",$C31:$Q31,AC$3)=0)*(COUNTIFS($C$3:$Q$3,"NOTTE",$C31:$Q31,AC$3)=0)*(COUNTIFS($C$3:$Q$3,"NOTTE",$C30:$Q30,AC$3)=0),"_m","")&amp;IF((AC31&lt;&gt;"Xm")*(AC31&lt;&gt;"Xp")*(AC31&lt;&gt;"Xg")*(COUNTIFS($C$3:$Q$3,"MAT",$C31:$Q31,AC$3)=0)*(COUNTIFS($C$3:$Q$3,"GIORNO",$C31:$Q31,AC$3)=0)*(COUNTIFS($C$3:$Q$3,"NOTTE",$C31:$Q31,AC$3)=0)*(COUNTIFS($C$3:$Q$3,"NOTTE",$C30:$Q30,AC$3)=0),"_g","")&amp;IF((AC31&lt;&gt;"Xn")*(COUNTIFS($C$3:$Q$3,"MAT",$C31:$Q31,AC$3)=0)*(COUNTIFS($C$3:$Q$3,"GIORNO",$C31:$Q31,AC$3)=0)*(COUNTIFS($C$3:$Q$3,"NOTTE",$C31:$Q31,AC$3)=0)*(COUNTIFS($C$3:$Q$3,"NOTTE",$C30:$Q30,AC$3)=0),"_n","")&amp;", ")))</f>
        <v xml:space="preserve">ROSSI M, </v>
      </c>
      <c r="CG31" s="9" t="str">
        <f>IF(0+(AD31="X")&gt;0,"",IF(0+((AD31&lt;&gt;"Xm")*(AD31&lt;&gt;"Xg")*(COUNTIFS($C$3:$Q$3,"MAT",$C31:$Q31,AD$3)=0)*(COUNTIFS($C$3:$Q$3,"GIORNO",$C31:$Q31,AD$3)=0)*(COUNTIFS($C$3:$Q$3,"NOTTE",$C31:$Q31,AD$3)=0)*(COUNTIFS($C$3:$Q$3,"NOTTE",$C30:$Q30,AD$3)=0))+((AD31&lt;&gt;"Xm")*(AD31&lt;&gt;"Xp")*(AD31&lt;&gt;"Xg")*(COUNTIFS($C$3:$Q$3,"MAT",$C31:$Q31,AD$3)=0)*(COUNTIFS($C$3:$Q$3,"GIORNO",$C31:$Q31,AD$3)=0)*(COUNTIFS($C$3:$Q$3,"NOTTE",$C31:$Q31,AD$3)=0)*(COUNTIFS($C$3:$Q$3,"NOTTE",$C30:$Q30,AD$3)=0))+((AD31&lt;&gt;"Xn")*(COUNTIFS($C$3:$Q$3,"MAT",$C31:$Q31,AD$3)=0)*(COUNTIFS($C$3:$Q$3,"GIORNO",$C31:$Q31,AD$3)=0)*(COUNTIFS($C$3:$Q$3,"NOTTE",$C31:$Q31,AD$3)=0)*(COUNTIFS($C$3:$Q$3,"NOTTE",$C30:$Q30,AD$3)=0))=0,"",IF(0+((AD31&lt;&gt;"Xm")*(AD31&lt;&gt;"Xg")*(COUNTIFS($C$3:$Q$3,"MAT",$C31:$Q31,AD$3)=0)*(COUNTIFS($C$3:$Q$3,"GIORNO",$C31:$Q31,AD$3)=0)*(COUNTIFS($C$3:$Q$3,"NOTTE",$C31:$Q31,AD$3)=0)*(COUNTIFS($C$3:$Q$3,"NOTTE",$C30:$Q30,AD$3)=0))+((AD31&lt;&gt;"Xm")*(AD31&lt;&gt;"Xp")*(AD31&lt;&gt;"Xg")*(COUNTIFS($C$3:$Q$3,"MAT",$C31:$Q31,AD$3)=0)*(COUNTIFS($C$3:$Q$3,"GIORNO",$C31:$Q31,AD$3)=0)*(COUNTIFS($C$3:$Q$3,"NOTTE",$C31:$Q31,AD$3)=0)*(COUNTIFS($C$3:$Q$3,"NOTTE",$C30:$Q30,AD$3)=0))+((AD31&lt;&gt;"Xn")*(COUNTIFS($C$3:$Q$3,"MAT",$C31:$Q31,AD$3)=0)*(COUNTIFS($C$3:$Q$3,"GIORNO",$C31:$Q31,AD$3)=0)*(COUNTIFS($C$3:$Q$3,"NOTTE",$C31:$Q31,AD$3)=0)*(COUNTIFS($C$3:$Q$3,"NOTTE",$C30:$Q30,AD$3)=0))=3,AD$3&amp;", ",AD$3&amp;IF((AD31&lt;&gt;"Xm")*(AD31&lt;&gt;"Xg")*(COUNTIFS($C$3:$Q$3,"MAT",$C31:$Q31,AD$3)=0)*(COUNTIFS($C$3:$Q$3,"GIORNO",$C31:$Q31,AD$3)=0)*(COUNTIFS($C$3:$Q$3,"NOTTE",$C31:$Q31,AD$3)=0)*(COUNTIFS($C$3:$Q$3,"NOTTE",$C30:$Q30,AD$3)=0),"_m","")&amp;IF((AD31&lt;&gt;"Xm")*(AD31&lt;&gt;"Xp")*(AD31&lt;&gt;"Xg")*(COUNTIFS($C$3:$Q$3,"MAT",$C31:$Q31,AD$3)=0)*(COUNTIFS($C$3:$Q$3,"GIORNO",$C31:$Q31,AD$3)=0)*(COUNTIFS($C$3:$Q$3,"NOTTE",$C31:$Q31,AD$3)=0)*(COUNTIFS($C$3:$Q$3,"NOTTE",$C30:$Q30,AD$3)=0),"_g","")&amp;IF((AD31&lt;&gt;"Xn")*(COUNTIFS($C$3:$Q$3,"MAT",$C31:$Q31,AD$3)=0)*(COUNTIFS($C$3:$Q$3,"GIORNO",$C31:$Q31,AD$3)=0)*(COUNTIFS($C$3:$Q$3,"NOTTE",$C31:$Q31,AD$3)=0)*(COUNTIFS($C$3:$Q$3,"NOTTE",$C30:$Q30,AD$3)=0),"_n","")&amp;", ")))</f>
        <v xml:space="preserve">ROSSI L, </v>
      </c>
      <c r="CH31" s="9" t="str">
        <f>IF(0+(AE31="X")&gt;0,"",IF(0+((AE31&lt;&gt;"Xm")*(AE31&lt;&gt;"Xg")*(COUNTIFS($C$3:$Q$3,"MAT",$C31:$Q31,AE$3)=0)*(COUNTIFS($C$3:$Q$3,"GIORNO",$C31:$Q31,AE$3)=0)*(COUNTIFS($C$3:$Q$3,"NOTTE",$C31:$Q31,AE$3)=0)*(COUNTIFS($C$3:$Q$3,"NOTTE",$C30:$Q30,AE$3)=0))+((AE31&lt;&gt;"Xm")*(AE31&lt;&gt;"Xp")*(AE31&lt;&gt;"Xg")*(COUNTIFS($C$3:$Q$3,"MAT",$C31:$Q31,AE$3)=0)*(COUNTIFS($C$3:$Q$3,"GIORNO",$C31:$Q31,AE$3)=0)*(COUNTIFS($C$3:$Q$3,"NOTTE",$C31:$Q31,AE$3)=0)*(COUNTIFS($C$3:$Q$3,"NOTTE",$C30:$Q30,AE$3)=0))+((AE31&lt;&gt;"Xn")*(COUNTIFS($C$3:$Q$3,"MAT",$C31:$Q31,AE$3)=0)*(COUNTIFS($C$3:$Q$3,"GIORNO",$C31:$Q31,AE$3)=0)*(COUNTIFS($C$3:$Q$3,"NOTTE",$C31:$Q31,AE$3)=0)*(COUNTIFS($C$3:$Q$3,"NOTTE",$C30:$Q30,AE$3)=0))=0,"",IF(0+((AE31&lt;&gt;"Xm")*(AE31&lt;&gt;"Xg")*(COUNTIFS($C$3:$Q$3,"MAT",$C31:$Q31,AE$3)=0)*(COUNTIFS($C$3:$Q$3,"GIORNO",$C31:$Q31,AE$3)=0)*(COUNTIFS($C$3:$Q$3,"NOTTE",$C31:$Q31,AE$3)=0)*(COUNTIFS($C$3:$Q$3,"NOTTE",$C30:$Q30,AE$3)=0))+((AE31&lt;&gt;"Xm")*(AE31&lt;&gt;"Xp")*(AE31&lt;&gt;"Xg")*(COUNTIFS($C$3:$Q$3,"MAT",$C31:$Q31,AE$3)=0)*(COUNTIFS($C$3:$Q$3,"GIORNO",$C31:$Q31,AE$3)=0)*(COUNTIFS($C$3:$Q$3,"NOTTE",$C31:$Q31,AE$3)=0)*(COUNTIFS($C$3:$Q$3,"NOTTE",$C30:$Q30,AE$3)=0))+((AE31&lt;&gt;"Xn")*(COUNTIFS($C$3:$Q$3,"MAT",$C31:$Q31,AE$3)=0)*(COUNTIFS($C$3:$Q$3,"GIORNO",$C31:$Q31,AE$3)=0)*(COUNTIFS($C$3:$Q$3,"NOTTE",$C31:$Q31,AE$3)=0)*(COUNTIFS($C$3:$Q$3,"NOTTE",$C30:$Q30,AE$3)=0))=3,AE$3&amp;", ",AE$3&amp;IF((AE31&lt;&gt;"Xm")*(AE31&lt;&gt;"Xg")*(COUNTIFS($C$3:$Q$3,"MAT",$C31:$Q31,AE$3)=0)*(COUNTIFS($C$3:$Q$3,"GIORNO",$C31:$Q31,AE$3)=0)*(COUNTIFS($C$3:$Q$3,"NOTTE",$C31:$Q31,AE$3)=0)*(COUNTIFS($C$3:$Q$3,"NOTTE",$C30:$Q30,AE$3)=0),"_m","")&amp;IF((AE31&lt;&gt;"Xm")*(AE31&lt;&gt;"Xp")*(AE31&lt;&gt;"Xg")*(COUNTIFS($C$3:$Q$3,"MAT",$C31:$Q31,AE$3)=0)*(COUNTIFS($C$3:$Q$3,"GIORNO",$C31:$Q31,AE$3)=0)*(COUNTIFS($C$3:$Q$3,"NOTTE",$C31:$Q31,AE$3)=0)*(COUNTIFS($C$3:$Q$3,"NOTTE",$C30:$Q30,AE$3)=0),"_g","")&amp;IF((AE31&lt;&gt;"Xn")*(COUNTIFS($C$3:$Q$3,"MAT",$C31:$Q31,AE$3)=0)*(COUNTIFS($C$3:$Q$3,"GIORNO",$C31:$Q31,AE$3)=0)*(COUNTIFS($C$3:$Q$3,"NOTTE",$C31:$Q31,AE$3)=0)*(COUNTIFS($C$3:$Q$3,"NOTTE",$C30:$Q30,AE$3)=0),"_n","")&amp;", ")))</f>
        <v xml:space="preserve">GALLINA, </v>
      </c>
      <c r="CI31" s="9" t="str">
        <f>IF(0+(AF31="X")&gt;0,"",IF(0+((AF31&lt;&gt;"Xm")*(AF31&lt;&gt;"Xg")*(COUNTIFS($C$3:$Q$3,"MAT",$C31:$Q31,AF$3)=0)*(COUNTIFS($C$3:$Q$3,"GIORNO",$C31:$Q31,AF$3)=0)*(COUNTIFS($C$3:$Q$3,"NOTTE",$C31:$Q31,AF$3)=0)*(COUNTIFS($C$3:$Q$3,"NOTTE",$C30:$Q30,AF$3)=0))+((AF31&lt;&gt;"Xm")*(AF31&lt;&gt;"Xp")*(AF31&lt;&gt;"Xg")*(COUNTIFS($C$3:$Q$3,"MAT",$C31:$Q31,AF$3)=0)*(COUNTIFS($C$3:$Q$3,"GIORNO",$C31:$Q31,AF$3)=0)*(COUNTIFS($C$3:$Q$3,"NOTTE",$C31:$Q31,AF$3)=0)*(COUNTIFS($C$3:$Q$3,"NOTTE",$C30:$Q30,AF$3)=0))+((AF31&lt;&gt;"Xn")*(COUNTIFS($C$3:$Q$3,"MAT",$C31:$Q31,AF$3)=0)*(COUNTIFS($C$3:$Q$3,"GIORNO",$C31:$Q31,AF$3)=0)*(COUNTIFS($C$3:$Q$3,"NOTTE",$C31:$Q31,AF$3)=0)*(COUNTIFS($C$3:$Q$3,"NOTTE",$C30:$Q30,AF$3)=0))=0,"",IF(0+((AF31&lt;&gt;"Xm")*(AF31&lt;&gt;"Xg")*(COUNTIFS($C$3:$Q$3,"MAT",$C31:$Q31,AF$3)=0)*(COUNTIFS($C$3:$Q$3,"GIORNO",$C31:$Q31,AF$3)=0)*(COUNTIFS($C$3:$Q$3,"NOTTE",$C31:$Q31,AF$3)=0)*(COUNTIFS($C$3:$Q$3,"NOTTE",$C30:$Q30,AF$3)=0))+((AF31&lt;&gt;"Xm")*(AF31&lt;&gt;"Xp")*(AF31&lt;&gt;"Xg")*(COUNTIFS($C$3:$Q$3,"MAT",$C31:$Q31,AF$3)=0)*(COUNTIFS($C$3:$Q$3,"GIORNO",$C31:$Q31,AF$3)=0)*(COUNTIFS($C$3:$Q$3,"NOTTE",$C31:$Q31,AF$3)=0)*(COUNTIFS($C$3:$Q$3,"NOTTE",$C30:$Q30,AF$3)=0))+((AF31&lt;&gt;"Xn")*(COUNTIFS($C$3:$Q$3,"MAT",$C31:$Q31,AF$3)=0)*(COUNTIFS($C$3:$Q$3,"GIORNO",$C31:$Q31,AF$3)=0)*(COUNTIFS($C$3:$Q$3,"NOTTE",$C31:$Q31,AF$3)=0)*(COUNTIFS($C$3:$Q$3,"NOTTE",$C30:$Q30,AF$3)=0))=3,AF$3&amp;", ",AF$3&amp;IF((AF31&lt;&gt;"Xm")*(AF31&lt;&gt;"Xg")*(COUNTIFS($C$3:$Q$3,"MAT",$C31:$Q31,AF$3)=0)*(COUNTIFS($C$3:$Q$3,"GIORNO",$C31:$Q31,AF$3)=0)*(COUNTIFS($C$3:$Q$3,"NOTTE",$C31:$Q31,AF$3)=0)*(COUNTIFS($C$3:$Q$3,"NOTTE",$C30:$Q30,AF$3)=0),"_m","")&amp;IF((AF31&lt;&gt;"Xm")*(AF31&lt;&gt;"Xp")*(AF31&lt;&gt;"Xg")*(COUNTIFS($C$3:$Q$3,"MAT",$C31:$Q31,AF$3)=0)*(COUNTIFS($C$3:$Q$3,"GIORNO",$C31:$Q31,AF$3)=0)*(COUNTIFS($C$3:$Q$3,"NOTTE",$C31:$Q31,AF$3)=0)*(COUNTIFS($C$3:$Q$3,"NOTTE",$C30:$Q30,AF$3)=0),"_g","")&amp;IF((AF31&lt;&gt;"Xn")*(COUNTIFS($C$3:$Q$3,"MAT",$C31:$Q31,AF$3)=0)*(COUNTIFS($C$3:$Q$3,"GIORNO",$C31:$Q31,AF$3)=0)*(COUNTIFS($C$3:$Q$3,"NOTTE",$C31:$Q31,AF$3)=0)*(COUNTIFS($C$3:$Q$3,"NOTTE",$C30:$Q30,AF$3)=0),"_n","")&amp;", ")))</f>
        <v xml:space="preserve">RUSSO, </v>
      </c>
      <c r="CJ31" s="9" t="str">
        <f>IF(0+(AG31="X")&gt;0,"",IF(0+((AG31&lt;&gt;"Xm")*(AG31&lt;&gt;"Xg")*(COUNTIFS($C$3:$Q$3,"MAT",$C31:$Q31,AG$3)=0)*(COUNTIFS($C$3:$Q$3,"GIORNO",$C31:$Q31,AG$3)=0)*(COUNTIFS($C$3:$Q$3,"NOTTE",$C31:$Q31,AG$3)=0)*(COUNTIFS($C$3:$Q$3,"NOTTE",$C30:$Q30,AG$3)=0))+((AG31&lt;&gt;"Xm")*(AG31&lt;&gt;"Xp")*(AG31&lt;&gt;"Xg")*(COUNTIFS($C$3:$Q$3,"MAT",$C31:$Q31,AG$3)=0)*(COUNTIFS($C$3:$Q$3,"GIORNO",$C31:$Q31,AG$3)=0)*(COUNTIFS($C$3:$Q$3,"NOTTE",$C31:$Q31,AG$3)=0)*(COUNTIFS($C$3:$Q$3,"NOTTE",$C30:$Q30,AG$3)=0))+((AG31&lt;&gt;"Xn")*(COUNTIFS($C$3:$Q$3,"MAT",$C31:$Q31,AG$3)=0)*(COUNTIFS($C$3:$Q$3,"GIORNO",$C31:$Q31,AG$3)=0)*(COUNTIFS($C$3:$Q$3,"NOTTE",$C31:$Q31,AG$3)=0)*(COUNTIFS($C$3:$Q$3,"NOTTE",$C30:$Q30,AG$3)=0))=0,"",IF(0+((AG31&lt;&gt;"Xm")*(AG31&lt;&gt;"Xg")*(COUNTIFS($C$3:$Q$3,"MAT",$C31:$Q31,AG$3)=0)*(COUNTIFS($C$3:$Q$3,"GIORNO",$C31:$Q31,AG$3)=0)*(COUNTIFS($C$3:$Q$3,"NOTTE",$C31:$Q31,AG$3)=0)*(COUNTIFS($C$3:$Q$3,"NOTTE",$C30:$Q30,AG$3)=0))+((AG31&lt;&gt;"Xm")*(AG31&lt;&gt;"Xp")*(AG31&lt;&gt;"Xg")*(COUNTIFS($C$3:$Q$3,"MAT",$C31:$Q31,AG$3)=0)*(COUNTIFS($C$3:$Q$3,"GIORNO",$C31:$Q31,AG$3)=0)*(COUNTIFS($C$3:$Q$3,"NOTTE",$C31:$Q31,AG$3)=0)*(COUNTIFS($C$3:$Q$3,"NOTTE",$C30:$Q30,AG$3)=0))+((AG31&lt;&gt;"Xn")*(COUNTIFS($C$3:$Q$3,"MAT",$C31:$Q31,AG$3)=0)*(COUNTIFS($C$3:$Q$3,"GIORNO",$C31:$Q31,AG$3)=0)*(COUNTIFS($C$3:$Q$3,"NOTTE",$C31:$Q31,AG$3)=0)*(COUNTIFS($C$3:$Q$3,"NOTTE",$C30:$Q30,AG$3)=0))=3,AG$3&amp;", ",AG$3&amp;IF((AG31&lt;&gt;"Xm")*(AG31&lt;&gt;"Xg")*(COUNTIFS($C$3:$Q$3,"MAT",$C31:$Q31,AG$3)=0)*(COUNTIFS($C$3:$Q$3,"GIORNO",$C31:$Q31,AG$3)=0)*(COUNTIFS($C$3:$Q$3,"NOTTE",$C31:$Q31,AG$3)=0)*(COUNTIFS($C$3:$Q$3,"NOTTE",$C30:$Q30,AG$3)=0),"_m","")&amp;IF((AG31&lt;&gt;"Xm")*(AG31&lt;&gt;"Xp")*(AG31&lt;&gt;"Xg")*(COUNTIFS($C$3:$Q$3,"MAT",$C31:$Q31,AG$3)=0)*(COUNTIFS($C$3:$Q$3,"GIORNO",$C31:$Q31,AG$3)=0)*(COUNTIFS($C$3:$Q$3,"NOTTE",$C31:$Q31,AG$3)=0)*(COUNTIFS($C$3:$Q$3,"NOTTE",$C30:$Q30,AG$3)=0),"_g","")&amp;IF((AG31&lt;&gt;"Xn")*(COUNTIFS($C$3:$Q$3,"MAT",$C31:$Q31,AG$3)=0)*(COUNTIFS($C$3:$Q$3,"GIORNO",$C31:$Q31,AG$3)=0)*(COUNTIFS($C$3:$Q$3,"NOTTE",$C31:$Q31,AG$3)=0)*(COUNTIFS($C$3:$Q$3,"NOTTE",$C30:$Q30,AG$3)=0),"_n","")&amp;", ")))</f>
        <v xml:space="preserve">VERDI, </v>
      </c>
      <c r="CK31" s="9" t="str">
        <f>IF(0+(AH31="X")&gt;0,"",IF(0+((AH31&lt;&gt;"Xm")*(AH31&lt;&gt;"Xg")*(COUNTIFS($C$3:$Q$3,"MAT",$C31:$Q31,AH$3)=0)*(COUNTIFS($C$3:$Q$3,"GIORNO",$C31:$Q31,AH$3)=0)*(COUNTIFS($C$3:$Q$3,"NOTTE",$C31:$Q31,AH$3)=0)*(COUNTIFS($C$3:$Q$3,"NOTTE",$C30:$Q30,AH$3)=0))+((AH31&lt;&gt;"Xm")*(AH31&lt;&gt;"Xp")*(AH31&lt;&gt;"Xg")*(COUNTIFS($C$3:$Q$3,"MAT",$C31:$Q31,AH$3)=0)*(COUNTIFS($C$3:$Q$3,"GIORNO",$C31:$Q31,AH$3)=0)*(COUNTIFS($C$3:$Q$3,"NOTTE",$C31:$Q31,AH$3)=0)*(COUNTIFS($C$3:$Q$3,"NOTTE",$C30:$Q30,AH$3)=0))+((AH31&lt;&gt;"Xn")*(COUNTIFS($C$3:$Q$3,"MAT",$C31:$Q31,AH$3)=0)*(COUNTIFS($C$3:$Q$3,"GIORNO",$C31:$Q31,AH$3)=0)*(COUNTIFS($C$3:$Q$3,"NOTTE",$C31:$Q31,AH$3)=0)*(COUNTIFS($C$3:$Q$3,"NOTTE",$C30:$Q30,AH$3)=0))=0,"",IF(0+((AH31&lt;&gt;"Xm")*(AH31&lt;&gt;"Xg")*(COUNTIFS($C$3:$Q$3,"MAT",$C31:$Q31,AH$3)=0)*(COUNTIFS($C$3:$Q$3,"GIORNO",$C31:$Q31,AH$3)=0)*(COUNTIFS($C$3:$Q$3,"NOTTE",$C31:$Q31,AH$3)=0)*(COUNTIFS($C$3:$Q$3,"NOTTE",$C30:$Q30,AH$3)=0))+((AH31&lt;&gt;"Xm")*(AH31&lt;&gt;"Xp")*(AH31&lt;&gt;"Xg")*(COUNTIFS($C$3:$Q$3,"MAT",$C31:$Q31,AH$3)=0)*(COUNTIFS($C$3:$Q$3,"GIORNO",$C31:$Q31,AH$3)=0)*(COUNTIFS($C$3:$Q$3,"NOTTE",$C31:$Q31,AH$3)=0)*(COUNTIFS($C$3:$Q$3,"NOTTE",$C30:$Q30,AH$3)=0))+((AH31&lt;&gt;"Xn")*(COUNTIFS($C$3:$Q$3,"MAT",$C31:$Q31,AH$3)=0)*(COUNTIFS($C$3:$Q$3,"GIORNO",$C31:$Q31,AH$3)=0)*(COUNTIFS($C$3:$Q$3,"NOTTE",$C31:$Q31,AH$3)=0)*(COUNTIFS($C$3:$Q$3,"NOTTE",$C30:$Q30,AH$3)=0))=3,AH$3&amp;", ",AH$3&amp;IF((AH31&lt;&gt;"Xm")*(AH31&lt;&gt;"Xg")*(COUNTIFS($C$3:$Q$3,"MAT",$C31:$Q31,AH$3)=0)*(COUNTIFS($C$3:$Q$3,"GIORNO",$C31:$Q31,AH$3)=0)*(COUNTIFS($C$3:$Q$3,"NOTTE",$C31:$Q31,AH$3)=0)*(COUNTIFS($C$3:$Q$3,"NOTTE",$C30:$Q30,AH$3)=0),"_m","")&amp;IF((AH31&lt;&gt;"Xm")*(AH31&lt;&gt;"Xp")*(AH31&lt;&gt;"Xg")*(COUNTIFS($C$3:$Q$3,"MAT",$C31:$Q31,AH$3)=0)*(COUNTIFS($C$3:$Q$3,"GIORNO",$C31:$Q31,AH$3)=0)*(COUNTIFS($C$3:$Q$3,"NOTTE",$C31:$Q31,AH$3)=0)*(COUNTIFS($C$3:$Q$3,"NOTTE",$C30:$Q30,AH$3)=0),"_g","")&amp;IF((AH31&lt;&gt;"Xn")*(COUNTIFS($C$3:$Q$3,"MAT",$C31:$Q31,AH$3)=0)*(COUNTIFS($C$3:$Q$3,"GIORNO",$C31:$Q31,AH$3)=0)*(COUNTIFS($C$3:$Q$3,"NOTTE",$C31:$Q31,AH$3)=0)*(COUNTIFS($C$3:$Q$3,"NOTTE",$C30:$Q30,AH$3)=0),"_n","")&amp;", ")))</f>
        <v xml:space="preserve">HU, </v>
      </c>
      <c r="CL31" s="9" t="str">
        <f>IF(0+(AI31="X")&gt;0,"",IF(0+((AI31&lt;&gt;"Xm")*(AI31&lt;&gt;"Xg")*(COUNTIFS($C$3:$Q$3,"MAT",$C31:$Q31,AI$3)=0)*(COUNTIFS($C$3:$Q$3,"GIORNO",$C31:$Q31,AI$3)=0)*(COUNTIFS($C$3:$Q$3,"NOTTE",$C31:$Q31,AI$3)=0)*(COUNTIFS($C$3:$Q$3,"NOTTE",$C30:$Q30,AI$3)=0))+((AI31&lt;&gt;"Xm")*(AI31&lt;&gt;"Xp")*(AI31&lt;&gt;"Xg")*(COUNTIFS($C$3:$Q$3,"MAT",$C31:$Q31,AI$3)=0)*(COUNTIFS($C$3:$Q$3,"GIORNO",$C31:$Q31,AI$3)=0)*(COUNTIFS($C$3:$Q$3,"NOTTE",$C31:$Q31,AI$3)=0)*(COUNTIFS($C$3:$Q$3,"NOTTE",$C30:$Q30,AI$3)=0))+((AI31&lt;&gt;"Xn")*(COUNTIFS($C$3:$Q$3,"MAT",$C31:$Q31,AI$3)=0)*(COUNTIFS($C$3:$Q$3,"GIORNO",$C31:$Q31,AI$3)=0)*(COUNTIFS($C$3:$Q$3,"NOTTE",$C31:$Q31,AI$3)=0)*(COUNTIFS($C$3:$Q$3,"NOTTE",$C30:$Q30,AI$3)=0))=0,"",IF(0+((AI31&lt;&gt;"Xm")*(AI31&lt;&gt;"Xg")*(COUNTIFS($C$3:$Q$3,"MAT",$C31:$Q31,AI$3)=0)*(COUNTIFS($C$3:$Q$3,"GIORNO",$C31:$Q31,AI$3)=0)*(COUNTIFS($C$3:$Q$3,"NOTTE",$C31:$Q31,AI$3)=0)*(COUNTIFS($C$3:$Q$3,"NOTTE",$C30:$Q30,AI$3)=0))+((AI31&lt;&gt;"Xm")*(AI31&lt;&gt;"Xp")*(AI31&lt;&gt;"Xg")*(COUNTIFS($C$3:$Q$3,"MAT",$C31:$Q31,AI$3)=0)*(COUNTIFS($C$3:$Q$3,"GIORNO",$C31:$Q31,AI$3)=0)*(COUNTIFS($C$3:$Q$3,"NOTTE",$C31:$Q31,AI$3)=0)*(COUNTIFS($C$3:$Q$3,"NOTTE",$C30:$Q30,AI$3)=0))+((AI31&lt;&gt;"Xn")*(COUNTIFS($C$3:$Q$3,"MAT",$C31:$Q31,AI$3)=0)*(COUNTIFS($C$3:$Q$3,"GIORNO",$C31:$Q31,AI$3)=0)*(COUNTIFS($C$3:$Q$3,"NOTTE",$C31:$Q31,AI$3)=0)*(COUNTIFS($C$3:$Q$3,"NOTTE",$C30:$Q30,AI$3)=0))=3,AI$3&amp;", ",AI$3&amp;IF((AI31&lt;&gt;"Xm")*(AI31&lt;&gt;"Xg")*(COUNTIFS($C$3:$Q$3,"MAT",$C31:$Q31,AI$3)=0)*(COUNTIFS($C$3:$Q$3,"GIORNO",$C31:$Q31,AI$3)=0)*(COUNTIFS($C$3:$Q$3,"NOTTE",$C31:$Q31,AI$3)=0)*(COUNTIFS($C$3:$Q$3,"NOTTE",$C30:$Q30,AI$3)=0),"_m","")&amp;IF((AI31&lt;&gt;"Xm")*(AI31&lt;&gt;"Xp")*(AI31&lt;&gt;"Xg")*(COUNTIFS($C$3:$Q$3,"MAT",$C31:$Q31,AI$3)=0)*(COUNTIFS($C$3:$Q$3,"GIORNO",$C31:$Q31,AI$3)=0)*(COUNTIFS($C$3:$Q$3,"NOTTE",$C31:$Q31,AI$3)=0)*(COUNTIFS($C$3:$Q$3,"NOTTE",$C30:$Q30,AI$3)=0),"_g","")&amp;IF((AI31&lt;&gt;"Xn")*(COUNTIFS($C$3:$Q$3,"MAT",$C31:$Q31,AI$3)=0)*(COUNTIFS($C$3:$Q$3,"GIORNO",$C31:$Q31,AI$3)=0)*(COUNTIFS($C$3:$Q$3,"NOTTE",$C31:$Q31,AI$3)=0)*(COUNTIFS($C$3:$Q$3,"NOTTE",$C30:$Q30,AI$3)=0),"_n","")&amp;", ")))</f>
        <v xml:space="preserve">MARINI, </v>
      </c>
      <c r="CM31" s="9" t="str">
        <f>IF(0+(AJ31="X")&gt;0,"",IF(0+((AJ31&lt;&gt;"Xm")*(AJ31&lt;&gt;"Xg")*(COUNTIFS($C$3:$Q$3,"MAT",$C31:$Q31,AJ$3)=0)*(COUNTIFS($C$3:$Q$3,"GIORNO",$C31:$Q31,AJ$3)=0)*(COUNTIFS($C$3:$Q$3,"NOTTE",$C31:$Q31,AJ$3)=0)*(COUNTIFS($C$3:$Q$3,"NOTTE",$C30:$Q30,AJ$3)=0))+((AJ31&lt;&gt;"Xm")*(AJ31&lt;&gt;"Xp")*(AJ31&lt;&gt;"Xg")*(COUNTIFS($C$3:$Q$3,"MAT",$C31:$Q31,AJ$3)=0)*(COUNTIFS($C$3:$Q$3,"GIORNO",$C31:$Q31,AJ$3)=0)*(COUNTIFS($C$3:$Q$3,"NOTTE",$C31:$Q31,AJ$3)=0)*(COUNTIFS($C$3:$Q$3,"NOTTE",$C30:$Q30,AJ$3)=0))+((AJ31&lt;&gt;"Xn")*(COUNTIFS($C$3:$Q$3,"MAT",$C31:$Q31,AJ$3)=0)*(COUNTIFS($C$3:$Q$3,"GIORNO",$C31:$Q31,AJ$3)=0)*(COUNTIFS($C$3:$Q$3,"NOTTE",$C31:$Q31,AJ$3)=0)*(COUNTIFS($C$3:$Q$3,"NOTTE",$C30:$Q30,AJ$3)=0))=0,"",IF(0+((AJ31&lt;&gt;"Xm")*(AJ31&lt;&gt;"Xg")*(COUNTIFS($C$3:$Q$3,"MAT",$C31:$Q31,AJ$3)=0)*(COUNTIFS($C$3:$Q$3,"GIORNO",$C31:$Q31,AJ$3)=0)*(COUNTIFS($C$3:$Q$3,"NOTTE",$C31:$Q31,AJ$3)=0)*(COUNTIFS($C$3:$Q$3,"NOTTE",$C30:$Q30,AJ$3)=0))+((AJ31&lt;&gt;"Xm")*(AJ31&lt;&gt;"Xp")*(AJ31&lt;&gt;"Xg")*(COUNTIFS($C$3:$Q$3,"MAT",$C31:$Q31,AJ$3)=0)*(COUNTIFS($C$3:$Q$3,"GIORNO",$C31:$Q31,AJ$3)=0)*(COUNTIFS($C$3:$Q$3,"NOTTE",$C31:$Q31,AJ$3)=0)*(COUNTIFS($C$3:$Q$3,"NOTTE",$C30:$Q30,AJ$3)=0))+((AJ31&lt;&gt;"Xn")*(COUNTIFS($C$3:$Q$3,"MAT",$C31:$Q31,AJ$3)=0)*(COUNTIFS($C$3:$Q$3,"GIORNO",$C31:$Q31,AJ$3)=0)*(COUNTIFS($C$3:$Q$3,"NOTTE",$C31:$Q31,AJ$3)=0)*(COUNTIFS($C$3:$Q$3,"NOTTE",$C30:$Q30,AJ$3)=0))=3,AJ$3&amp;", ",AJ$3&amp;IF((AJ31&lt;&gt;"Xm")*(AJ31&lt;&gt;"Xg")*(COUNTIFS($C$3:$Q$3,"MAT",$C31:$Q31,AJ$3)=0)*(COUNTIFS($C$3:$Q$3,"GIORNO",$C31:$Q31,AJ$3)=0)*(COUNTIFS($C$3:$Q$3,"NOTTE",$C31:$Q31,AJ$3)=0)*(COUNTIFS($C$3:$Q$3,"NOTTE",$C30:$Q30,AJ$3)=0),"_m","")&amp;IF((AJ31&lt;&gt;"Xm")*(AJ31&lt;&gt;"Xp")*(AJ31&lt;&gt;"Xg")*(COUNTIFS($C$3:$Q$3,"MAT",$C31:$Q31,AJ$3)=0)*(COUNTIFS($C$3:$Q$3,"GIORNO",$C31:$Q31,AJ$3)=0)*(COUNTIFS($C$3:$Q$3,"NOTTE",$C31:$Q31,AJ$3)=0)*(COUNTIFS($C$3:$Q$3,"NOTTE",$C30:$Q30,AJ$3)=0),"_g","")&amp;IF((AJ31&lt;&gt;"Xn")*(COUNTIFS($C$3:$Q$3,"MAT",$C31:$Q31,AJ$3)=0)*(COUNTIFS($C$3:$Q$3,"GIORNO",$C31:$Q31,AJ$3)=0)*(COUNTIFS($C$3:$Q$3,"NOTTE",$C31:$Q31,AJ$3)=0)*(COUNTIFS($C$3:$Q$3,"NOTTE",$C30:$Q30,AJ$3)=0),"_n","")&amp;", ")))</f>
        <v xml:space="preserve">CONTI A, </v>
      </c>
      <c r="CN31" s="9" t="str">
        <f>IF(0+(AK31="X")&gt;0,"",IF(0+((AK31&lt;&gt;"Xm")*(AK31&lt;&gt;"Xg")*(COUNTIFS($C$3:$Q$3,"MAT",$C31:$Q31,AK$3)=0)*(COUNTIFS($C$3:$Q$3,"GIORNO",$C31:$Q31,AK$3)=0)*(COUNTIFS($C$3:$Q$3,"NOTTE",$C31:$Q31,AK$3)=0)*(COUNTIFS($C$3:$Q$3,"NOTTE",$C30:$Q30,AK$3)=0))+((AK31&lt;&gt;"Xm")*(AK31&lt;&gt;"Xp")*(AK31&lt;&gt;"Xg")*(COUNTIFS($C$3:$Q$3,"MAT",$C31:$Q31,AK$3)=0)*(COUNTIFS($C$3:$Q$3,"GIORNO",$C31:$Q31,AK$3)=0)*(COUNTIFS($C$3:$Q$3,"NOTTE",$C31:$Q31,AK$3)=0)*(COUNTIFS($C$3:$Q$3,"NOTTE",$C30:$Q30,AK$3)=0))+((AK31&lt;&gt;"Xn")*(COUNTIFS($C$3:$Q$3,"MAT",$C31:$Q31,AK$3)=0)*(COUNTIFS($C$3:$Q$3,"GIORNO",$C31:$Q31,AK$3)=0)*(COUNTIFS($C$3:$Q$3,"NOTTE",$C31:$Q31,AK$3)=0)*(COUNTIFS($C$3:$Q$3,"NOTTE",$C30:$Q30,AK$3)=0))=0,"",IF(0+((AK31&lt;&gt;"Xm")*(AK31&lt;&gt;"Xg")*(COUNTIFS($C$3:$Q$3,"MAT",$C31:$Q31,AK$3)=0)*(COUNTIFS($C$3:$Q$3,"GIORNO",$C31:$Q31,AK$3)=0)*(COUNTIFS($C$3:$Q$3,"NOTTE",$C31:$Q31,AK$3)=0)*(COUNTIFS($C$3:$Q$3,"NOTTE",$C30:$Q30,AK$3)=0))+((AK31&lt;&gt;"Xm")*(AK31&lt;&gt;"Xp")*(AK31&lt;&gt;"Xg")*(COUNTIFS($C$3:$Q$3,"MAT",$C31:$Q31,AK$3)=0)*(COUNTIFS($C$3:$Q$3,"GIORNO",$C31:$Q31,AK$3)=0)*(COUNTIFS($C$3:$Q$3,"NOTTE",$C31:$Q31,AK$3)=0)*(COUNTIFS($C$3:$Q$3,"NOTTE",$C30:$Q30,AK$3)=0))+((AK31&lt;&gt;"Xn")*(COUNTIFS($C$3:$Q$3,"MAT",$C31:$Q31,AK$3)=0)*(COUNTIFS($C$3:$Q$3,"GIORNO",$C31:$Q31,AK$3)=0)*(COUNTIFS($C$3:$Q$3,"NOTTE",$C31:$Q31,AK$3)=0)*(COUNTIFS($C$3:$Q$3,"NOTTE",$C30:$Q30,AK$3)=0))=3,AK$3&amp;", ",AK$3&amp;IF((AK31&lt;&gt;"Xm")*(AK31&lt;&gt;"Xg")*(COUNTIFS($C$3:$Q$3,"MAT",$C31:$Q31,AK$3)=0)*(COUNTIFS($C$3:$Q$3,"GIORNO",$C31:$Q31,AK$3)=0)*(COUNTIFS($C$3:$Q$3,"NOTTE",$C31:$Q31,AK$3)=0)*(COUNTIFS($C$3:$Q$3,"NOTTE",$C30:$Q30,AK$3)=0),"_m","")&amp;IF((AK31&lt;&gt;"Xm")*(AK31&lt;&gt;"Xp")*(AK31&lt;&gt;"Xg")*(COUNTIFS($C$3:$Q$3,"MAT",$C31:$Q31,AK$3)=0)*(COUNTIFS($C$3:$Q$3,"GIORNO",$C31:$Q31,AK$3)=0)*(COUNTIFS($C$3:$Q$3,"NOTTE",$C31:$Q31,AK$3)=0)*(COUNTIFS($C$3:$Q$3,"NOTTE",$C30:$Q30,AK$3)=0),"_g","")&amp;IF((AK31&lt;&gt;"Xn")*(COUNTIFS($C$3:$Q$3,"MAT",$C31:$Q31,AK$3)=0)*(COUNTIFS($C$3:$Q$3,"GIORNO",$C31:$Q31,AK$3)=0)*(COUNTIFS($C$3:$Q$3,"NOTTE",$C31:$Q31,AK$3)=0)*(COUNTIFS($C$3:$Q$3,"NOTTE",$C30:$Q30,AK$3)=0),"_n","")&amp;", ")))</f>
        <v xml:space="preserve">CONTI S, </v>
      </c>
      <c r="CO31" s="9" t="str">
        <f>IF(0+(AL31="X")&gt;0,"",IF(0+((AL31&lt;&gt;"Xm")*(AL31&lt;&gt;"Xg")*(COUNTIFS($C$3:$Q$3,"MAT",$C31:$Q31,AL$3)=0)*(COUNTIFS($C$3:$Q$3,"GIORNO",$C31:$Q31,AL$3)=0)*(COUNTIFS($C$3:$Q$3,"NOTTE",$C31:$Q31,AL$3)=0)*(COUNTIFS($C$3:$Q$3,"NOTTE",$C30:$Q30,AL$3)=0))+((AL31&lt;&gt;"Xm")*(AL31&lt;&gt;"Xp")*(AL31&lt;&gt;"Xg")*(COUNTIFS($C$3:$Q$3,"MAT",$C31:$Q31,AL$3)=0)*(COUNTIFS($C$3:$Q$3,"GIORNO",$C31:$Q31,AL$3)=0)*(COUNTIFS($C$3:$Q$3,"NOTTE",$C31:$Q31,AL$3)=0)*(COUNTIFS($C$3:$Q$3,"NOTTE",$C30:$Q30,AL$3)=0))+((AL31&lt;&gt;"Xn")*(COUNTIFS($C$3:$Q$3,"MAT",$C31:$Q31,AL$3)=0)*(COUNTIFS($C$3:$Q$3,"GIORNO",$C31:$Q31,AL$3)=0)*(COUNTIFS($C$3:$Q$3,"NOTTE",$C31:$Q31,AL$3)=0)*(COUNTIFS($C$3:$Q$3,"NOTTE",$C30:$Q30,AL$3)=0))=0,"",IF(0+((AL31&lt;&gt;"Xm")*(AL31&lt;&gt;"Xg")*(COUNTIFS($C$3:$Q$3,"MAT",$C31:$Q31,AL$3)=0)*(COUNTIFS($C$3:$Q$3,"GIORNO",$C31:$Q31,AL$3)=0)*(COUNTIFS($C$3:$Q$3,"NOTTE",$C31:$Q31,AL$3)=0)*(COUNTIFS($C$3:$Q$3,"NOTTE",$C30:$Q30,AL$3)=0))+((AL31&lt;&gt;"Xm")*(AL31&lt;&gt;"Xp")*(AL31&lt;&gt;"Xg")*(COUNTIFS($C$3:$Q$3,"MAT",$C31:$Q31,AL$3)=0)*(COUNTIFS($C$3:$Q$3,"GIORNO",$C31:$Q31,AL$3)=0)*(COUNTIFS($C$3:$Q$3,"NOTTE",$C31:$Q31,AL$3)=0)*(COUNTIFS($C$3:$Q$3,"NOTTE",$C30:$Q30,AL$3)=0))+((AL31&lt;&gt;"Xn")*(COUNTIFS($C$3:$Q$3,"MAT",$C31:$Q31,AL$3)=0)*(COUNTIFS($C$3:$Q$3,"GIORNO",$C31:$Q31,AL$3)=0)*(COUNTIFS($C$3:$Q$3,"NOTTE",$C31:$Q31,AL$3)=0)*(COUNTIFS($C$3:$Q$3,"NOTTE",$C30:$Q30,AL$3)=0))=3,AL$3&amp;", ",AL$3&amp;IF((AL31&lt;&gt;"Xm")*(AL31&lt;&gt;"Xg")*(COUNTIFS($C$3:$Q$3,"MAT",$C31:$Q31,AL$3)=0)*(COUNTIFS($C$3:$Q$3,"GIORNO",$C31:$Q31,AL$3)=0)*(COUNTIFS($C$3:$Q$3,"NOTTE",$C31:$Q31,AL$3)=0)*(COUNTIFS($C$3:$Q$3,"NOTTE",$C30:$Q30,AL$3)=0),"_m","")&amp;IF((AL31&lt;&gt;"Xm")*(AL31&lt;&gt;"Xp")*(AL31&lt;&gt;"Xg")*(COUNTIFS($C$3:$Q$3,"MAT",$C31:$Q31,AL$3)=0)*(COUNTIFS($C$3:$Q$3,"GIORNO",$C31:$Q31,AL$3)=0)*(COUNTIFS($C$3:$Q$3,"NOTTE",$C31:$Q31,AL$3)=0)*(COUNTIFS($C$3:$Q$3,"NOTTE",$C30:$Q30,AL$3)=0),"_g","")&amp;IF((AL31&lt;&gt;"Xn")*(COUNTIFS($C$3:$Q$3,"MAT",$C31:$Q31,AL$3)=0)*(COUNTIFS($C$3:$Q$3,"GIORNO",$C31:$Q31,AL$3)=0)*(COUNTIFS($C$3:$Q$3,"NOTTE",$C31:$Q31,AL$3)=0)*(COUNTIFS($C$3:$Q$3,"NOTTE",$C30:$Q30,AL$3)=0),"_n","")&amp;", ")))</f>
        <v xml:space="preserve">FERRARI, </v>
      </c>
      <c r="CP31" s="9" t="str">
        <f>IF(0+(AM31="X")&gt;0,"",IF(0+((AM31&lt;&gt;"Xm")*(AM31&lt;&gt;"Xg")*(COUNTIFS($C$3:$Q$3,"MAT",$C31:$Q31,AM$3)=0)*(COUNTIFS($C$3:$Q$3,"GIORNO",$C31:$Q31,AM$3)=0)*(COUNTIFS($C$3:$Q$3,"NOTTE",$C31:$Q31,AM$3)=0)*(COUNTIFS($C$3:$Q$3,"NOTTE",$C30:$Q30,AM$3)=0))+((AM31&lt;&gt;"Xm")*(AM31&lt;&gt;"Xp")*(AM31&lt;&gt;"Xg")*(COUNTIFS($C$3:$Q$3,"MAT",$C31:$Q31,AM$3)=0)*(COUNTIFS($C$3:$Q$3,"GIORNO",$C31:$Q31,AM$3)=0)*(COUNTIFS($C$3:$Q$3,"NOTTE",$C31:$Q31,AM$3)=0)*(COUNTIFS($C$3:$Q$3,"NOTTE",$C30:$Q30,AM$3)=0))+((AM31&lt;&gt;"Xn")*(COUNTIFS($C$3:$Q$3,"MAT",$C31:$Q31,AM$3)=0)*(COUNTIFS($C$3:$Q$3,"GIORNO",$C31:$Q31,AM$3)=0)*(COUNTIFS($C$3:$Q$3,"NOTTE",$C31:$Q31,AM$3)=0)*(COUNTIFS($C$3:$Q$3,"NOTTE",$C30:$Q30,AM$3)=0))=0,"",IF(0+((AM31&lt;&gt;"Xm")*(AM31&lt;&gt;"Xg")*(COUNTIFS($C$3:$Q$3,"MAT",$C31:$Q31,AM$3)=0)*(COUNTIFS($C$3:$Q$3,"GIORNO",$C31:$Q31,AM$3)=0)*(COUNTIFS($C$3:$Q$3,"NOTTE",$C31:$Q31,AM$3)=0)*(COUNTIFS($C$3:$Q$3,"NOTTE",$C30:$Q30,AM$3)=0))+((AM31&lt;&gt;"Xm")*(AM31&lt;&gt;"Xp")*(AM31&lt;&gt;"Xg")*(COUNTIFS($C$3:$Q$3,"MAT",$C31:$Q31,AM$3)=0)*(COUNTIFS($C$3:$Q$3,"GIORNO",$C31:$Q31,AM$3)=0)*(COUNTIFS($C$3:$Q$3,"NOTTE",$C31:$Q31,AM$3)=0)*(COUNTIFS($C$3:$Q$3,"NOTTE",$C30:$Q30,AM$3)=0))+((AM31&lt;&gt;"Xn")*(COUNTIFS($C$3:$Q$3,"MAT",$C31:$Q31,AM$3)=0)*(COUNTIFS($C$3:$Q$3,"GIORNO",$C31:$Q31,AM$3)=0)*(COUNTIFS($C$3:$Q$3,"NOTTE",$C31:$Q31,AM$3)=0)*(COUNTIFS($C$3:$Q$3,"NOTTE",$C30:$Q30,AM$3)=0))=3,AM$3&amp;", ",AM$3&amp;IF((AM31&lt;&gt;"Xm")*(AM31&lt;&gt;"Xg")*(COUNTIFS($C$3:$Q$3,"MAT",$C31:$Q31,AM$3)=0)*(COUNTIFS($C$3:$Q$3,"GIORNO",$C31:$Q31,AM$3)=0)*(COUNTIFS($C$3:$Q$3,"NOTTE",$C31:$Q31,AM$3)=0)*(COUNTIFS($C$3:$Q$3,"NOTTE",$C30:$Q30,AM$3)=0),"_m","")&amp;IF((AM31&lt;&gt;"Xm")*(AM31&lt;&gt;"Xp")*(AM31&lt;&gt;"Xg")*(COUNTIFS($C$3:$Q$3,"MAT",$C31:$Q31,AM$3)=0)*(COUNTIFS($C$3:$Q$3,"GIORNO",$C31:$Q31,AM$3)=0)*(COUNTIFS($C$3:$Q$3,"NOTTE",$C31:$Q31,AM$3)=0)*(COUNTIFS($C$3:$Q$3,"NOTTE",$C30:$Q30,AM$3)=0),"_g","")&amp;IF((AM31&lt;&gt;"Xn")*(COUNTIFS($C$3:$Q$3,"MAT",$C31:$Q31,AM$3)=0)*(COUNTIFS($C$3:$Q$3,"GIORNO",$C31:$Q31,AM$3)=0)*(COUNTIFS($C$3:$Q$3,"NOTTE",$C31:$Q31,AM$3)=0)*(COUNTIFS($C$3:$Q$3,"NOTTE",$C30:$Q30,AM$3)=0),"_n","")&amp;", ")))</f>
        <v xml:space="preserve">GRECO, </v>
      </c>
      <c r="CQ31" s="9" t="str">
        <f>IF(0+(AN31="X")&gt;0,"",IF(0+((AN31&lt;&gt;"Xm")*(AN31&lt;&gt;"Xg")*(COUNTIFS($C$3:$Q$3,"MAT",$C31:$Q31,AN$3)=0)*(COUNTIFS($C$3:$Q$3,"GIORNO",$C31:$Q31,AN$3)=0)*(COUNTIFS($C$3:$Q$3,"NOTTE",$C31:$Q31,AN$3)=0)*(COUNTIFS($C$3:$Q$3,"NOTTE",$C30:$Q30,AN$3)=0))+((AN31&lt;&gt;"Xm")*(AN31&lt;&gt;"Xp")*(AN31&lt;&gt;"Xg")*(COUNTIFS($C$3:$Q$3,"MAT",$C31:$Q31,AN$3)=0)*(COUNTIFS($C$3:$Q$3,"GIORNO",$C31:$Q31,AN$3)=0)*(COUNTIFS($C$3:$Q$3,"NOTTE",$C31:$Q31,AN$3)=0)*(COUNTIFS($C$3:$Q$3,"NOTTE",$C30:$Q30,AN$3)=0))+((AN31&lt;&gt;"Xn")*(COUNTIFS($C$3:$Q$3,"MAT",$C31:$Q31,AN$3)=0)*(COUNTIFS($C$3:$Q$3,"GIORNO",$C31:$Q31,AN$3)=0)*(COUNTIFS($C$3:$Q$3,"NOTTE",$C31:$Q31,AN$3)=0)*(COUNTIFS($C$3:$Q$3,"NOTTE",$C30:$Q30,AN$3)=0))=0,"",IF(0+((AN31&lt;&gt;"Xm")*(AN31&lt;&gt;"Xg")*(COUNTIFS($C$3:$Q$3,"MAT",$C31:$Q31,AN$3)=0)*(COUNTIFS($C$3:$Q$3,"GIORNO",$C31:$Q31,AN$3)=0)*(COUNTIFS($C$3:$Q$3,"NOTTE",$C31:$Q31,AN$3)=0)*(COUNTIFS($C$3:$Q$3,"NOTTE",$C30:$Q30,AN$3)=0))+((AN31&lt;&gt;"Xm")*(AN31&lt;&gt;"Xp")*(AN31&lt;&gt;"Xg")*(COUNTIFS($C$3:$Q$3,"MAT",$C31:$Q31,AN$3)=0)*(COUNTIFS($C$3:$Q$3,"GIORNO",$C31:$Q31,AN$3)=0)*(COUNTIFS($C$3:$Q$3,"NOTTE",$C31:$Q31,AN$3)=0)*(COUNTIFS($C$3:$Q$3,"NOTTE",$C30:$Q30,AN$3)=0))+((AN31&lt;&gt;"Xn")*(COUNTIFS($C$3:$Q$3,"MAT",$C31:$Q31,AN$3)=0)*(COUNTIFS($C$3:$Q$3,"GIORNO",$C31:$Q31,AN$3)=0)*(COUNTIFS($C$3:$Q$3,"NOTTE",$C31:$Q31,AN$3)=0)*(COUNTIFS($C$3:$Q$3,"NOTTE",$C30:$Q30,AN$3)=0))=3,AN$3&amp;", ",AN$3&amp;IF((AN31&lt;&gt;"Xm")*(AN31&lt;&gt;"Xg")*(COUNTIFS($C$3:$Q$3,"MAT",$C31:$Q31,AN$3)=0)*(COUNTIFS($C$3:$Q$3,"GIORNO",$C31:$Q31,AN$3)=0)*(COUNTIFS($C$3:$Q$3,"NOTTE",$C31:$Q31,AN$3)=0)*(COUNTIFS($C$3:$Q$3,"NOTTE",$C30:$Q30,AN$3)=0),"_m","")&amp;IF((AN31&lt;&gt;"Xm")*(AN31&lt;&gt;"Xp")*(AN31&lt;&gt;"Xg")*(COUNTIFS($C$3:$Q$3,"MAT",$C31:$Q31,AN$3)=0)*(COUNTIFS($C$3:$Q$3,"GIORNO",$C31:$Q31,AN$3)=0)*(COUNTIFS($C$3:$Q$3,"NOTTE",$C31:$Q31,AN$3)=0)*(COUNTIFS($C$3:$Q$3,"NOTTE",$C30:$Q30,AN$3)=0),"_g","")&amp;IF((AN31&lt;&gt;"Xn")*(COUNTIFS($C$3:$Q$3,"MAT",$C31:$Q31,AN$3)=0)*(COUNTIFS($C$3:$Q$3,"GIORNO",$C31:$Q31,AN$3)=0)*(COUNTIFS($C$3:$Q$3,"NOTTE",$C31:$Q31,AN$3)=0)*(COUNTIFS($C$3:$Q$3,"NOTTE",$C30:$Q30,AN$3)=0),"_n","")&amp;", ")))</f>
        <v xml:space="preserve">SANNA, </v>
      </c>
      <c r="CR31" s="9" t="str">
        <f>IF(0+(AO31="X")&gt;0,"",IF(0+((AO31&lt;&gt;"Xm")*(AO31&lt;&gt;"Xg")*(COUNTIFS($C$3:$Q$3,"MAT",$C31:$Q31,AO$3)=0)*(COUNTIFS($C$3:$Q$3,"GIORNO",$C31:$Q31,AO$3)=0)*(COUNTIFS($C$3:$Q$3,"NOTTE",$C31:$Q31,AO$3)=0)*(COUNTIFS($C$3:$Q$3,"NOTTE",$C30:$Q30,AO$3)=0))+((AO31&lt;&gt;"Xm")*(AO31&lt;&gt;"Xp")*(AO31&lt;&gt;"Xg")*(COUNTIFS($C$3:$Q$3,"MAT",$C31:$Q31,AO$3)=0)*(COUNTIFS($C$3:$Q$3,"GIORNO",$C31:$Q31,AO$3)=0)*(COUNTIFS($C$3:$Q$3,"NOTTE",$C31:$Q31,AO$3)=0)*(COUNTIFS($C$3:$Q$3,"NOTTE",$C30:$Q30,AO$3)=0))+((AO31&lt;&gt;"Xn")*(COUNTIFS($C$3:$Q$3,"MAT",$C31:$Q31,AO$3)=0)*(COUNTIFS($C$3:$Q$3,"GIORNO",$C31:$Q31,AO$3)=0)*(COUNTIFS($C$3:$Q$3,"NOTTE",$C31:$Q31,AO$3)=0)*(COUNTIFS($C$3:$Q$3,"NOTTE",$C30:$Q30,AO$3)=0))=0,"",IF(0+((AO31&lt;&gt;"Xm")*(AO31&lt;&gt;"Xg")*(COUNTIFS($C$3:$Q$3,"MAT",$C31:$Q31,AO$3)=0)*(COUNTIFS($C$3:$Q$3,"GIORNO",$C31:$Q31,AO$3)=0)*(COUNTIFS($C$3:$Q$3,"NOTTE",$C31:$Q31,AO$3)=0)*(COUNTIFS($C$3:$Q$3,"NOTTE",$C30:$Q30,AO$3)=0))+((AO31&lt;&gt;"Xm")*(AO31&lt;&gt;"Xp")*(AO31&lt;&gt;"Xg")*(COUNTIFS($C$3:$Q$3,"MAT",$C31:$Q31,AO$3)=0)*(COUNTIFS($C$3:$Q$3,"GIORNO",$C31:$Q31,AO$3)=0)*(COUNTIFS($C$3:$Q$3,"NOTTE",$C31:$Q31,AO$3)=0)*(COUNTIFS($C$3:$Q$3,"NOTTE",$C30:$Q30,AO$3)=0))+((AO31&lt;&gt;"Xn")*(COUNTIFS($C$3:$Q$3,"MAT",$C31:$Q31,AO$3)=0)*(COUNTIFS($C$3:$Q$3,"GIORNO",$C31:$Q31,AO$3)=0)*(COUNTIFS($C$3:$Q$3,"NOTTE",$C31:$Q31,AO$3)=0)*(COUNTIFS($C$3:$Q$3,"NOTTE",$C30:$Q30,AO$3)=0))=3,AO$3&amp;", ",AO$3&amp;IF((AO31&lt;&gt;"Xm")*(AO31&lt;&gt;"Xg")*(COUNTIFS($C$3:$Q$3,"MAT",$C31:$Q31,AO$3)=0)*(COUNTIFS($C$3:$Q$3,"GIORNO",$C31:$Q31,AO$3)=0)*(COUNTIFS($C$3:$Q$3,"NOTTE",$C31:$Q31,AO$3)=0)*(COUNTIFS($C$3:$Q$3,"NOTTE",$C30:$Q30,AO$3)=0),"_m","")&amp;IF((AO31&lt;&gt;"Xm")*(AO31&lt;&gt;"Xp")*(AO31&lt;&gt;"Xg")*(COUNTIFS($C$3:$Q$3,"MAT",$C31:$Q31,AO$3)=0)*(COUNTIFS($C$3:$Q$3,"GIORNO",$C31:$Q31,AO$3)=0)*(COUNTIFS($C$3:$Q$3,"NOTTE",$C31:$Q31,AO$3)=0)*(COUNTIFS($C$3:$Q$3,"NOTTE",$C30:$Q30,AO$3)=0),"_g","")&amp;IF((AO31&lt;&gt;"Xn")*(COUNTIFS($C$3:$Q$3,"MAT",$C31:$Q31,AO$3)=0)*(COUNTIFS($C$3:$Q$3,"GIORNO",$C31:$Q31,AO$3)=0)*(COUNTIFS($C$3:$Q$3,"NOTTE",$C31:$Q31,AO$3)=0)*(COUNTIFS($C$3:$Q$3,"NOTTE",$C30:$Q30,AO$3)=0),"_n","")&amp;", ")))</f>
        <v xml:space="preserve">LI, </v>
      </c>
    </row>
    <row r="32">
      <c r="A32" s="3" t="str">
        <f>CHOOSE(WEEKDAY(DATE($B$1,$A$2,B32),2),"lunedì","martedì","mercoledì","giovedì","venerdì","sabato","domenica")</f>
        <v>domenica</v>
      </c>
      <c r="B32" s="3" t="n">
        <v>29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3" t="n"/>
      <c r="Q32" s="3" t="n"/>
      <c r="R32" s="3" t="n"/>
      <c r="S32" s="3">
        <f>IF(SUMPRODUCT(($C$3:$Q$3&lt;&gt;"")*($C32:$Q32&lt;&gt;"")*(LEFT($C32:$Q32,6)&lt;&gt;"chiuso")*(COUNTIFS($C32:$Q32,$C32:$Q32,$C$3:$Q$3,$C$3:$Q$3)&gt;1))&gt;0,"X","")</f>
      </c>
      <c r="T32" s="3" t="str">
        <f>IF(LEN(BP32&amp;BQ32&amp;BR32&amp;BS32&amp;BT32&amp;BU32&amp;BV32&amp;BW32&amp;BX32&amp;BY32&amp;BZ32&amp;CA32&amp;CB32&amp;CC32)=0,"",LEFT(BP32&amp;BQ32&amp;BR32&amp;BS32&amp;BT32&amp;BU32&amp;BV32&amp;BW32&amp;BX32&amp;BY32&amp;BZ32&amp;CA32&amp;CB32&amp;CC32,LEN(BP32&amp;BQ32&amp;BR32&amp;BS32&amp;BT32&amp;BU32&amp;BV32&amp;BW32&amp;BX32&amp;BY32&amp;BZ32&amp;CA32&amp;CB32&amp;CC32)-2))</f>
        <v>LEONI, ROSSI M, ROSSI L, GALLINA, RUSSO, VERDI, HU, MARINI, CONTI A, CONTI S, FERRARI, GRECO, SANNA, LI</v>
      </c>
      <c r="U32" s="3" t="str">
        <f>IF(LEN(CE32&amp;CF32&amp;CG32&amp;CH32&amp;CI32&amp;CJ32&amp;CK32&amp;CL32&amp;CM32&amp;CN32&amp;CO32&amp;CP32&amp;CQ32&amp;CR32)=0,"",LEFT(CE32&amp;CF32&amp;CG32&amp;CH32&amp;CI32&amp;CJ32&amp;CK32&amp;CL32&amp;CM32&amp;CN32&amp;CO32&amp;CP32&amp;CQ32&amp;CR32,LEN(CE32&amp;CF32&amp;CG32&amp;CH32&amp;CI32&amp;CJ32&amp;CK32&amp;CL32&amp;CM32&amp;CN32&amp;CO32&amp;CP32&amp;CQ32&amp;CR32)-2))</f>
        <v>LEONI, ROSSI M, ROSSI L, GALLINA, RUSSO, VERDI, HU, MARINI, CONTI A, CONTI S, FERRARI, GRECO, SANNA, LI</v>
      </c>
      <c r="Z32" s="3" t="str">
        <f>A32</f>
        <v>domenica</v>
      </c>
      <c r="AA32" s="3">
        <f>B32</f>
        <v>29</v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BP32" s="9" t="str">
        <f>IF(0+(AB32="X")&gt;0,"",IF(0+((AB32&lt;&gt;"Xm")*(AB32&lt;&gt;"Xp")*(AB32&lt;&gt;"Xg"))+((AB32&lt;&gt;"Xn"))=0,"",IF(0+((AB32&lt;&gt;"Xm")*(AB32&lt;&gt;"Xp")*(AB32&lt;&gt;"Xg"))+((AB32&lt;&gt;"Xn"))=2,AB$3&amp;", ",AB$3&amp;IF((AB32&lt;&gt;"Xm")*(AB32&lt;&gt;"Xp")*(AB32&lt;&gt;"Xg"),"_g","")&amp;IF((AB32&lt;&gt;"Xn"),"_n","")&amp;", ")))</f>
        <v xml:space="preserve">LEONI, </v>
      </c>
      <c r="BQ32" s="9" t="str">
        <f>IF(0+(AC32="X")&gt;0,"",IF(0+((AC32&lt;&gt;"Xm")*(AC32&lt;&gt;"Xp")*(AC32&lt;&gt;"Xg"))+((AC32&lt;&gt;"Xn"))=0,"",IF(0+((AC32&lt;&gt;"Xm")*(AC32&lt;&gt;"Xp")*(AC32&lt;&gt;"Xg"))+((AC32&lt;&gt;"Xn"))=2,AC$3&amp;", ",AC$3&amp;IF((AC32&lt;&gt;"Xm")*(AC32&lt;&gt;"Xp")*(AC32&lt;&gt;"Xg"),"_g","")&amp;IF((AC32&lt;&gt;"Xn"),"_n","")&amp;", ")))</f>
        <v xml:space="preserve">ROSSI M, </v>
      </c>
      <c r="BR32" s="9" t="str">
        <f>IF(0+(AD32="X")&gt;0,"",IF(0+((AD32&lt;&gt;"Xm")*(AD32&lt;&gt;"Xp")*(AD32&lt;&gt;"Xg"))+((AD32&lt;&gt;"Xn"))=0,"",IF(0+((AD32&lt;&gt;"Xm")*(AD32&lt;&gt;"Xp")*(AD32&lt;&gt;"Xg"))+((AD32&lt;&gt;"Xn"))=2,AD$3&amp;", ",AD$3&amp;IF((AD32&lt;&gt;"Xm")*(AD32&lt;&gt;"Xp")*(AD32&lt;&gt;"Xg"),"_g","")&amp;IF((AD32&lt;&gt;"Xn"),"_n","")&amp;", ")))</f>
        <v xml:space="preserve">ROSSI L, </v>
      </c>
      <c r="BS32" s="9" t="str">
        <f>IF(0+(AE32="X")&gt;0,"",IF(0+((AE32&lt;&gt;"Xm")*(AE32&lt;&gt;"Xp")*(AE32&lt;&gt;"Xg"))+((AE32&lt;&gt;"Xn"))=0,"",IF(0+((AE32&lt;&gt;"Xm")*(AE32&lt;&gt;"Xp")*(AE32&lt;&gt;"Xg"))+((AE32&lt;&gt;"Xn"))=2,AE$3&amp;", ",AE$3&amp;IF((AE32&lt;&gt;"Xm")*(AE32&lt;&gt;"Xp")*(AE32&lt;&gt;"Xg"),"_g","")&amp;IF((AE32&lt;&gt;"Xn"),"_n","")&amp;", ")))</f>
        <v xml:space="preserve">GALLINA, </v>
      </c>
      <c r="BT32" s="9" t="str">
        <f>IF(0+(AF32="X")&gt;0,"",IF(0+((AF32&lt;&gt;"Xm")*(AF32&lt;&gt;"Xp")*(AF32&lt;&gt;"Xg"))+((AF32&lt;&gt;"Xn"))=0,"",IF(0+((AF32&lt;&gt;"Xm")*(AF32&lt;&gt;"Xp")*(AF32&lt;&gt;"Xg"))+((AF32&lt;&gt;"Xn"))=2,AF$3&amp;", ",AF$3&amp;IF((AF32&lt;&gt;"Xm")*(AF32&lt;&gt;"Xp")*(AF32&lt;&gt;"Xg"),"_g","")&amp;IF((AF32&lt;&gt;"Xn"),"_n","")&amp;", ")))</f>
        <v xml:space="preserve">RUSSO, </v>
      </c>
      <c r="BU32" s="9" t="str">
        <f>IF(0+(AG32="X")&gt;0,"",IF(0+((AG32&lt;&gt;"Xm")*(AG32&lt;&gt;"Xp")*(AG32&lt;&gt;"Xg"))+((AG32&lt;&gt;"Xn"))=0,"",IF(0+((AG32&lt;&gt;"Xm")*(AG32&lt;&gt;"Xp")*(AG32&lt;&gt;"Xg"))+((AG32&lt;&gt;"Xn"))=2,AG$3&amp;", ",AG$3&amp;IF((AG32&lt;&gt;"Xm")*(AG32&lt;&gt;"Xp")*(AG32&lt;&gt;"Xg"),"_g","")&amp;IF((AG32&lt;&gt;"Xn"),"_n","")&amp;", ")))</f>
        <v xml:space="preserve">VERDI, </v>
      </c>
      <c r="BV32" s="9" t="str">
        <f>IF(0+(AH32="X")&gt;0,"",IF(0+((AH32&lt;&gt;"Xm")*(AH32&lt;&gt;"Xp")*(AH32&lt;&gt;"Xg"))+((AH32&lt;&gt;"Xn"))=0,"",IF(0+((AH32&lt;&gt;"Xm")*(AH32&lt;&gt;"Xp")*(AH32&lt;&gt;"Xg"))+((AH32&lt;&gt;"Xn"))=2,AH$3&amp;", ",AH$3&amp;IF((AH32&lt;&gt;"Xm")*(AH32&lt;&gt;"Xp")*(AH32&lt;&gt;"Xg"),"_g","")&amp;IF((AH32&lt;&gt;"Xn"),"_n","")&amp;", ")))</f>
        <v xml:space="preserve">HU, </v>
      </c>
      <c r="BW32" s="9" t="str">
        <f>IF(0+(AI32="X")&gt;0,"",IF(0+((AI32&lt;&gt;"Xm")*(AI32&lt;&gt;"Xp")*(AI32&lt;&gt;"Xg"))+((AI32&lt;&gt;"Xn"))=0,"",IF(0+((AI32&lt;&gt;"Xm")*(AI32&lt;&gt;"Xp")*(AI32&lt;&gt;"Xg"))+((AI32&lt;&gt;"Xn"))=2,AI$3&amp;", ",AI$3&amp;IF((AI32&lt;&gt;"Xm")*(AI32&lt;&gt;"Xp")*(AI32&lt;&gt;"Xg"),"_g","")&amp;IF((AI32&lt;&gt;"Xn"),"_n","")&amp;", ")))</f>
        <v xml:space="preserve">MARINI, </v>
      </c>
      <c r="BX32" s="9" t="str">
        <f>IF(0+(AJ32="X")&gt;0,"",IF(0+((AJ32&lt;&gt;"Xm")*(AJ32&lt;&gt;"Xp")*(AJ32&lt;&gt;"Xg"))+((AJ32&lt;&gt;"Xn"))=0,"",IF(0+((AJ32&lt;&gt;"Xm")*(AJ32&lt;&gt;"Xp")*(AJ32&lt;&gt;"Xg"))+((AJ32&lt;&gt;"Xn"))=2,AJ$3&amp;", ",AJ$3&amp;IF((AJ32&lt;&gt;"Xm")*(AJ32&lt;&gt;"Xp")*(AJ32&lt;&gt;"Xg"),"_g","")&amp;IF((AJ32&lt;&gt;"Xn"),"_n","")&amp;", ")))</f>
        <v xml:space="preserve">CONTI A, </v>
      </c>
      <c r="BY32" s="9" t="str">
        <f>IF(0+(AK32="X")&gt;0,"",IF(0+((AK32&lt;&gt;"Xm")*(AK32&lt;&gt;"Xp")*(AK32&lt;&gt;"Xg"))+((AK32&lt;&gt;"Xn"))=0,"",IF(0+((AK32&lt;&gt;"Xm")*(AK32&lt;&gt;"Xp")*(AK32&lt;&gt;"Xg"))+((AK32&lt;&gt;"Xn"))=2,AK$3&amp;", ",AK$3&amp;IF((AK32&lt;&gt;"Xm")*(AK32&lt;&gt;"Xp")*(AK32&lt;&gt;"Xg"),"_g","")&amp;IF((AK32&lt;&gt;"Xn"),"_n","")&amp;", ")))</f>
        <v xml:space="preserve">CONTI S, </v>
      </c>
      <c r="BZ32" s="9" t="str">
        <f>IF(0+(AL32="X")&gt;0,"",IF(0+((AL32&lt;&gt;"Xm")*(AL32&lt;&gt;"Xp")*(AL32&lt;&gt;"Xg"))+((AL32&lt;&gt;"Xn"))=0,"",IF(0+((AL32&lt;&gt;"Xm")*(AL32&lt;&gt;"Xp")*(AL32&lt;&gt;"Xg"))+((AL32&lt;&gt;"Xn"))=2,AL$3&amp;", ",AL$3&amp;IF((AL32&lt;&gt;"Xm")*(AL32&lt;&gt;"Xp")*(AL32&lt;&gt;"Xg"),"_g","")&amp;IF((AL32&lt;&gt;"Xn"),"_n","")&amp;", ")))</f>
        <v xml:space="preserve">FERRARI, </v>
      </c>
      <c r="CA32" s="9" t="str">
        <f>IF(0+(AM32="X")&gt;0,"",IF(0+((AM32&lt;&gt;"Xm")*(AM32&lt;&gt;"Xp")*(AM32&lt;&gt;"Xg"))+((AM32&lt;&gt;"Xn"))=0,"",IF(0+((AM32&lt;&gt;"Xm")*(AM32&lt;&gt;"Xp")*(AM32&lt;&gt;"Xg"))+((AM32&lt;&gt;"Xn"))=2,AM$3&amp;", ",AM$3&amp;IF((AM32&lt;&gt;"Xm")*(AM32&lt;&gt;"Xp")*(AM32&lt;&gt;"Xg"),"_g","")&amp;IF((AM32&lt;&gt;"Xn"),"_n","")&amp;", ")))</f>
        <v xml:space="preserve">GRECO, </v>
      </c>
      <c r="CB32" s="9" t="str">
        <f>IF(0+(AN32="X")&gt;0,"",IF(0+((AN32&lt;&gt;"Xm")*(AN32&lt;&gt;"Xp")*(AN32&lt;&gt;"Xg"))+((AN32&lt;&gt;"Xn"))=0,"",IF(0+((AN32&lt;&gt;"Xm")*(AN32&lt;&gt;"Xp")*(AN32&lt;&gt;"Xg"))+((AN32&lt;&gt;"Xn"))=2,AN$3&amp;", ",AN$3&amp;IF((AN32&lt;&gt;"Xm")*(AN32&lt;&gt;"Xp")*(AN32&lt;&gt;"Xg"),"_g","")&amp;IF((AN32&lt;&gt;"Xn"),"_n","")&amp;", ")))</f>
        <v xml:space="preserve">SANNA, </v>
      </c>
      <c r="CC32" s="9" t="str">
        <f>IF(0+(AO32="X")&gt;0,"",IF(0+((AO32&lt;&gt;"Xm")*(AO32&lt;&gt;"Xp")*(AO32&lt;&gt;"Xg"))+((AO32&lt;&gt;"Xn"))=0,"",IF(0+((AO32&lt;&gt;"Xm")*(AO32&lt;&gt;"Xp")*(AO32&lt;&gt;"Xg"))+((AO32&lt;&gt;"Xn"))=2,AO$3&amp;", ",AO$3&amp;IF((AO32&lt;&gt;"Xm")*(AO32&lt;&gt;"Xp")*(AO32&lt;&gt;"Xg"),"_g","")&amp;IF((AO32&lt;&gt;"Xn"),"_n","")&amp;", ")))</f>
        <v xml:space="preserve">LI, </v>
      </c>
      <c r="CD32" s="9" t="n"/>
      <c r="CE32" s="9" t="str">
        <f>IF(0+(AB32="X")&gt;0,"",IF(0+((AB32&lt;&gt;"Xm")*(AB32&lt;&gt;"Xp")*(AB32&lt;&gt;"Xg")*(COUNTIFS($C$3:$Q$3,"GIORNO",$C32:$Q32,AB$3)=0)*(COUNTIFS($C$3:$Q$3,"NOTTE",$C32:$Q32,AB$3)=0)*(COUNTIFS($C$3:$Q$3,"NOTTE",$C31:$Q31,AB$3)=0))+((AB32&lt;&gt;"Xn")*(COUNTIFS($C$3:$Q$3,"GIORNO",$C32:$Q32,AB$3)=0)*(COUNTIFS($C$3:$Q$3,"NOTTE",$C32:$Q32,AB$3)=0)*(COUNTIFS($C$3:$Q$3,"NOTTE",$C31:$Q31,AB$3)=0))=0,"",IF(0+((AB32&lt;&gt;"Xm")*(AB32&lt;&gt;"Xp")*(AB32&lt;&gt;"Xg")*(COUNTIFS($C$3:$Q$3,"GIORNO",$C32:$Q32,AB$3)=0)*(COUNTIFS($C$3:$Q$3,"NOTTE",$C32:$Q32,AB$3)=0)*(COUNTIFS($C$3:$Q$3,"NOTTE",$C31:$Q31,AB$3)=0))+((AB32&lt;&gt;"Xn")*(COUNTIFS($C$3:$Q$3,"GIORNO",$C32:$Q32,AB$3)=0)*(COUNTIFS($C$3:$Q$3,"NOTTE",$C32:$Q32,AB$3)=0)*(COUNTIFS($C$3:$Q$3,"NOTTE",$C31:$Q31,AB$3)=0))=2,AB$3&amp;", ",AB$3&amp;IF((AB32&lt;&gt;"Xm")*(AB32&lt;&gt;"Xp")*(AB32&lt;&gt;"Xg")*(COUNTIFS($C$3:$Q$3,"GIORNO",$C32:$Q32,AB$3)=0)*(COUNTIFS($C$3:$Q$3,"NOTTE",$C32:$Q32,AB$3)=0)*(COUNTIFS($C$3:$Q$3,"NOTTE",$C31:$Q31,AB$3)=0),"_g","")&amp;IF((AB32&lt;&gt;"Xn")*(COUNTIFS($C$3:$Q$3,"GIORNO",$C32:$Q32,AB$3)=0)*(COUNTIFS($C$3:$Q$3,"NOTTE",$C32:$Q32,AB$3)=0)*(COUNTIFS($C$3:$Q$3,"NOTTE",$C31:$Q31,AB$3)=0),"_n","")&amp;", ")))</f>
        <v xml:space="preserve">LEONI, </v>
      </c>
      <c r="CF32" s="9" t="str">
        <f>IF(0+(AC32="X")&gt;0,"",IF(0+((AC32&lt;&gt;"Xm")*(AC32&lt;&gt;"Xp")*(AC32&lt;&gt;"Xg")*(COUNTIFS($C$3:$Q$3,"GIORNO",$C32:$Q32,AC$3)=0)*(COUNTIFS($C$3:$Q$3,"NOTTE",$C32:$Q32,AC$3)=0)*(COUNTIFS($C$3:$Q$3,"NOTTE",$C31:$Q31,AC$3)=0))+((AC32&lt;&gt;"Xn")*(COUNTIFS($C$3:$Q$3,"GIORNO",$C32:$Q32,AC$3)=0)*(COUNTIFS($C$3:$Q$3,"NOTTE",$C32:$Q32,AC$3)=0)*(COUNTIFS($C$3:$Q$3,"NOTTE",$C31:$Q31,AC$3)=0))=0,"",IF(0+((AC32&lt;&gt;"Xm")*(AC32&lt;&gt;"Xp")*(AC32&lt;&gt;"Xg")*(COUNTIFS($C$3:$Q$3,"GIORNO",$C32:$Q32,AC$3)=0)*(COUNTIFS($C$3:$Q$3,"NOTTE",$C32:$Q32,AC$3)=0)*(COUNTIFS($C$3:$Q$3,"NOTTE",$C31:$Q31,AC$3)=0))+((AC32&lt;&gt;"Xn")*(COUNTIFS($C$3:$Q$3,"GIORNO",$C32:$Q32,AC$3)=0)*(COUNTIFS($C$3:$Q$3,"NOTTE",$C32:$Q32,AC$3)=0)*(COUNTIFS($C$3:$Q$3,"NOTTE",$C31:$Q31,AC$3)=0))=2,AC$3&amp;", ",AC$3&amp;IF((AC32&lt;&gt;"Xm")*(AC32&lt;&gt;"Xp")*(AC32&lt;&gt;"Xg")*(COUNTIFS($C$3:$Q$3,"GIORNO",$C32:$Q32,AC$3)=0)*(COUNTIFS($C$3:$Q$3,"NOTTE",$C32:$Q32,AC$3)=0)*(COUNTIFS($C$3:$Q$3,"NOTTE",$C31:$Q31,AC$3)=0),"_g","")&amp;IF((AC32&lt;&gt;"Xn")*(COUNTIFS($C$3:$Q$3,"GIORNO",$C32:$Q32,AC$3)=0)*(COUNTIFS($C$3:$Q$3,"NOTTE",$C32:$Q32,AC$3)=0)*(COUNTIFS($C$3:$Q$3,"NOTTE",$C31:$Q31,AC$3)=0),"_n","")&amp;", ")))</f>
        <v xml:space="preserve">ROSSI M, </v>
      </c>
      <c r="CG32" s="9" t="str">
        <f>IF(0+(AD32="X")&gt;0,"",IF(0+((AD32&lt;&gt;"Xm")*(AD32&lt;&gt;"Xp")*(AD32&lt;&gt;"Xg")*(COUNTIFS($C$3:$Q$3,"GIORNO",$C32:$Q32,AD$3)=0)*(COUNTIFS($C$3:$Q$3,"NOTTE",$C32:$Q32,AD$3)=0)*(COUNTIFS($C$3:$Q$3,"NOTTE",$C31:$Q31,AD$3)=0))+((AD32&lt;&gt;"Xn")*(COUNTIFS($C$3:$Q$3,"GIORNO",$C32:$Q32,AD$3)=0)*(COUNTIFS($C$3:$Q$3,"NOTTE",$C32:$Q32,AD$3)=0)*(COUNTIFS($C$3:$Q$3,"NOTTE",$C31:$Q31,AD$3)=0))=0,"",IF(0+((AD32&lt;&gt;"Xm")*(AD32&lt;&gt;"Xp")*(AD32&lt;&gt;"Xg")*(COUNTIFS($C$3:$Q$3,"GIORNO",$C32:$Q32,AD$3)=0)*(COUNTIFS($C$3:$Q$3,"NOTTE",$C32:$Q32,AD$3)=0)*(COUNTIFS($C$3:$Q$3,"NOTTE",$C31:$Q31,AD$3)=0))+((AD32&lt;&gt;"Xn")*(COUNTIFS($C$3:$Q$3,"GIORNO",$C32:$Q32,AD$3)=0)*(COUNTIFS($C$3:$Q$3,"NOTTE",$C32:$Q32,AD$3)=0)*(COUNTIFS($C$3:$Q$3,"NOTTE",$C31:$Q31,AD$3)=0))=2,AD$3&amp;", ",AD$3&amp;IF((AD32&lt;&gt;"Xm")*(AD32&lt;&gt;"Xp")*(AD32&lt;&gt;"Xg")*(COUNTIFS($C$3:$Q$3,"GIORNO",$C32:$Q32,AD$3)=0)*(COUNTIFS($C$3:$Q$3,"NOTTE",$C32:$Q32,AD$3)=0)*(COUNTIFS($C$3:$Q$3,"NOTTE",$C31:$Q31,AD$3)=0),"_g","")&amp;IF((AD32&lt;&gt;"Xn")*(COUNTIFS($C$3:$Q$3,"GIORNO",$C32:$Q32,AD$3)=0)*(COUNTIFS($C$3:$Q$3,"NOTTE",$C32:$Q32,AD$3)=0)*(COUNTIFS($C$3:$Q$3,"NOTTE",$C31:$Q31,AD$3)=0),"_n","")&amp;", ")))</f>
        <v xml:space="preserve">ROSSI L, </v>
      </c>
      <c r="CH32" s="9" t="str">
        <f>IF(0+(AE32="X")&gt;0,"",IF(0+((AE32&lt;&gt;"Xm")*(AE32&lt;&gt;"Xp")*(AE32&lt;&gt;"Xg")*(COUNTIFS($C$3:$Q$3,"GIORNO",$C32:$Q32,AE$3)=0)*(COUNTIFS($C$3:$Q$3,"NOTTE",$C32:$Q32,AE$3)=0)*(COUNTIFS($C$3:$Q$3,"NOTTE",$C31:$Q31,AE$3)=0))+((AE32&lt;&gt;"Xn")*(COUNTIFS($C$3:$Q$3,"GIORNO",$C32:$Q32,AE$3)=0)*(COUNTIFS($C$3:$Q$3,"NOTTE",$C32:$Q32,AE$3)=0)*(COUNTIFS($C$3:$Q$3,"NOTTE",$C31:$Q31,AE$3)=0))=0,"",IF(0+((AE32&lt;&gt;"Xm")*(AE32&lt;&gt;"Xp")*(AE32&lt;&gt;"Xg")*(COUNTIFS($C$3:$Q$3,"GIORNO",$C32:$Q32,AE$3)=0)*(COUNTIFS($C$3:$Q$3,"NOTTE",$C32:$Q32,AE$3)=0)*(COUNTIFS($C$3:$Q$3,"NOTTE",$C31:$Q31,AE$3)=0))+((AE32&lt;&gt;"Xn")*(COUNTIFS($C$3:$Q$3,"GIORNO",$C32:$Q32,AE$3)=0)*(COUNTIFS($C$3:$Q$3,"NOTTE",$C32:$Q32,AE$3)=0)*(COUNTIFS($C$3:$Q$3,"NOTTE",$C31:$Q31,AE$3)=0))=2,AE$3&amp;", ",AE$3&amp;IF((AE32&lt;&gt;"Xm")*(AE32&lt;&gt;"Xp")*(AE32&lt;&gt;"Xg")*(COUNTIFS($C$3:$Q$3,"GIORNO",$C32:$Q32,AE$3)=0)*(COUNTIFS($C$3:$Q$3,"NOTTE",$C32:$Q32,AE$3)=0)*(COUNTIFS($C$3:$Q$3,"NOTTE",$C31:$Q31,AE$3)=0),"_g","")&amp;IF((AE32&lt;&gt;"Xn")*(COUNTIFS($C$3:$Q$3,"GIORNO",$C32:$Q32,AE$3)=0)*(COUNTIFS($C$3:$Q$3,"NOTTE",$C32:$Q32,AE$3)=0)*(COUNTIFS($C$3:$Q$3,"NOTTE",$C31:$Q31,AE$3)=0),"_n","")&amp;", ")))</f>
        <v xml:space="preserve">GALLINA, </v>
      </c>
      <c r="CI32" s="9" t="str">
        <f>IF(0+(AF32="X")&gt;0,"",IF(0+((AF32&lt;&gt;"Xm")*(AF32&lt;&gt;"Xp")*(AF32&lt;&gt;"Xg")*(COUNTIFS($C$3:$Q$3,"GIORNO",$C32:$Q32,AF$3)=0)*(COUNTIFS($C$3:$Q$3,"NOTTE",$C32:$Q32,AF$3)=0)*(COUNTIFS($C$3:$Q$3,"NOTTE",$C31:$Q31,AF$3)=0))+((AF32&lt;&gt;"Xn")*(COUNTIFS($C$3:$Q$3,"GIORNO",$C32:$Q32,AF$3)=0)*(COUNTIFS($C$3:$Q$3,"NOTTE",$C32:$Q32,AF$3)=0)*(COUNTIFS($C$3:$Q$3,"NOTTE",$C31:$Q31,AF$3)=0))=0,"",IF(0+((AF32&lt;&gt;"Xm")*(AF32&lt;&gt;"Xp")*(AF32&lt;&gt;"Xg")*(COUNTIFS($C$3:$Q$3,"GIORNO",$C32:$Q32,AF$3)=0)*(COUNTIFS($C$3:$Q$3,"NOTTE",$C32:$Q32,AF$3)=0)*(COUNTIFS($C$3:$Q$3,"NOTTE",$C31:$Q31,AF$3)=0))+((AF32&lt;&gt;"Xn")*(COUNTIFS($C$3:$Q$3,"GIORNO",$C32:$Q32,AF$3)=0)*(COUNTIFS($C$3:$Q$3,"NOTTE",$C32:$Q32,AF$3)=0)*(COUNTIFS($C$3:$Q$3,"NOTTE",$C31:$Q31,AF$3)=0))=2,AF$3&amp;", ",AF$3&amp;IF((AF32&lt;&gt;"Xm")*(AF32&lt;&gt;"Xp")*(AF32&lt;&gt;"Xg")*(COUNTIFS($C$3:$Q$3,"GIORNO",$C32:$Q32,AF$3)=0)*(COUNTIFS($C$3:$Q$3,"NOTTE",$C32:$Q32,AF$3)=0)*(COUNTIFS($C$3:$Q$3,"NOTTE",$C31:$Q31,AF$3)=0),"_g","")&amp;IF((AF32&lt;&gt;"Xn")*(COUNTIFS($C$3:$Q$3,"GIORNO",$C32:$Q32,AF$3)=0)*(COUNTIFS($C$3:$Q$3,"NOTTE",$C32:$Q32,AF$3)=0)*(COUNTIFS($C$3:$Q$3,"NOTTE",$C31:$Q31,AF$3)=0),"_n","")&amp;", ")))</f>
        <v xml:space="preserve">RUSSO, </v>
      </c>
      <c r="CJ32" s="9" t="str">
        <f>IF(0+(AG32="X")&gt;0,"",IF(0+((AG32&lt;&gt;"Xm")*(AG32&lt;&gt;"Xp")*(AG32&lt;&gt;"Xg")*(COUNTIFS($C$3:$Q$3,"GIORNO",$C32:$Q32,AG$3)=0)*(COUNTIFS($C$3:$Q$3,"NOTTE",$C32:$Q32,AG$3)=0)*(COUNTIFS($C$3:$Q$3,"NOTTE",$C31:$Q31,AG$3)=0))+((AG32&lt;&gt;"Xn")*(COUNTIFS($C$3:$Q$3,"GIORNO",$C32:$Q32,AG$3)=0)*(COUNTIFS($C$3:$Q$3,"NOTTE",$C32:$Q32,AG$3)=0)*(COUNTIFS($C$3:$Q$3,"NOTTE",$C31:$Q31,AG$3)=0))=0,"",IF(0+((AG32&lt;&gt;"Xm")*(AG32&lt;&gt;"Xp")*(AG32&lt;&gt;"Xg")*(COUNTIFS($C$3:$Q$3,"GIORNO",$C32:$Q32,AG$3)=0)*(COUNTIFS($C$3:$Q$3,"NOTTE",$C32:$Q32,AG$3)=0)*(COUNTIFS($C$3:$Q$3,"NOTTE",$C31:$Q31,AG$3)=0))+((AG32&lt;&gt;"Xn")*(COUNTIFS($C$3:$Q$3,"GIORNO",$C32:$Q32,AG$3)=0)*(COUNTIFS($C$3:$Q$3,"NOTTE",$C32:$Q32,AG$3)=0)*(COUNTIFS($C$3:$Q$3,"NOTTE",$C31:$Q31,AG$3)=0))=2,AG$3&amp;", ",AG$3&amp;IF((AG32&lt;&gt;"Xm")*(AG32&lt;&gt;"Xp")*(AG32&lt;&gt;"Xg")*(COUNTIFS($C$3:$Q$3,"GIORNO",$C32:$Q32,AG$3)=0)*(COUNTIFS($C$3:$Q$3,"NOTTE",$C32:$Q32,AG$3)=0)*(COUNTIFS($C$3:$Q$3,"NOTTE",$C31:$Q31,AG$3)=0),"_g","")&amp;IF((AG32&lt;&gt;"Xn")*(COUNTIFS($C$3:$Q$3,"GIORNO",$C32:$Q32,AG$3)=0)*(COUNTIFS($C$3:$Q$3,"NOTTE",$C32:$Q32,AG$3)=0)*(COUNTIFS($C$3:$Q$3,"NOTTE",$C31:$Q31,AG$3)=0),"_n","")&amp;", ")))</f>
        <v xml:space="preserve">VERDI, </v>
      </c>
      <c r="CK32" s="9" t="str">
        <f>IF(0+(AH32="X")&gt;0,"",IF(0+((AH32&lt;&gt;"Xm")*(AH32&lt;&gt;"Xp")*(AH32&lt;&gt;"Xg")*(COUNTIFS($C$3:$Q$3,"GIORNO",$C32:$Q32,AH$3)=0)*(COUNTIFS($C$3:$Q$3,"NOTTE",$C32:$Q32,AH$3)=0)*(COUNTIFS($C$3:$Q$3,"NOTTE",$C31:$Q31,AH$3)=0))+((AH32&lt;&gt;"Xn")*(COUNTIFS($C$3:$Q$3,"GIORNO",$C32:$Q32,AH$3)=0)*(COUNTIFS($C$3:$Q$3,"NOTTE",$C32:$Q32,AH$3)=0)*(COUNTIFS($C$3:$Q$3,"NOTTE",$C31:$Q31,AH$3)=0))=0,"",IF(0+((AH32&lt;&gt;"Xm")*(AH32&lt;&gt;"Xp")*(AH32&lt;&gt;"Xg")*(COUNTIFS($C$3:$Q$3,"GIORNO",$C32:$Q32,AH$3)=0)*(COUNTIFS($C$3:$Q$3,"NOTTE",$C32:$Q32,AH$3)=0)*(COUNTIFS($C$3:$Q$3,"NOTTE",$C31:$Q31,AH$3)=0))+((AH32&lt;&gt;"Xn")*(COUNTIFS($C$3:$Q$3,"GIORNO",$C32:$Q32,AH$3)=0)*(COUNTIFS($C$3:$Q$3,"NOTTE",$C32:$Q32,AH$3)=0)*(COUNTIFS($C$3:$Q$3,"NOTTE",$C31:$Q31,AH$3)=0))=2,AH$3&amp;", ",AH$3&amp;IF((AH32&lt;&gt;"Xm")*(AH32&lt;&gt;"Xp")*(AH32&lt;&gt;"Xg")*(COUNTIFS($C$3:$Q$3,"GIORNO",$C32:$Q32,AH$3)=0)*(COUNTIFS($C$3:$Q$3,"NOTTE",$C32:$Q32,AH$3)=0)*(COUNTIFS($C$3:$Q$3,"NOTTE",$C31:$Q31,AH$3)=0),"_g","")&amp;IF((AH32&lt;&gt;"Xn")*(COUNTIFS($C$3:$Q$3,"GIORNO",$C32:$Q32,AH$3)=0)*(COUNTIFS($C$3:$Q$3,"NOTTE",$C32:$Q32,AH$3)=0)*(COUNTIFS($C$3:$Q$3,"NOTTE",$C31:$Q31,AH$3)=0),"_n","")&amp;", ")))</f>
        <v xml:space="preserve">HU, </v>
      </c>
      <c r="CL32" s="9" t="str">
        <f>IF(0+(AI32="X")&gt;0,"",IF(0+((AI32&lt;&gt;"Xm")*(AI32&lt;&gt;"Xp")*(AI32&lt;&gt;"Xg")*(COUNTIFS($C$3:$Q$3,"GIORNO",$C32:$Q32,AI$3)=0)*(COUNTIFS($C$3:$Q$3,"NOTTE",$C32:$Q32,AI$3)=0)*(COUNTIFS($C$3:$Q$3,"NOTTE",$C31:$Q31,AI$3)=0))+((AI32&lt;&gt;"Xn")*(COUNTIFS($C$3:$Q$3,"GIORNO",$C32:$Q32,AI$3)=0)*(COUNTIFS($C$3:$Q$3,"NOTTE",$C32:$Q32,AI$3)=0)*(COUNTIFS($C$3:$Q$3,"NOTTE",$C31:$Q31,AI$3)=0))=0,"",IF(0+((AI32&lt;&gt;"Xm")*(AI32&lt;&gt;"Xp")*(AI32&lt;&gt;"Xg")*(COUNTIFS($C$3:$Q$3,"GIORNO",$C32:$Q32,AI$3)=0)*(COUNTIFS($C$3:$Q$3,"NOTTE",$C32:$Q32,AI$3)=0)*(COUNTIFS($C$3:$Q$3,"NOTTE",$C31:$Q31,AI$3)=0))+((AI32&lt;&gt;"Xn")*(COUNTIFS($C$3:$Q$3,"GIORNO",$C32:$Q32,AI$3)=0)*(COUNTIFS($C$3:$Q$3,"NOTTE",$C32:$Q32,AI$3)=0)*(COUNTIFS($C$3:$Q$3,"NOTTE",$C31:$Q31,AI$3)=0))=2,AI$3&amp;", ",AI$3&amp;IF((AI32&lt;&gt;"Xm")*(AI32&lt;&gt;"Xp")*(AI32&lt;&gt;"Xg")*(COUNTIFS($C$3:$Q$3,"GIORNO",$C32:$Q32,AI$3)=0)*(COUNTIFS($C$3:$Q$3,"NOTTE",$C32:$Q32,AI$3)=0)*(COUNTIFS($C$3:$Q$3,"NOTTE",$C31:$Q31,AI$3)=0),"_g","")&amp;IF((AI32&lt;&gt;"Xn")*(COUNTIFS($C$3:$Q$3,"GIORNO",$C32:$Q32,AI$3)=0)*(COUNTIFS($C$3:$Q$3,"NOTTE",$C32:$Q32,AI$3)=0)*(COUNTIFS($C$3:$Q$3,"NOTTE",$C31:$Q31,AI$3)=0),"_n","")&amp;", ")))</f>
        <v xml:space="preserve">MARINI, </v>
      </c>
      <c r="CM32" s="9" t="str">
        <f>IF(0+(AJ32="X")&gt;0,"",IF(0+((AJ32&lt;&gt;"Xm")*(AJ32&lt;&gt;"Xp")*(AJ32&lt;&gt;"Xg")*(COUNTIFS($C$3:$Q$3,"GIORNO",$C32:$Q32,AJ$3)=0)*(COUNTIFS($C$3:$Q$3,"NOTTE",$C32:$Q32,AJ$3)=0)*(COUNTIFS($C$3:$Q$3,"NOTTE",$C31:$Q31,AJ$3)=0))+((AJ32&lt;&gt;"Xn")*(COUNTIFS($C$3:$Q$3,"GIORNO",$C32:$Q32,AJ$3)=0)*(COUNTIFS($C$3:$Q$3,"NOTTE",$C32:$Q32,AJ$3)=0)*(COUNTIFS($C$3:$Q$3,"NOTTE",$C31:$Q31,AJ$3)=0))=0,"",IF(0+((AJ32&lt;&gt;"Xm")*(AJ32&lt;&gt;"Xp")*(AJ32&lt;&gt;"Xg")*(COUNTIFS($C$3:$Q$3,"GIORNO",$C32:$Q32,AJ$3)=0)*(COUNTIFS($C$3:$Q$3,"NOTTE",$C32:$Q32,AJ$3)=0)*(COUNTIFS($C$3:$Q$3,"NOTTE",$C31:$Q31,AJ$3)=0))+((AJ32&lt;&gt;"Xn")*(COUNTIFS($C$3:$Q$3,"GIORNO",$C32:$Q32,AJ$3)=0)*(COUNTIFS($C$3:$Q$3,"NOTTE",$C32:$Q32,AJ$3)=0)*(COUNTIFS($C$3:$Q$3,"NOTTE",$C31:$Q31,AJ$3)=0))=2,AJ$3&amp;", ",AJ$3&amp;IF((AJ32&lt;&gt;"Xm")*(AJ32&lt;&gt;"Xp")*(AJ32&lt;&gt;"Xg")*(COUNTIFS($C$3:$Q$3,"GIORNO",$C32:$Q32,AJ$3)=0)*(COUNTIFS($C$3:$Q$3,"NOTTE",$C32:$Q32,AJ$3)=0)*(COUNTIFS($C$3:$Q$3,"NOTTE",$C31:$Q31,AJ$3)=0),"_g","")&amp;IF((AJ32&lt;&gt;"Xn")*(COUNTIFS($C$3:$Q$3,"GIORNO",$C32:$Q32,AJ$3)=0)*(COUNTIFS($C$3:$Q$3,"NOTTE",$C32:$Q32,AJ$3)=0)*(COUNTIFS($C$3:$Q$3,"NOTTE",$C31:$Q31,AJ$3)=0),"_n","")&amp;", ")))</f>
        <v xml:space="preserve">CONTI A, </v>
      </c>
      <c r="CN32" s="9" t="str">
        <f>IF(0+(AK32="X")&gt;0,"",IF(0+((AK32&lt;&gt;"Xm")*(AK32&lt;&gt;"Xp")*(AK32&lt;&gt;"Xg")*(COUNTIFS($C$3:$Q$3,"GIORNO",$C32:$Q32,AK$3)=0)*(COUNTIFS($C$3:$Q$3,"NOTTE",$C32:$Q32,AK$3)=0)*(COUNTIFS($C$3:$Q$3,"NOTTE",$C31:$Q31,AK$3)=0))+((AK32&lt;&gt;"Xn")*(COUNTIFS($C$3:$Q$3,"GIORNO",$C32:$Q32,AK$3)=0)*(COUNTIFS($C$3:$Q$3,"NOTTE",$C32:$Q32,AK$3)=0)*(COUNTIFS($C$3:$Q$3,"NOTTE",$C31:$Q31,AK$3)=0))=0,"",IF(0+((AK32&lt;&gt;"Xm")*(AK32&lt;&gt;"Xp")*(AK32&lt;&gt;"Xg")*(COUNTIFS($C$3:$Q$3,"GIORNO",$C32:$Q32,AK$3)=0)*(COUNTIFS($C$3:$Q$3,"NOTTE",$C32:$Q32,AK$3)=0)*(COUNTIFS($C$3:$Q$3,"NOTTE",$C31:$Q31,AK$3)=0))+((AK32&lt;&gt;"Xn")*(COUNTIFS($C$3:$Q$3,"GIORNO",$C32:$Q32,AK$3)=0)*(COUNTIFS($C$3:$Q$3,"NOTTE",$C32:$Q32,AK$3)=0)*(COUNTIFS($C$3:$Q$3,"NOTTE",$C31:$Q31,AK$3)=0))=2,AK$3&amp;", ",AK$3&amp;IF((AK32&lt;&gt;"Xm")*(AK32&lt;&gt;"Xp")*(AK32&lt;&gt;"Xg")*(COUNTIFS($C$3:$Q$3,"GIORNO",$C32:$Q32,AK$3)=0)*(COUNTIFS($C$3:$Q$3,"NOTTE",$C32:$Q32,AK$3)=0)*(COUNTIFS($C$3:$Q$3,"NOTTE",$C31:$Q31,AK$3)=0),"_g","")&amp;IF((AK32&lt;&gt;"Xn")*(COUNTIFS($C$3:$Q$3,"GIORNO",$C32:$Q32,AK$3)=0)*(COUNTIFS($C$3:$Q$3,"NOTTE",$C32:$Q32,AK$3)=0)*(COUNTIFS($C$3:$Q$3,"NOTTE",$C31:$Q31,AK$3)=0),"_n","")&amp;", ")))</f>
        <v xml:space="preserve">CONTI S, </v>
      </c>
      <c r="CO32" s="9" t="str">
        <f>IF(0+(AL32="X")&gt;0,"",IF(0+((AL32&lt;&gt;"Xm")*(AL32&lt;&gt;"Xp")*(AL32&lt;&gt;"Xg")*(COUNTIFS($C$3:$Q$3,"GIORNO",$C32:$Q32,AL$3)=0)*(COUNTIFS($C$3:$Q$3,"NOTTE",$C32:$Q32,AL$3)=0)*(COUNTIFS($C$3:$Q$3,"NOTTE",$C31:$Q31,AL$3)=0))+((AL32&lt;&gt;"Xn")*(COUNTIFS($C$3:$Q$3,"GIORNO",$C32:$Q32,AL$3)=0)*(COUNTIFS($C$3:$Q$3,"NOTTE",$C32:$Q32,AL$3)=0)*(COUNTIFS($C$3:$Q$3,"NOTTE",$C31:$Q31,AL$3)=0))=0,"",IF(0+((AL32&lt;&gt;"Xm")*(AL32&lt;&gt;"Xp")*(AL32&lt;&gt;"Xg")*(COUNTIFS($C$3:$Q$3,"GIORNO",$C32:$Q32,AL$3)=0)*(COUNTIFS($C$3:$Q$3,"NOTTE",$C32:$Q32,AL$3)=0)*(COUNTIFS($C$3:$Q$3,"NOTTE",$C31:$Q31,AL$3)=0))+((AL32&lt;&gt;"Xn")*(COUNTIFS($C$3:$Q$3,"GIORNO",$C32:$Q32,AL$3)=0)*(COUNTIFS($C$3:$Q$3,"NOTTE",$C32:$Q32,AL$3)=0)*(COUNTIFS($C$3:$Q$3,"NOTTE",$C31:$Q31,AL$3)=0))=2,AL$3&amp;", ",AL$3&amp;IF((AL32&lt;&gt;"Xm")*(AL32&lt;&gt;"Xp")*(AL32&lt;&gt;"Xg")*(COUNTIFS($C$3:$Q$3,"GIORNO",$C32:$Q32,AL$3)=0)*(COUNTIFS($C$3:$Q$3,"NOTTE",$C32:$Q32,AL$3)=0)*(COUNTIFS($C$3:$Q$3,"NOTTE",$C31:$Q31,AL$3)=0),"_g","")&amp;IF((AL32&lt;&gt;"Xn")*(COUNTIFS($C$3:$Q$3,"GIORNO",$C32:$Q32,AL$3)=0)*(COUNTIFS($C$3:$Q$3,"NOTTE",$C32:$Q32,AL$3)=0)*(COUNTIFS($C$3:$Q$3,"NOTTE",$C31:$Q31,AL$3)=0),"_n","")&amp;", ")))</f>
        <v xml:space="preserve">FERRARI, </v>
      </c>
      <c r="CP32" s="9" t="str">
        <f>IF(0+(AM32="X")&gt;0,"",IF(0+((AM32&lt;&gt;"Xm")*(AM32&lt;&gt;"Xp")*(AM32&lt;&gt;"Xg")*(COUNTIFS($C$3:$Q$3,"GIORNO",$C32:$Q32,AM$3)=0)*(COUNTIFS($C$3:$Q$3,"NOTTE",$C32:$Q32,AM$3)=0)*(COUNTIFS($C$3:$Q$3,"NOTTE",$C31:$Q31,AM$3)=0))+((AM32&lt;&gt;"Xn")*(COUNTIFS($C$3:$Q$3,"GIORNO",$C32:$Q32,AM$3)=0)*(COUNTIFS($C$3:$Q$3,"NOTTE",$C32:$Q32,AM$3)=0)*(COUNTIFS($C$3:$Q$3,"NOTTE",$C31:$Q31,AM$3)=0))=0,"",IF(0+((AM32&lt;&gt;"Xm")*(AM32&lt;&gt;"Xp")*(AM32&lt;&gt;"Xg")*(COUNTIFS($C$3:$Q$3,"GIORNO",$C32:$Q32,AM$3)=0)*(COUNTIFS($C$3:$Q$3,"NOTTE",$C32:$Q32,AM$3)=0)*(COUNTIFS($C$3:$Q$3,"NOTTE",$C31:$Q31,AM$3)=0))+((AM32&lt;&gt;"Xn")*(COUNTIFS($C$3:$Q$3,"GIORNO",$C32:$Q32,AM$3)=0)*(COUNTIFS($C$3:$Q$3,"NOTTE",$C32:$Q32,AM$3)=0)*(COUNTIFS($C$3:$Q$3,"NOTTE",$C31:$Q31,AM$3)=0))=2,AM$3&amp;", ",AM$3&amp;IF((AM32&lt;&gt;"Xm")*(AM32&lt;&gt;"Xp")*(AM32&lt;&gt;"Xg")*(COUNTIFS($C$3:$Q$3,"GIORNO",$C32:$Q32,AM$3)=0)*(COUNTIFS($C$3:$Q$3,"NOTTE",$C32:$Q32,AM$3)=0)*(COUNTIFS($C$3:$Q$3,"NOTTE",$C31:$Q31,AM$3)=0),"_g","")&amp;IF((AM32&lt;&gt;"Xn")*(COUNTIFS($C$3:$Q$3,"GIORNO",$C32:$Q32,AM$3)=0)*(COUNTIFS($C$3:$Q$3,"NOTTE",$C32:$Q32,AM$3)=0)*(COUNTIFS($C$3:$Q$3,"NOTTE",$C31:$Q31,AM$3)=0),"_n","")&amp;", ")))</f>
        <v xml:space="preserve">GRECO, </v>
      </c>
      <c r="CQ32" s="9" t="str">
        <f>IF(0+(AN32="X")&gt;0,"",IF(0+((AN32&lt;&gt;"Xm")*(AN32&lt;&gt;"Xp")*(AN32&lt;&gt;"Xg")*(COUNTIFS($C$3:$Q$3,"GIORNO",$C32:$Q32,AN$3)=0)*(COUNTIFS($C$3:$Q$3,"NOTTE",$C32:$Q32,AN$3)=0)*(COUNTIFS($C$3:$Q$3,"NOTTE",$C31:$Q31,AN$3)=0))+((AN32&lt;&gt;"Xn")*(COUNTIFS($C$3:$Q$3,"GIORNO",$C32:$Q32,AN$3)=0)*(COUNTIFS($C$3:$Q$3,"NOTTE",$C32:$Q32,AN$3)=0)*(COUNTIFS($C$3:$Q$3,"NOTTE",$C31:$Q31,AN$3)=0))=0,"",IF(0+((AN32&lt;&gt;"Xm")*(AN32&lt;&gt;"Xp")*(AN32&lt;&gt;"Xg")*(COUNTIFS($C$3:$Q$3,"GIORNO",$C32:$Q32,AN$3)=0)*(COUNTIFS($C$3:$Q$3,"NOTTE",$C32:$Q32,AN$3)=0)*(COUNTIFS($C$3:$Q$3,"NOTTE",$C31:$Q31,AN$3)=0))+((AN32&lt;&gt;"Xn")*(COUNTIFS($C$3:$Q$3,"GIORNO",$C32:$Q32,AN$3)=0)*(COUNTIFS($C$3:$Q$3,"NOTTE",$C32:$Q32,AN$3)=0)*(COUNTIFS($C$3:$Q$3,"NOTTE",$C31:$Q31,AN$3)=0))=2,AN$3&amp;", ",AN$3&amp;IF((AN32&lt;&gt;"Xm")*(AN32&lt;&gt;"Xp")*(AN32&lt;&gt;"Xg")*(COUNTIFS($C$3:$Q$3,"GIORNO",$C32:$Q32,AN$3)=0)*(COUNTIFS($C$3:$Q$3,"NOTTE",$C32:$Q32,AN$3)=0)*(COUNTIFS($C$3:$Q$3,"NOTTE",$C31:$Q31,AN$3)=0),"_g","")&amp;IF((AN32&lt;&gt;"Xn")*(COUNTIFS($C$3:$Q$3,"GIORNO",$C32:$Q32,AN$3)=0)*(COUNTIFS($C$3:$Q$3,"NOTTE",$C32:$Q32,AN$3)=0)*(COUNTIFS($C$3:$Q$3,"NOTTE",$C31:$Q31,AN$3)=0),"_n","")&amp;", ")))</f>
        <v xml:space="preserve">SANNA, </v>
      </c>
      <c r="CR32" s="9" t="str">
        <f>IF(0+(AO32="X")&gt;0,"",IF(0+((AO32&lt;&gt;"Xm")*(AO32&lt;&gt;"Xp")*(AO32&lt;&gt;"Xg")*(COUNTIFS($C$3:$Q$3,"GIORNO",$C32:$Q32,AO$3)=0)*(COUNTIFS($C$3:$Q$3,"NOTTE",$C32:$Q32,AO$3)=0)*(COUNTIFS($C$3:$Q$3,"NOTTE",$C31:$Q31,AO$3)=0))+((AO32&lt;&gt;"Xn")*(COUNTIFS($C$3:$Q$3,"GIORNO",$C32:$Q32,AO$3)=0)*(COUNTIFS($C$3:$Q$3,"NOTTE",$C32:$Q32,AO$3)=0)*(COUNTIFS($C$3:$Q$3,"NOTTE",$C31:$Q31,AO$3)=0))=0,"",IF(0+((AO32&lt;&gt;"Xm")*(AO32&lt;&gt;"Xp")*(AO32&lt;&gt;"Xg")*(COUNTIFS($C$3:$Q$3,"GIORNO",$C32:$Q32,AO$3)=0)*(COUNTIFS($C$3:$Q$3,"NOTTE",$C32:$Q32,AO$3)=0)*(COUNTIFS($C$3:$Q$3,"NOTTE",$C31:$Q31,AO$3)=0))+((AO32&lt;&gt;"Xn")*(COUNTIFS($C$3:$Q$3,"GIORNO",$C32:$Q32,AO$3)=0)*(COUNTIFS($C$3:$Q$3,"NOTTE",$C32:$Q32,AO$3)=0)*(COUNTIFS($C$3:$Q$3,"NOTTE",$C31:$Q31,AO$3)=0))=2,AO$3&amp;", ",AO$3&amp;IF((AO32&lt;&gt;"Xm")*(AO32&lt;&gt;"Xp")*(AO32&lt;&gt;"Xg")*(COUNTIFS($C$3:$Q$3,"GIORNO",$C32:$Q32,AO$3)=0)*(COUNTIFS($C$3:$Q$3,"NOTTE",$C32:$Q32,AO$3)=0)*(COUNTIFS($C$3:$Q$3,"NOTTE",$C31:$Q31,AO$3)=0),"_g","")&amp;IF((AO32&lt;&gt;"Xn")*(COUNTIFS($C$3:$Q$3,"GIORNO",$C32:$Q32,AO$3)=0)*(COUNTIFS($C$3:$Q$3,"NOTTE",$C32:$Q32,AO$3)=0)*(COUNTIFS($C$3:$Q$3,"NOTTE",$C31:$Q31,AO$3)=0),"_n","")&amp;", ")))</f>
        <v xml:space="preserve">LI, </v>
      </c>
    </row>
    <row r="33">
      <c r="A33" s="10" t="str">
        <f>CHOOSE(WEEKDAY(DATE($B$1,$A$2,B33),2),"lunedì","martedì","mercoledì","giovedì","venerdì","sabato","domenica")</f>
        <v>lunedì</v>
      </c>
      <c r="B33" s="10" t="n">
        <v>30</v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4" t="n"/>
      <c r="M33" s="11" t="n"/>
      <c r="N33" s="11" t="n"/>
      <c r="O33" s="11" t="n"/>
      <c r="P33" s="4" t="n"/>
      <c r="Q33" s="11" t="n"/>
      <c r="R33" s="11" t="n"/>
      <c r="S33" s="11">
        <f>IF(SUMPRODUCT(($C$3:$Q$3&lt;&gt;"")*($C33:$Q33&lt;&gt;"")*(LEFT($C33:$Q33,6)&lt;&gt;"chiuso")*(COUNTIFS($C33:$Q33,$C33:$Q33,$C$3:$Q$3,$C$3:$Q$3)&gt;1))&gt;0,"X","")</f>
      </c>
      <c r="T33" s="11" t="str">
        <f>IF(LEN(BP33&amp;BQ33&amp;BR33&amp;BS33&amp;BT33&amp;BU33&amp;BV33&amp;BW33&amp;BX33&amp;BY33&amp;BZ33&amp;CA33&amp;CB33&amp;CC33)=0,"",LEFT(BP33&amp;BQ33&amp;BR33&amp;BS33&amp;BT33&amp;BU33&amp;BV33&amp;BW33&amp;BX33&amp;BY33&amp;BZ33&amp;CA33&amp;CB33&amp;CC33,LEN(BP33&amp;BQ33&amp;BR33&amp;BS33&amp;BT33&amp;BU33&amp;BV33&amp;BW33&amp;BX33&amp;BY33&amp;BZ33&amp;CA33&amp;CB33&amp;CC33)-2))</f>
        <v>LEONI, ROSSI M, ROSSI L, GALLINA, RUSSO, VERDI, HU, MARINI, CONTI A, CONTI S, FERRARI, GRECO, SANNA, LI</v>
      </c>
      <c r="U33" s="11" t="str">
        <f>IF(LEN(CE33&amp;CF33&amp;CG33&amp;CH33&amp;CI33&amp;CJ33&amp;CK33&amp;CL33&amp;CM33&amp;CN33&amp;CO33&amp;CP33&amp;CQ33&amp;CR33)=0,"",LEFT(CE33&amp;CF33&amp;CG33&amp;CH33&amp;CI33&amp;CJ33&amp;CK33&amp;CL33&amp;CM33&amp;CN33&amp;CO33&amp;CP33&amp;CQ33&amp;CR33,LEN(CE33&amp;CF33&amp;CG33&amp;CH33&amp;CI33&amp;CJ33&amp;CK33&amp;CL33&amp;CM33&amp;CN33&amp;CO33&amp;CP33&amp;CQ33&amp;CR33)-2))</f>
        <v>LEONI, ROSSI M, ROSSI L, GALLINA, RUSSO, VERDI, HU, MARINI, CONTI A, CONTI S, FERRARI, GRECO, SANNA, LI</v>
      </c>
      <c r="Z33" s="10" t="str">
        <f>A33</f>
        <v>lunedì</v>
      </c>
      <c r="AA33" s="10">
        <f>B33</f>
        <v>30</v>
      </c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BP33" s="9" t="str">
        <f>IF(0+(AB33="X")&gt;0,"",IF(0+((AB33&lt;&gt;"Xm")*(AB33&lt;&gt;"Xg"))+((AB33&lt;&gt;"Xp")*(AB33&lt;&gt;"Xg"))+((AB33&lt;&gt;"Xn"))=0,"",IF(0+((AB33&lt;&gt;"Xm")*(AB33&lt;&gt;"Xg"))+((AB33&lt;&gt;"Xp")*(AB33&lt;&gt;"Xg"))+((AB33&lt;&gt;"Xn"))=3,AB$3&amp;", ",AB$3&amp;IF((AB33&lt;&gt;"Xm")*(AB33&lt;&gt;"Xg"),"_m","")&amp;IF((AB33&lt;&gt;"Xp")*(AB33&lt;&gt;"Xg"),"_p","")&amp;IF((AB33&lt;&gt;"Xn"),"_n","")&amp;", ")))</f>
        <v xml:space="preserve">LEONI, </v>
      </c>
      <c r="BQ33" s="9" t="str">
        <f>IF(0+(AC33="X")&gt;0,"",IF(0+((AC33&lt;&gt;"Xm")*(AC33&lt;&gt;"Xg"))+((AC33&lt;&gt;"Xp")*(AC33&lt;&gt;"Xg"))+((AC33&lt;&gt;"Xn"))=0,"",IF(0+((AC33&lt;&gt;"Xm")*(AC33&lt;&gt;"Xg"))+((AC33&lt;&gt;"Xp")*(AC33&lt;&gt;"Xg"))+((AC33&lt;&gt;"Xn"))=3,AC$3&amp;", ",AC$3&amp;IF((AC33&lt;&gt;"Xm")*(AC33&lt;&gt;"Xg"),"_m","")&amp;IF((AC33&lt;&gt;"Xp")*(AC33&lt;&gt;"Xg"),"_p","")&amp;IF((AC33&lt;&gt;"Xn"),"_n","")&amp;", ")))</f>
        <v xml:space="preserve">ROSSI M, </v>
      </c>
      <c r="BR33" s="9" t="str">
        <f>IF(0+(AD33="X")&gt;0,"",IF(0+((AD33&lt;&gt;"Xm")*(AD33&lt;&gt;"Xg"))+((AD33&lt;&gt;"Xp")*(AD33&lt;&gt;"Xg"))+((AD33&lt;&gt;"Xn"))=0,"",IF(0+((AD33&lt;&gt;"Xm")*(AD33&lt;&gt;"Xg"))+((AD33&lt;&gt;"Xp")*(AD33&lt;&gt;"Xg"))+((AD33&lt;&gt;"Xn"))=3,AD$3&amp;", ",AD$3&amp;IF((AD33&lt;&gt;"Xm")*(AD33&lt;&gt;"Xg"),"_m","")&amp;IF((AD33&lt;&gt;"Xp")*(AD33&lt;&gt;"Xg"),"_p","")&amp;IF((AD33&lt;&gt;"Xn"),"_n","")&amp;", ")))</f>
        <v xml:space="preserve">ROSSI L, </v>
      </c>
      <c r="BS33" s="9" t="str">
        <f>IF(0+(AE33="X")&gt;0,"",IF(0+((AE33&lt;&gt;"Xm")*(AE33&lt;&gt;"Xg"))+((AE33&lt;&gt;"Xp")*(AE33&lt;&gt;"Xg"))+((AE33&lt;&gt;"Xn"))=0,"",IF(0+((AE33&lt;&gt;"Xm")*(AE33&lt;&gt;"Xg"))+((AE33&lt;&gt;"Xp")*(AE33&lt;&gt;"Xg"))+((AE33&lt;&gt;"Xn"))=3,AE$3&amp;", ",AE$3&amp;IF((AE33&lt;&gt;"Xm")*(AE33&lt;&gt;"Xg"),"_m","")&amp;IF((AE33&lt;&gt;"Xp")*(AE33&lt;&gt;"Xg"),"_p","")&amp;IF((AE33&lt;&gt;"Xn"),"_n","")&amp;", ")))</f>
        <v xml:space="preserve">GALLINA, </v>
      </c>
      <c r="BT33" s="9" t="str">
        <f>IF(0+(AF33="X")&gt;0,"",IF(0+((AF33&lt;&gt;"Xm")*(AF33&lt;&gt;"Xg"))+((AF33&lt;&gt;"Xp")*(AF33&lt;&gt;"Xg"))+((AF33&lt;&gt;"Xn"))=0,"",IF(0+((AF33&lt;&gt;"Xm")*(AF33&lt;&gt;"Xg"))+((AF33&lt;&gt;"Xp")*(AF33&lt;&gt;"Xg"))+((AF33&lt;&gt;"Xn"))=3,AF$3&amp;", ",AF$3&amp;IF((AF33&lt;&gt;"Xm")*(AF33&lt;&gt;"Xg"),"_m","")&amp;IF((AF33&lt;&gt;"Xp")*(AF33&lt;&gt;"Xg"),"_p","")&amp;IF((AF33&lt;&gt;"Xn"),"_n","")&amp;", ")))</f>
        <v xml:space="preserve">RUSSO, </v>
      </c>
      <c r="BU33" s="9" t="str">
        <f>IF(0+(AG33="X")&gt;0,"",IF(0+((AG33&lt;&gt;"Xm")*(AG33&lt;&gt;"Xg"))+((AG33&lt;&gt;"Xp")*(AG33&lt;&gt;"Xg"))+((AG33&lt;&gt;"Xn"))=0,"",IF(0+((AG33&lt;&gt;"Xm")*(AG33&lt;&gt;"Xg"))+((AG33&lt;&gt;"Xp")*(AG33&lt;&gt;"Xg"))+((AG33&lt;&gt;"Xn"))=3,AG$3&amp;", ",AG$3&amp;IF((AG33&lt;&gt;"Xm")*(AG33&lt;&gt;"Xg"),"_m","")&amp;IF((AG33&lt;&gt;"Xp")*(AG33&lt;&gt;"Xg"),"_p","")&amp;IF((AG33&lt;&gt;"Xn"),"_n","")&amp;", ")))</f>
        <v xml:space="preserve">VERDI, </v>
      </c>
      <c r="BV33" s="9" t="str">
        <f>IF(0+(AH33="X")&gt;0,"",IF(0+((AH33&lt;&gt;"Xm")*(AH33&lt;&gt;"Xg"))+((AH33&lt;&gt;"Xp")*(AH33&lt;&gt;"Xg"))+((AH33&lt;&gt;"Xn"))=0,"",IF(0+((AH33&lt;&gt;"Xm")*(AH33&lt;&gt;"Xg"))+((AH33&lt;&gt;"Xp")*(AH33&lt;&gt;"Xg"))+((AH33&lt;&gt;"Xn"))=3,AH$3&amp;", ",AH$3&amp;IF((AH33&lt;&gt;"Xm")*(AH33&lt;&gt;"Xg"),"_m","")&amp;IF((AH33&lt;&gt;"Xp")*(AH33&lt;&gt;"Xg"),"_p","")&amp;IF((AH33&lt;&gt;"Xn"),"_n","")&amp;", ")))</f>
        <v xml:space="preserve">HU, </v>
      </c>
      <c r="BW33" s="9" t="str">
        <f>IF(0+(AI33="X")&gt;0,"",IF(0+((AI33&lt;&gt;"Xm")*(AI33&lt;&gt;"Xg"))+((AI33&lt;&gt;"Xp")*(AI33&lt;&gt;"Xg"))+((AI33&lt;&gt;"Xn"))=0,"",IF(0+((AI33&lt;&gt;"Xm")*(AI33&lt;&gt;"Xg"))+((AI33&lt;&gt;"Xp")*(AI33&lt;&gt;"Xg"))+((AI33&lt;&gt;"Xn"))=3,AI$3&amp;", ",AI$3&amp;IF((AI33&lt;&gt;"Xm")*(AI33&lt;&gt;"Xg"),"_m","")&amp;IF((AI33&lt;&gt;"Xp")*(AI33&lt;&gt;"Xg"),"_p","")&amp;IF((AI33&lt;&gt;"Xn"),"_n","")&amp;", ")))</f>
        <v xml:space="preserve">MARINI, </v>
      </c>
      <c r="BX33" s="9" t="str">
        <f>IF(0+(AJ33="X")&gt;0,"",IF(0+((AJ33&lt;&gt;"Xm")*(AJ33&lt;&gt;"Xg"))+((AJ33&lt;&gt;"Xp")*(AJ33&lt;&gt;"Xg"))+((AJ33&lt;&gt;"Xn"))=0,"",IF(0+((AJ33&lt;&gt;"Xm")*(AJ33&lt;&gt;"Xg"))+((AJ33&lt;&gt;"Xp")*(AJ33&lt;&gt;"Xg"))+((AJ33&lt;&gt;"Xn"))=3,AJ$3&amp;", ",AJ$3&amp;IF((AJ33&lt;&gt;"Xm")*(AJ33&lt;&gt;"Xg"),"_m","")&amp;IF((AJ33&lt;&gt;"Xp")*(AJ33&lt;&gt;"Xg"),"_p","")&amp;IF((AJ33&lt;&gt;"Xn"),"_n","")&amp;", ")))</f>
        <v xml:space="preserve">CONTI A, </v>
      </c>
      <c r="BY33" s="9" t="str">
        <f>IF(0+(AK33="X")&gt;0,"",IF(0+((AK33&lt;&gt;"Xm")*(AK33&lt;&gt;"Xg"))+((AK33&lt;&gt;"Xp")*(AK33&lt;&gt;"Xg"))+((AK33&lt;&gt;"Xn"))=0,"",IF(0+((AK33&lt;&gt;"Xm")*(AK33&lt;&gt;"Xg"))+((AK33&lt;&gt;"Xp")*(AK33&lt;&gt;"Xg"))+((AK33&lt;&gt;"Xn"))=3,AK$3&amp;", ",AK$3&amp;IF((AK33&lt;&gt;"Xm")*(AK33&lt;&gt;"Xg"),"_m","")&amp;IF((AK33&lt;&gt;"Xp")*(AK33&lt;&gt;"Xg"),"_p","")&amp;IF((AK33&lt;&gt;"Xn"),"_n","")&amp;", ")))</f>
        <v xml:space="preserve">CONTI S, </v>
      </c>
      <c r="BZ33" s="9" t="str">
        <f>IF(0+(AL33="X")&gt;0,"",IF(0+((AL33&lt;&gt;"Xm")*(AL33&lt;&gt;"Xg"))+((AL33&lt;&gt;"Xp")*(AL33&lt;&gt;"Xg"))+((AL33&lt;&gt;"Xn"))=0,"",IF(0+((AL33&lt;&gt;"Xm")*(AL33&lt;&gt;"Xg"))+((AL33&lt;&gt;"Xp")*(AL33&lt;&gt;"Xg"))+((AL33&lt;&gt;"Xn"))=3,AL$3&amp;", ",AL$3&amp;IF((AL33&lt;&gt;"Xm")*(AL33&lt;&gt;"Xg"),"_m","")&amp;IF((AL33&lt;&gt;"Xp")*(AL33&lt;&gt;"Xg"),"_p","")&amp;IF((AL33&lt;&gt;"Xn"),"_n","")&amp;", ")))</f>
        <v xml:space="preserve">FERRARI, </v>
      </c>
      <c r="CA33" s="9" t="str">
        <f>IF(0+(AM33="X")&gt;0,"",IF(0+((AM33&lt;&gt;"Xm")*(AM33&lt;&gt;"Xg"))+((AM33&lt;&gt;"Xp")*(AM33&lt;&gt;"Xg"))+((AM33&lt;&gt;"Xn"))=0,"",IF(0+((AM33&lt;&gt;"Xm")*(AM33&lt;&gt;"Xg"))+((AM33&lt;&gt;"Xp")*(AM33&lt;&gt;"Xg"))+((AM33&lt;&gt;"Xn"))=3,AM$3&amp;", ",AM$3&amp;IF((AM33&lt;&gt;"Xm")*(AM33&lt;&gt;"Xg"),"_m","")&amp;IF((AM33&lt;&gt;"Xp")*(AM33&lt;&gt;"Xg"),"_p","")&amp;IF((AM33&lt;&gt;"Xn"),"_n","")&amp;", ")))</f>
        <v xml:space="preserve">GRECO, </v>
      </c>
      <c r="CB33" s="9" t="str">
        <f>IF(0+(AN33="X")&gt;0,"",IF(0+((AN33&lt;&gt;"Xm")*(AN33&lt;&gt;"Xg"))+((AN33&lt;&gt;"Xp")*(AN33&lt;&gt;"Xg"))+((AN33&lt;&gt;"Xn"))=0,"",IF(0+((AN33&lt;&gt;"Xm")*(AN33&lt;&gt;"Xg"))+((AN33&lt;&gt;"Xp")*(AN33&lt;&gt;"Xg"))+((AN33&lt;&gt;"Xn"))=3,AN$3&amp;", ",AN$3&amp;IF((AN33&lt;&gt;"Xm")*(AN33&lt;&gt;"Xg"),"_m","")&amp;IF((AN33&lt;&gt;"Xp")*(AN33&lt;&gt;"Xg"),"_p","")&amp;IF((AN33&lt;&gt;"Xn"),"_n","")&amp;", ")))</f>
        <v xml:space="preserve">SANNA, </v>
      </c>
      <c r="CC33" s="9" t="str">
        <f>IF(0+(AO33="X")&gt;0,"",IF(0+((AO33&lt;&gt;"Xm")*(AO33&lt;&gt;"Xg"))+((AO33&lt;&gt;"Xp")*(AO33&lt;&gt;"Xg"))+((AO33&lt;&gt;"Xn"))=0,"",IF(0+((AO33&lt;&gt;"Xm")*(AO33&lt;&gt;"Xg"))+((AO33&lt;&gt;"Xp")*(AO33&lt;&gt;"Xg"))+((AO33&lt;&gt;"Xn"))=3,AO$3&amp;", ",AO$3&amp;IF((AO33&lt;&gt;"Xm")*(AO33&lt;&gt;"Xg"),"_m","")&amp;IF((AO33&lt;&gt;"Xp")*(AO33&lt;&gt;"Xg"),"_p","")&amp;IF((AO33&lt;&gt;"Xn"),"_n","")&amp;", ")))</f>
        <v xml:space="preserve">LI, </v>
      </c>
      <c r="CD33" s="9" t="n"/>
      <c r="CE33" s="9" t="str">
        <f>IF(0+(AB33="X")&gt;0,"",IF(0+((AB33&lt;&gt;"Xm")*(AB33&lt;&gt;"Xg")*(COUNTIFS($C$3:$Q$3,"MAT",$C33:$Q33,AB$3)=0)*(COUNTIFS($C$3:$Q$3,"NOTTE",$C33:$Q33,AB$3)=0)*(COUNTIFS($C$3:$Q$3,"NOTTE",$C32:$Q32,AB$3)=0))+((AB33&lt;&gt;"Xp")*(AB33&lt;&gt;"Xg")*(COUNTIFS($C$3:$Q$3,"POM",$C33:$Q33,AB$3)=0)*(COUNTIFS($C$3:$Q$3,"NOTTE",$C33:$Q33,AB$3)=0)*(COUNTIFS($C$3:$Q$3,"NOTTE",$C32:$Q32,AB$3)=0))+((AB33&lt;&gt;"Xn")*(COUNTIFS($C$3:$Q$3,"MAT",$C33:$Q33,AB$3)=0)*(COUNTIFS($C$3:$Q$3,"POM",$C33:$Q33,AB$3)=0)*(COUNTIFS($C$3:$Q$3,"NOTTE",$C33:$Q33,AB$3)=0)*(COUNTIFS($C$3:$Q$3,"NOTTE",$C32:$Q32,AB$3)=0))=0,"",IF(0+((AB33&lt;&gt;"Xm")*(AB33&lt;&gt;"Xg")*(COUNTIFS($C$3:$Q$3,"MAT",$C33:$Q33,AB$3)=0)*(COUNTIFS($C$3:$Q$3,"NOTTE",$C33:$Q33,AB$3)=0)*(COUNTIFS($C$3:$Q$3,"NOTTE",$C32:$Q32,AB$3)=0))+((AB33&lt;&gt;"Xp")*(AB33&lt;&gt;"Xg")*(COUNTIFS($C$3:$Q$3,"POM",$C33:$Q33,AB$3)=0)*(COUNTIFS($C$3:$Q$3,"NOTTE",$C33:$Q33,AB$3)=0)*(COUNTIFS($C$3:$Q$3,"NOTTE",$C32:$Q32,AB$3)=0))+((AB33&lt;&gt;"Xn")*(COUNTIFS($C$3:$Q$3,"MAT",$C33:$Q33,AB$3)=0)*(COUNTIFS($C$3:$Q$3,"POM",$C33:$Q33,AB$3)=0)*(COUNTIFS($C$3:$Q$3,"NOTTE",$C33:$Q33,AB$3)=0)*(COUNTIFS($C$3:$Q$3,"NOTTE",$C32:$Q32,AB$3)=0))=3,AB$3&amp;", ",AB$3&amp;IF((AB33&lt;&gt;"Xm")*(AB33&lt;&gt;"Xg")*(COUNTIFS($C$3:$Q$3,"MAT",$C33:$Q33,AB$3)=0)*(COUNTIFS($C$3:$Q$3,"NOTTE",$C33:$Q33,AB$3)=0)*(COUNTIFS($C$3:$Q$3,"NOTTE",$C32:$Q32,AB$3)=0),"_m","")&amp;IF((AB33&lt;&gt;"Xp")*(AB33&lt;&gt;"Xg")*(COUNTIFS($C$3:$Q$3,"POM",$C33:$Q33,AB$3)=0)*(COUNTIFS($C$3:$Q$3,"NOTTE",$C33:$Q33,AB$3)=0)*(COUNTIFS($C$3:$Q$3,"NOTTE",$C32:$Q32,AB$3)=0),"_p","")&amp;IF((AB33&lt;&gt;"Xn")*(COUNTIFS($C$3:$Q$3,"MAT",$C33:$Q33,AB$3)=0)*(COUNTIFS($C$3:$Q$3,"POM",$C33:$Q33,AB$3)=0)*(COUNTIFS($C$3:$Q$3,"NOTTE",$C33:$Q33,AB$3)=0)*(COUNTIFS($C$3:$Q$3,"NOTTE",$C32:$Q32,AB$3)=0),"_n","")&amp;", ")))</f>
        <v xml:space="preserve">LEONI, </v>
      </c>
      <c r="CF33" s="9" t="str">
        <f>IF(0+(AC33="X")&gt;0,"",IF(0+((AC33&lt;&gt;"Xm")*(AC33&lt;&gt;"Xg")*(COUNTIFS($C$3:$Q$3,"MAT",$C33:$Q33,AC$3)=0)*(COUNTIFS($C$3:$Q$3,"NOTTE",$C33:$Q33,AC$3)=0)*(COUNTIFS($C$3:$Q$3,"NOTTE",$C32:$Q32,AC$3)=0))+((AC33&lt;&gt;"Xp")*(AC33&lt;&gt;"Xg")*(COUNTIFS($C$3:$Q$3,"POM",$C33:$Q33,AC$3)=0)*(COUNTIFS($C$3:$Q$3,"NOTTE",$C33:$Q33,AC$3)=0)*(COUNTIFS($C$3:$Q$3,"NOTTE",$C32:$Q32,AC$3)=0))+((AC33&lt;&gt;"Xn")*(COUNTIFS($C$3:$Q$3,"MAT",$C33:$Q33,AC$3)=0)*(COUNTIFS($C$3:$Q$3,"POM",$C33:$Q33,AC$3)=0)*(COUNTIFS($C$3:$Q$3,"NOTTE",$C33:$Q33,AC$3)=0)*(COUNTIFS($C$3:$Q$3,"NOTTE",$C32:$Q32,AC$3)=0))=0,"",IF(0+((AC33&lt;&gt;"Xm")*(AC33&lt;&gt;"Xg")*(COUNTIFS($C$3:$Q$3,"MAT",$C33:$Q33,AC$3)=0)*(COUNTIFS($C$3:$Q$3,"NOTTE",$C33:$Q33,AC$3)=0)*(COUNTIFS($C$3:$Q$3,"NOTTE",$C32:$Q32,AC$3)=0))+((AC33&lt;&gt;"Xp")*(AC33&lt;&gt;"Xg")*(COUNTIFS($C$3:$Q$3,"POM",$C33:$Q33,AC$3)=0)*(COUNTIFS($C$3:$Q$3,"NOTTE",$C33:$Q33,AC$3)=0)*(COUNTIFS($C$3:$Q$3,"NOTTE",$C32:$Q32,AC$3)=0))+((AC33&lt;&gt;"Xn")*(COUNTIFS($C$3:$Q$3,"MAT",$C33:$Q33,AC$3)=0)*(COUNTIFS($C$3:$Q$3,"POM",$C33:$Q33,AC$3)=0)*(COUNTIFS($C$3:$Q$3,"NOTTE",$C33:$Q33,AC$3)=0)*(COUNTIFS($C$3:$Q$3,"NOTTE",$C32:$Q32,AC$3)=0))=3,AC$3&amp;", ",AC$3&amp;IF((AC33&lt;&gt;"Xm")*(AC33&lt;&gt;"Xg")*(COUNTIFS($C$3:$Q$3,"MAT",$C33:$Q33,AC$3)=0)*(COUNTIFS($C$3:$Q$3,"NOTTE",$C33:$Q33,AC$3)=0)*(COUNTIFS($C$3:$Q$3,"NOTTE",$C32:$Q32,AC$3)=0),"_m","")&amp;IF((AC33&lt;&gt;"Xp")*(AC33&lt;&gt;"Xg")*(COUNTIFS($C$3:$Q$3,"POM",$C33:$Q33,AC$3)=0)*(COUNTIFS($C$3:$Q$3,"NOTTE",$C33:$Q33,AC$3)=0)*(COUNTIFS($C$3:$Q$3,"NOTTE",$C32:$Q32,AC$3)=0),"_p","")&amp;IF((AC33&lt;&gt;"Xn")*(COUNTIFS($C$3:$Q$3,"MAT",$C33:$Q33,AC$3)=0)*(COUNTIFS($C$3:$Q$3,"POM",$C33:$Q33,AC$3)=0)*(COUNTIFS($C$3:$Q$3,"NOTTE",$C33:$Q33,AC$3)=0)*(COUNTIFS($C$3:$Q$3,"NOTTE",$C32:$Q32,AC$3)=0),"_n","")&amp;", ")))</f>
        <v xml:space="preserve">ROSSI M, </v>
      </c>
      <c r="CG33" s="9" t="str">
        <f>IF(0+(AD33="X")&gt;0,"",IF(0+((AD33&lt;&gt;"Xm")*(AD33&lt;&gt;"Xg")*(COUNTIFS($C$3:$Q$3,"MAT",$C33:$Q33,AD$3)=0)*(COUNTIFS($C$3:$Q$3,"NOTTE",$C33:$Q33,AD$3)=0)*(COUNTIFS($C$3:$Q$3,"NOTTE",$C32:$Q32,AD$3)=0))+((AD33&lt;&gt;"Xp")*(AD33&lt;&gt;"Xg")*(COUNTIFS($C$3:$Q$3,"POM",$C33:$Q33,AD$3)=0)*(COUNTIFS($C$3:$Q$3,"NOTTE",$C33:$Q33,AD$3)=0)*(COUNTIFS($C$3:$Q$3,"NOTTE",$C32:$Q32,AD$3)=0))+((AD33&lt;&gt;"Xn")*(COUNTIFS($C$3:$Q$3,"MAT",$C33:$Q33,AD$3)=0)*(COUNTIFS($C$3:$Q$3,"POM",$C33:$Q33,AD$3)=0)*(COUNTIFS($C$3:$Q$3,"NOTTE",$C33:$Q33,AD$3)=0)*(COUNTIFS($C$3:$Q$3,"NOTTE",$C32:$Q32,AD$3)=0))=0,"",IF(0+((AD33&lt;&gt;"Xm")*(AD33&lt;&gt;"Xg")*(COUNTIFS($C$3:$Q$3,"MAT",$C33:$Q33,AD$3)=0)*(COUNTIFS($C$3:$Q$3,"NOTTE",$C33:$Q33,AD$3)=0)*(COUNTIFS($C$3:$Q$3,"NOTTE",$C32:$Q32,AD$3)=0))+((AD33&lt;&gt;"Xp")*(AD33&lt;&gt;"Xg")*(COUNTIFS($C$3:$Q$3,"POM",$C33:$Q33,AD$3)=0)*(COUNTIFS($C$3:$Q$3,"NOTTE",$C33:$Q33,AD$3)=0)*(COUNTIFS($C$3:$Q$3,"NOTTE",$C32:$Q32,AD$3)=0))+((AD33&lt;&gt;"Xn")*(COUNTIFS($C$3:$Q$3,"MAT",$C33:$Q33,AD$3)=0)*(COUNTIFS($C$3:$Q$3,"POM",$C33:$Q33,AD$3)=0)*(COUNTIFS($C$3:$Q$3,"NOTTE",$C33:$Q33,AD$3)=0)*(COUNTIFS($C$3:$Q$3,"NOTTE",$C32:$Q32,AD$3)=0))=3,AD$3&amp;", ",AD$3&amp;IF((AD33&lt;&gt;"Xm")*(AD33&lt;&gt;"Xg")*(COUNTIFS($C$3:$Q$3,"MAT",$C33:$Q33,AD$3)=0)*(COUNTIFS($C$3:$Q$3,"NOTTE",$C33:$Q33,AD$3)=0)*(COUNTIFS($C$3:$Q$3,"NOTTE",$C32:$Q32,AD$3)=0),"_m","")&amp;IF((AD33&lt;&gt;"Xp")*(AD33&lt;&gt;"Xg")*(COUNTIFS($C$3:$Q$3,"POM",$C33:$Q33,AD$3)=0)*(COUNTIFS($C$3:$Q$3,"NOTTE",$C33:$Q33,AD$3)=0)*(COUNTIFS($C$3:$Q$3,"NOTTE",$C32:$Q32,AD$3)=0),"_p","")&amp;IF((AD33&lt;&gt;"Xn")*(COUNTIFS($C$3:$Q$3,"MAT",$C33:$Q33,AD$3)=0)*(COUNTIFS($C$3:$Q$3,"POM",$C33:$Q33,AD$3)=0)*(COUNTIFS($C$3:$Q$3,"NOTTE",$C33:$Q33,AD$3)=0)*(COUNTIFS($C$3:$Q$3,"NOTTE",$C32:$Q32,AD$3)=0),"_n","")&amp;", ")))</f>
        <v xml:space="preserve">ROSSI L, </v>
      </c>
      <c r="CH33" s="9" t="str">
        <f>IF(0+(AE33="X")&gt;0,"",IF(0+((AE33&lt;&gt;"Xm")*(AE33&lt;&gt;"Xg")*(COUNTIFS($C$3:$Q$3,"MAT",$C33:$Q33,AE$3)=0)*(COUNTIFS($C$3:$Q$3,"NOTTE",$C33:$Q33,AE$3)=0)*(COUNTIFS($C$3:$Q$3,"NOTTE",$C32:$Q32,AE$3)=0))+((AE33&lt;&gt;"Xp")*(AE33&lt;&gt;"Xg")*(COUNTIFS($C$3:$Q$3,"POM",$C33:$Q33,AE$3)=0)*(COUNTIFS($C$3:$Q$3,"NOTTE",$C33:$Q33,AE$3)=0)*(COUNTIFS($C$3:$Q$3,"NOTTE",$C32:$Q32,AE$3)=0))+((AE33&lt;&gt;"Xn")*(COUNTIFS($C$3:$Q$3,"MAT",$C33:$Q33,AE$3)=0)*(COUNTIFS($C$3:$Q$3,"POM",$C33:$Q33,AE$3)=0)*(COUNTIFS($C$3:$Q$3,"NOTTE",$C33:$Q33,AE$3)=0)*(COUNTIFS($C$3:$Q$3,"NOTTE",$C32:$Q32,AE$3)=0))=0,"",IF(0+((AE33&lt;&gt;"Xm")*(AE33&lt;&gt;"Xg")*(COUNTIFS($C$3:$Q$3,"MAT",$C33:$Q33,AE$3)=0)*(COUNTIFS($C$3:$Q$3,"NOTTE",$C33:$Q33,AE$3)=0)*(COUNTIFS($C$3:$Q$3,"NOTTE",$C32:$Q32,AE$3)=0))+((AE33&lt;&gt;"Xp")*(AE33&lt;&gt;"Xg")*(COUNTIFS($C$3:$Q$3,"POM",$C33:$Q33,AE$3)=0)*(COUNTIFS($C$3:$Q$3,"NOTTE",$C33:$Q33,AE$3)=0)*(COUNTIFS($C$3:$Q$3,"NOTTE",$C32:$Q32,AE$3)=0))+((AE33&lt;&gt;"Xn")*(COUNTIFS($C$3:$Q$3,"MAT",$C33:$Q33,AE$3)=0)*(COUNTIFS($C$3:$Q$3,"POM",$C33:$Q33,AE$3)=0)*(COUNTIFS($C$3:$Q$3,"NOTTE",$C33:$Q33,AE$3)=0)*(COUNTIFS($C$3:$Q$3,"NOTTE",$C32:$Q32,AE$3)=0))=3,AE$3&amp;", ",AE$3&amp;IF((AE33&lt;&gt;"Xm")*(AE33&lt;&gt;"Xg")*(COUNTIFS($C$3:$Q$3,"MAT",$C33:$Q33,AE$3)=0)*(COUNTIFS($C$3:$Q$3,"NOTTE",$C33:$Q33,AE$3)=0)*(COUNTIFS($C$3:$Q$3,"NOTTE",$C32:$Q32,AE$3)=0),"_m","")&amp;IF((AE33&lt;&gt;"Xp")*(AE33&lt;&gt;"Xg")*(COUNTIFS($C$3:$Q$3,"POM",$C33:$Q33,AE$3)=0)*(COUNTIFS($C$3:$Q$3,"NOTTE",$C33:$Q33,AE$3)=0)*(COUNTIFS($C$3:$Q$3,"NOTTE",$C32:$Q32,AE$3)=0),"_p","")&amp;IF((AE33&lt;&gt;"Xn")*(COUNTIFS($C$3:$Q$3,"MAT",$C33:$Q33,AE$3)=0)*(COUNTIFS($C$3:$Q$3,"POM",$C33:$Q33,AE$3)=0)*(COUNTIFS($C$3:$Q$3,"NOTTE",$C33:$Q33,AE$3)=0)*(COUNTIFS($C$3:$Q$3,"NOTTE",$C32:$Q32,AE$3)=0),"_n","")&amp;", ")))</f>
        <v xml:space="preserve">GALLINA, </v>
      </c>
      <c r="CI33" s="9" t="str">
        <f>IF(0+(AF33="X")&gt;0,"",IF(0+((AF33&lt;&gt;"Xm")*(AF33&lt;&gt;"Xg")*(COUNTIFS($C$3:$Q$3,"MAT",$C33:$Q33,AF$3)=0)*(COUNTIFS($C$3:$Q$3,"NOTTE",$C33:$Q33,AF$3)=0)*(COUNTIFS($C$3:$Q$3,"NOTTE",$C32:$Q32,AF$3)=0))+((AF33&lt;&gt;"Xp")*(AF33&lt;&gt;"Xg")*(COUNTIFS($C$3:$Q$3,"POM",$C33:$Q33,AF$3)=0)*(COUNTIFS($C$3:$Q$3,"NOTTE",$C33:$Q33,AF$3)=0)*(COUNTIFS($C$3:$Q$3,"NOTTE",$C32:$Q32,AF$3)=0))+((AF33&lt;&gt;"Xn")*(COUNTIFS($C$3:$Q$3,"MAT",$C33:$Q33,AF$3)=0)*(COUNTIFS($C$3:$Q$3,"POM",$C33:$Q33,AF$3)=0)*(COUNTIFS($C$3:$Q$3,"NOTTE",$C33:$Q33,AF$3)=0)*(COUNTIFS($C$3:$Q$3,"NOTTE",$C32:$Q32,AF$3)=0))=0,"",IF(0+((AF33&lt;&gt;"Xm")*(AF33&lt;&gt;"Xg")*(COUNTIFS($C$3:$Q$3,"MAT",$C33:$Q33,AF$3)=0)*(COUNTIFS($C$3:$Q$3,"NOTTE",$C33:$Q33,AF$3)=0)*(COUNTIFS($C$3:$Q$3,"NOTTE",$C32:$Q32,AF$3)=0))+((AF33&lt;&gt;"Xp")*(AF33&lt;&gt;"Xg")*(COUNTIFS($C$3:$Q$3,"POM",$C33:$Q33,AF$3)=0)*(COUNTIFS($C$3:$Q$3,"NOTTE",$C33:$Q33,AF$3)=0)*(COUNTIFS($C$3:$Q$3,"NOTTE",$C32:$Q32,AF$3)=0))+((AF33&lt;&gt;"Xn")*(COUNTIFS($C$3:$Q$3,"MAT",$C33:$Q33,AF$3)=0)*(COUNTIFS($C$3:$Q$3,"POM",$C33:$Q33,AF$3)=0)*(COUNTIFS($C$3:$Q$3,"NOTTE",$C33:$Q33,AF$3)=0)*(COUNTIFS($C$3:$Q$3,"NOTTE",$C32:$Q32,AF$3)=0))=3,AF$3&amp;", ",AF$3&amp;IF((AF33&lt;&gt;"Xm")*(AF33&lt;&gt;"Xg")*(COUNTIFS($C$3:$Q$3,"MAT",$C33:$Q33,AF$3)=0)*(COUNTIFS($C$3:$Q$3,"NOTTE",$C33:$Q33,AF$3)=0)*(COUNTIFS($C$3:$Q$3,"NOTTE",$C32:$Q32,AF$3)=0),"_m","")&amp;IF((AF33&lt;&gt;"Xp")*(AF33&lt;&gt;"Xg")*(COUNTIFS($C$3:$Q$3,"POM",$C33:$Q33,AF$3)=0)*(COUNTIFS($C$3:$Q$3,"NOTTE",$C33:$Q33,AF$3)=0)*(COUNTIFS($C$3:$Q$3,"NOTTE",$C32:$Q32,AF$3)=0),"_p","")&amp;IF((AF33&lt;&gt;"Xn")*(COUNTIFS($C$3:$Q$3,"MAT",$C33:$Q33,AF$3)=0)*(COUNTIFS($C$3:$Q$3,"POM",$C33:$Q33,AF$3)=0)*(COUNTIFS($C$3:$Q$3,"NOTTE",$C33:$Q33,AF$3)=0)*(COUNTIFS($C$3:$Q$3,"NOTTE",$C32:$Q32,AF$3)=0),"_n","")&amp;", ")))</f>
        <v xml:space="preserve">RUSSO, </v>
      </c>
      <c r="CJ33" s="9" t="str">
        <f>IF(0+(AG33="X")&gt;0,"",IF(0+((AG33&lt;&gt;"Xm")*(AG33&lt;&gt;"Xg")*(COUNTIFS($C$3:$Q$3,"MAT",$C33:$Q33,AG$3)=0)*(COUNTIFS($C$3:$Q$3,"NOTTE",$C33:$Q33,AG$3)=0)*(COUNTIFS($C$3:$Q$3,"NOTTE",$C32:$Q32,AG$3)=0))+((AG33&lt;&gt;"Xp")*(AG33&lt;&gt;"Xg")*(COUNTIFS($C$3:$Q$3,"POM",$C33:$Q33,AG$3)=0)*(COUNTIFS($C$3:$Q$3,"NOTTE",$C33:$Q33,AG$3)=0)*(COUNTIFS($C$3:$Q$3,"NOTTE",$C32:$Q32,AG$3)=0))+((AG33&lt;&gt;"Xn")*(COUNTIFS($C$3:$Q$3,"MAT",$C33:$Q33,AG$3)=0)*(COUNTIFS($C$3:$Q$3,"POM",$C33:$Q33,AG$3)=0)*(COUNTIFS($C$3:$Q$3,"NOTTE",$C33:$Q33,AG$3)=0)*(COUNTIFS($C$3:$Q$3,"NOTTE",$C32:$Q32,AG$3)=0))=0,"",IF(0+((AG33&lt;&gt;"Xm")*(AG33&lt;&gt;"Xg")*(COUNTIFS($C$3:$Q$3,"MAT",$C33:$Q33,AG$3)=0)*(COUNTIFS($C$3:$Q$3,"NOTTE",$C33:$Q33,AG$3)=0)*(COUNTIFS($C$3:$Q$3,"NOTTE",$C32:$Q32,AG$3)=0))+((AG33&lt;&gt;"Xp")*(AG33&lt;&gt;"Xg")*(COUNTIFS($C$3:$Q$3,"POM",$C33:$Q33,AG$3)=0)*(COUNTIFS($C$3:$Q$3,"NOTTE",$C33:$Q33,AG$3)=0)*(COUNTIFS($C$3:$Q$3,"NOTTE",$C32:$Q32,AG$3)=0))+((AG33&lt;&gt;"Xn")*(COUNTIFS($C$3:$Q$3,"MAT",$C33:$Q33,AG$3)=0)*(COUNTIFS($C$3:$Q$3,"POM",$C33:$Q33,AG$3)=0)*(COUNTIFS($C$3:$Q$3,"NOTTE",$C33:$Q33,AG$3)=0)*(COUNTIFS($C$3:$Q$3,"NOTTE",$C32:$Q32,AG$3)=0))=3,AG$3&amp;", ",AG$3&amp;IF((AG33&lt;&gt;"Xm")*(AG33&lt;&gt;"Xg")*(COUNTIFS($C$3:$Q$3,"MAT",$C33:$Q33,AG$3)=0)*(COUNTIFS($C$3:$Q$3,"NOTTE",$C33:$Q33,AG$3)=0)*(COUNTIFS($C$3:$Q$3,"NOTTE",$C32:$Q32,AG$3)=0),"_m","")&amp;IF((AG33&lt;&gt;"Xp")*(AG33&lt;&gt;"Xg")*(COUNTIFS($C$3:$Q$3,"POM",$C33:$Q33,AG$3)=0)*(COUNTIFS($C$3:$Q$3,"NOTTE",$C33:$Q33,AG$3)=0)*(COUNTIFS($C$3:$Q$3,"NOTTE",$C32:$Q32,AG$3)=0),"_p","")&amp;IF((AG33&lt;&gt;"Xn")*(COUNTIFS($C$3:$Q$3,"MAT",$C33:$Q33,AG$3)=0)*(COUNTIFS($C$3:$Q$3,"POM",$C33:$Q33,AG$3)=0)*(COUNTIFS($C$3:$Q$3,"NOTTE",$C33:$Q33,AG$3)=0)*(COUNTIFS($C$3:$Q$3,"NOTTE",$C32:$Q32,AG$3)=0),"_n","")&amp;", ")))</f>
        <v xml:space="preserve">VERDI, </v>
      </c>
      <c r="CK33" s="9" t="str">
        <f>IF(0+(AH33="X")&gt;0,"",IF(0+((AH33&lt;&gt;"Xm")*(AH33&lt;&gt;"Xg")*(COUNTIFS($C$3:$Q$3,"MAT",$C33:$Q33,AH$3)=0)*(COUNTIFS($C$3:$Q$3,"NOTTE",$C33:$Q33,AH$3)=0)*(COUNTIFS($C$3:$Q$3,"NOTTE",$C32:$Q32,AH$3)=0))+((AH33&lt;&gt;"Xp")*(AH33&lt;&gt;"Xg")*(COUNTIFS($C$3:$Q$3,"POM",$C33:$Q33,AH$3)=0)*(COUNTIFS($C$3:$Q$3,"NOTTE",$C33:$Q33,AH$3)=0)*(COUNTIFS($C$3:$Q$3,"NOTTE",$C32:$Q32,AH$3)=0))+((AH33&lt;&gt;"Xn")*(COUNTIFS($C$3:$Q$3,"MAT",$C33:$Q33,AH$3)=0)*(COUNTIFS($C$3:$Q$3,"POM",$C33:$Q33,AH$3)=0)*(COUNTIFS($C$3:$Q$3,"NOTTE",$C33:$Q33,AH$3)=0)*(COUNTIFS($C$3:$Q$3,"NOTTE",$C32:$Q32,AH$3)=0))=0,"",IF(0+((AH33&lt;&gt;"Xm")*(AH33&lt;&gt;"Xg")*(COUNTIFS($C$3:$Q$3,"MAT",$C33:$Q33,AH$3)=0)*(COUNTIFS($C$3:$Q$3,"NOTTE",$C33:$Q33,AH$3)=0)*(COUNTIFS($C$3:$Q$3,"NOTTE",$C32:$Q32,AH$3)=0))+((AH33&lt;&gt;"Xp")*(AH33&lt;&gt;"Xg")*(COUNTIFS($C$3:$Q$3,"POM",$C33:$Q33,AH$3)=0)*(COUNTIFS($C$3:$Q$3,"NOTTE",$C33:$Q33,AH$3)=0)*(COUNTIFS($C$3:$Q$3,"NOTTE",$C32:$Q32,AH$3)=0))+((AH33&lt;&gt;"Xn")*(COUNTIFS($C$3:$Q$3,"MAT",$C33:$Q33,AH$3)=0)*(COUNTIFS($C$3:$Q$3,"POM",$C33:$Q33,AH$3)=0)*(COUNTIFS($C$3:$Q$3,"NOTTE",$C33:$Q33,AH$3)=0)*(COUNTIFS($C$3:$Q$3,"NOTTE",$C32:$Q32,AH$3)=0))=3,AH$3&amp;", ",AH$3&amp;IF((AH33&lt;&gt;"Xm")*(AH33&lt;&gt;"Xg")*(COUNTIFS($C$3:$Q$3,"MAT",$C33:$Q33,AH$3)=0)*(COUNTIFS($C$3:$Q$3,"NOTTE",$C33:$Q33,AH$3)=0)*(COUNTIFS($C$3:$Q$3,"NOTTE",$C32:$Q32,AH$3)=0),"_m","")&amp;IF((AH33&lt;&gt;"Xp")*(AH33&lt;&gt;"Xg")*(COUNTIFS($C$3:$Q$3,"POM",$C33:$Q33,AH$3)=0)*(COUNTIFS($C$3:$Q$3,"NOTTE",$C33:$Q33,AH$3)=0)*(COUNTIFS($C$3:$Q$3,"NOTTE",$C32:$Q32,AH$3)=0),"_p","")&amp;IF((AH33&lt;&gt;"Xn")*(COUNTIFS($C$3:$Q$3,"MAT",$C33:$Q33,AH$3)=0)*(COUNTIFS($C$3:$Q$3,"POM",$C33:$Q33,AH$3)=0)*(COUNTIFS($C$3:$Q$3,"NOTTE",$C33:$Q33,AH$3)=0)*(COUNTIFS($C$3:$Q$3,"NOTTE",$C32:$Q32,AH$3)=0),"_n","")&amp;", ")))</f>
        <v xml:space="preserve">HU, </v>
      </c>
      <c r="CL33" s="9" t="str">
        <f>IF(0+(AI33="X")&gt;0,"",IF(0+((AI33&lt;&gt;"Xm")*(AI33&lt;&gt;"Xg")*(COUNTIFS($C$3:$Q$3,"MAT",$C33:$Q33,AI$3)=0)*(COUNTIFS($C$3:$Q$3,"NOTTE",$C33:$Q33,AI$3)=0)*(COUNTIFS($C$3:$Q$3,"NOTTE",$C32:$Q32,AI$3)=0))+((AI33&lt;&gt;"Xp")*(AI33&lt;&gt;"Xg")*(COUNTIFS($C$3:$Q$3,"POM",$C33:$Q33,AI$3)=0)*(COUNTIFS($C$3:$Q$3,"NOTTE",$C33:$Q33,AI$3)=0)*(COUNTIFS($C$3:$Q$3,"NOTTE",$C32:$Q32,AI$3)=0))+((AI33&lt;&gt;"Xn")*(COUNTIFS($C$3:$Q$3,"MAT",$C33:$Q33,AI$3)=0)*(COUNTIFS($C$3:$Q$3,"POM",$C33:$Q33,AI$3)=0)*(COUNTIFS($C$3:$Q$3,"NOTTE",$C33:$Q33,AI$3)=0)*(COUNTIFS($C$3:$Q$3,"NOTTE",$C32:$Q32,AI$3)=0))=0,"",IF(0+((AI33&lt;&gt;"Xm")*(AI33&lt;&gt;"Xg")*(COUNTIFS($C$3:$Q$3,"MAT",$C33:$Q33,AI$3)=0)*(COUNTIFS($C$3:$Q$3,"NOTTE",$C33:$Q33,AI$3)=0)*(COUNTIFS($C$3:$Q$3,"NOTTE",$C32:$Q32,AI$3)=0))+((AI33&lt;&gt;"Xp")*(AI33&lt;&gt;"Xg")*(COUNTIFS($C$3:$Q$3,"POM",$C33:$Q33,AI$3)=0)*(COUNTIFS($C$3:$Q$3,"NOTTE",$C33:$Q33,AI$3)=0)*(COUNTIFS($C$3:$Q$3,"NOTTE",$C32:$Q32,AI$3)=0))+((AI33&lt;&gt;"Xn")*(COUNTIFS($C$3:$Q$3,"MAT",$C33:$Q33,AI$3)=0)*(COUNTIFS($C$3:$Q$3,"POM",$C33:$Q33,AI$3)=0)*(COUNTIFS($C$3:$Q$3,"NOTTE",$C33:$Q33,AI$3)=0)*(COUNTIFS($C$3:$Q$3,"NOTTE",$C32:$Q32,AI$3)=0))=3,AI$3&amp;", ",AI$3&amp;IF((AI33&lt;&gt;"Xm")*(AI33&lt;&gt;"Xg")*(COUNTIFS($C$3:$Q$3,"MAT",$C33:$Q33,AI$3)=0)*(COUNTIFS($C$3:$Q$3,"NOTTE",$C33:$Q33,AI$3)=0)*(COUNTIFS($C$3:$Q$3,"NOTTE",$C32:$Q32,AI$3)=0),"_m","")&amp;IF((AI33&lt;&gt;"Xp")*(AI33&lt;&gt;"Xg")*(COUNTIFS($C$3:$Q$3,"POM",$C33:$Q33,AI$3)=0)*(COUNTIFS($C$3:$Q$3,"NOTTE",$C33:$Q33,AI$3)=0)*(COUNTIFS($C$3:$Q$3,"NOTTE",$C32:$Q32,AI$3)=0),"_p","")&amp;IF((AI33&lt;&gt;"Xn")*(COUNTIFS($C$3:$Q$3,"MAT",$C33:$Q33,AI$3)=0)*(COUNTIFS($C$3:$Q$3,"POM",$C33:$Q33,AI$3)=0)*(COUNTIFS($C$3:$Q$3,"NOTTE",$C33:$Q33,AI$3)=0)*(COUNTIFS($C$3:$Q$3,"NOTTE",$C32:$Q32,AI$3)=0),"_n","")&amp;", ")))</f>
        <v xml:space="preserve">MARINI, </v>
      </c>
      <c r="CM33" s="9" t="str">
        <f>IF(0+(AJ33="X")&gt;0,"",IF(0+((AJ33&lt;&gt;"Xm")*(AJ33&lt;&gt;"Xg")*(COUNTIFS($C$3:$Q$3,"MAT",$C33:$Q33,AJ$3)=0)*(COUNTIFS($C$3:$Q$3,"NOTTE",$C33:$Q33,AJ$3)=0)*(COUNTIFS($C$3:$Q$3,"NOTTE",$C32:$Q32,AJ$3)=0))+((AJ33&lt;&gt;"Xp")*(AJ33&lt;&gt;"Xg")*(COUNTIFS($C$3:$Q$3,"POM",$C33:$Q33,AJ$3)=0)*(COUNTIFS($C$3:$Q$3,"NOTTE",$C33:$Q33,AJ$3)=0)*(COUNTIFS($C$3:$Q$3,"NOTTE",$C32:$Q32,AJ$3)=0))+((AJ33&lt;&gt;"Xn")*(COUNTIFS($C$3:$Q$3,"MAT",$C33:$Q33,AJ$3)=0)*(COUNTIFS($C$3:$Q$3,"POM",$C33:$Q33,AJ$3)=0)*(COUNTIFS($C$3:$Q$3,"NOTTE",$C33:$Q33,AJ$3)=0)*(COUNTIFS($C$3:$Q$3,"NOTTE",$C32:$Q32,AJ$3)=0))=0,"",IF(0+((AJ33&lt;&gt;"Xm")*(AJ33&lt;&gt;"Xg")*(COUNTIFS($C$3:$Q$3,"MAT",$C33:$Q33,AJ$3)=0)*(COUNTIFS($C$3:$Q$3,"NOTTE",$C33:$Q33,AJ$3)=0)*(COUNTIFS($C$3:$Q$3,"NOTTE",$C32:$Q32,AJ$3)=0))+((AJ33&lt;&gt;"Xp")*(AJ33&lt;&gt;"Xg")*(COUNTIFS($C$3:$Q$3,"POM",$C33:$Q33,AJ$3)=0)*(COUNTIFS($C$3:$Q$3,"NOTTE",$C33:$Q33,AJ$3)=0)*(COUNTIFS($C$3:$Q$3,"NOTTE",$C32:$Q32,AJ$3)=0))+((AJ33&lt;&gt;"Xn")*(COUNTIFS($C$3:$Q$3,"MAT",$C33:$Q33,AJ$3)=0)*(COUNTIFS($C$3:$Q$3,"POM",$C33:$Q33,AJ$3)=0)*(COUNTIFS($C$3:$Q$3,"NOTTE",$C33:$Q33,AJ$3)=0)*(COUNTIFS($C$3:$Q$3,"NOTTE",$C32:$Q32,AJ$3)=0))=3,AJ$3&amp;", ",AJ$3&amp;IF((AJ33&lt;&gt;"Xm")*(AJ33&lt;&gt;"Xg")*(COUNTIFS($C$3:$Q$3,"MAT",$C33:$Q33,AJ$3)=0)*(COUNTIFS($C$3:$Q$3,"NOTTE",$C33:$Q33,AJ$3)=0)*(COUNTIFS($C$3:$Q$3,"NOTTE",$C32:$Q32,AJ$3)=0),"_m","")&amp;IF((AJ33&lt;&gt;"Xp")*(AJ33&lt;&gt;"Xg")*(COUNTIFS($C$3:$Q$3,"POM",$C33:$Q33,AJ$3)=0)*(COUNTIFS($C$3:$Q$3,"NOTTE",$C33:$Q33,AJ$3)=0)*(COUNTIFS($C$3:$Q$3,"NOTTE",$C32:$Q32,AJ$3)=0),"_p","")&amp;IF((AJ33&lt;&gt;"Xn")*(COUNTIFS($C$3:$Q$3,"MAT",$C33:$Q33,AJ$3)=0)*(COUNTIFS($C$3:$Q$3,"POM",$C33:$Q33,AJ$3)=0)*(COUNTIFS($C$3:$Q$3,"NOTTE",$C33:$Q33,AJ$3)=0)*(COUNTIFS($C$3:$Q$3,"NOTTE",$C32:$Q32,AJ$3)=0),"_n","")&amp;", ")))</f>
        <v xml:space="preserve">CONTI A, </v>
      </c>
      <c r="CN33" s="9" t="str">
        <f>IF(0+(AK33="X")&gt;0,"",IF(0+((AK33&lt;&gt;"Xm")*(AK33&lt;&gt;"Xg")*(COUNTIFS($C$3:$Q$3,"MAT",$C33:$Q33,AK$3)=0)*(COUNTIFS($C$3:$Q$3,"NOTTE",$C33:$Q33,AK$3)=0)*(COUNTIFS($C$3:$Q$3,"NOTTE",$C32:$Q32,AK$3)=0))+((AK33&lt;&gt;"Xp")*(AK33&lt;&gt;"Xg")*(COUNTIFS($C$3:$Q$3,"POM",$C33:$Q33,AK$3)=0)*(COUNTIFS($C$3:$Q$3,"NOTTE",$C33:$Q33,AK$3)=0)*(COUNTIFS($C$3:$Q$3,"NOTTE",$C32:$Q32,AK$3)=0))+((AK33&lt;&gt;"Xn")*(COUNTIFS($C$3:$Q$3,"MAT",$C33:$Q33,AK$3)=0)*(COUNTIFS($C$3:$Q$3,"POM",$C33:$Q33,AK$3)=0)*(COUNTIFS($C$3:$Q$3,"NOTTE",$C33:$Q33,AK$3)=0)*(COUNTIFS($C$3:$Q$3,"NOTTE",$C32:$Q32,AK$3)=0))=0,"",IF(0+((AK33&lt;&gt;"Xm")*(AK33&lt;&gt;"Xg")*(COUNTIFS($C$3:$Q$3,"MAT",$C33:$Q33,AK$3)=0)*(COUNTIFS($C$3:$Q$3,"NOTTE",$C33:$Q33,AK$3)=0)*(COUNTIFS($C$3:$Q$3,"NOTTE",$C32:$Q32,AK$3)=0))+((AK33&lt;&gt;"Xp")*(AK33&lt;&gt;"Xg")*(COUNTIFS($C$3:$Q$3,"POM",$C33:$Q33,AK$3)=0)*(COUNTIFS($C$3:$Q$3,"NOTTE",$C33:$Q33,AK$3)=0)*(COUNTIFS($C$3:$Q$3,"NOTTE",$C32:$Q32,AK$3)=0))+((AK33&lt;&gt;"Xn")*(COUNTIFS($C$3:$Q$3,"MAT",$C33:$Q33,AK$3)=0)*(COUNTIFS($C$3:$Q$3,"POM",$C33:$Q33,AK$3)=0)*(COUNTIFS($C$3:$Q$3,"NOTTE",$C33:$Q33,AK$3)=0)*(COUNTIFS($C$3:$Q$3,"NOTTE",$C32:$Q32,AK$3)=0))=3,AK$3&amp;", ",AK$3&amp;IF((AK33&lt;&gt;"Xm")*(AK33&lt;&gt;"Xg")*(COUNTIFS($C$3:$Q$3,"MAT",$C33:$Q33,AK$3)=0)*(COUNTIFS($C$3:$Q$3,"NOTTE",$C33:$Q33,AK$3)=0)*(COUNTIFS($C$3:$Q$3,"NOTTE",$C32:$Q32,AK$3)=0),"_m","")&amp;IF((AK33&lt;&gt;"Xp")*(AK33&lt;&gt;"Xg")*(COUNTIFS($C$3:$Q$3,"POM",$C33:$Q33,AK$3)=0)*(COUNTIFS($C$3:$Q$3,"NOTTE",$C33:$Q33,AK$3)=0)*(COUNTIFS($C$3:$Q$3,"NOTTE",$C32:$Q32,AK$3)=0),"_p","")&amp;IF((AK33&lt;&gt;"Xn")*(COUNTIFS($C$3:$Q$3,"MAT",$C33:$Q33,AK$3)=0)*(COUNTIFS($C$3:$Q$3,"POM",$C33:$Q33,AK$3)=0)*(COUNTIFS($C$3:$Q$3,"NOTTE",$C33:$Q33,AK$3)=0)*(COUNTIFS($C$3:$Q$3,"NOTTE",$C32:$Q32,AK$3)=0),"_n","")&amp;", ")))</f>
        <v xml:space="preserve">CONTI S, </v>
      </c>
      <c r="CO33" s="9" t="str">
        <f>IF(0+(AL33="X")&gt;0,"",IF(0+((AL33&lt;&gt;"Xm")*(AL33&lt;&gt;"Xg")*(COUNTIFS($C$3:$Q$3,"MAT",$C33:$Q33,AL$3)=0)*(COUNTIFS($C$3:$Q$3,"NOTTE",$C33:$Q33,AL$3)=0)*(COUNTIFS($C$3:$Q$3,"NOTTE",$C32:$Q32,AL$3)=0))+((AL33&lt;&gt;"Xp")*(AL33&lt;&gt;"Xg")*(COUNTIFS($C$3:$Q$3,"POM",$C33:$Q33,AL$3)=0)*(COUNTIFS($C$3:$Q$3,"NOTTE",$C33:$Q33,AL$3)=0)*(COUNTIFS($C$3:$Q$3,"NOTTE",$C32:$Q32,AL$3)=0))+((AL33&lt;&gt;"Xn")*(COUNTIFS($C$3:$Q$3,"MAT",$C33:$Q33,AL$3)=0)*(COUNTIFS($C$3:$Q$3,"POM",$C33:$Q33,AL$3)=0)*(COUNTIFS($C$3:$Q$3,"NOTTE",$C33:$Q33,AL$3)=0)*(COUNTIFS($C$3:$Q$3,"NOTTE",$C32:$Q32,AL$3)=0))=0,"",IF(0+((AL33&lt;&gt;"Xm")*(AL33&lt;&gt;"Xg")*(COUNTIFS($C$3:$Q$3,"MAT",$C33:$Q33,AL$3)=0)*(COUNTIFS($C$3:$Q$3,"NOTTE",$C33:$Q33,AL$3)=0)*(COUNTIFS($C$3:$Q$3,"NOTTE",$C32:$Q32,AL$3)=0))+((AL33&lt;&gt;"Xp")*(AL33&lt;&gt;"Xg")*(COUNTIFS($C$3:$Q$3,"POM",$C33:$Q33,AL$3)=0)*(COUNTIFS($C$3:$Q$3,"NOTTE",$C33:$Q33,AL$3)=0)*(COUNTIFS($C$3:$Q$3,"NOTTE",$C32:$Q32,AL$3)=0))+((AL33&lt;&gt;"Xn")*(COUNTIFS($C$3:$Q$3,"MAT",$C33:$Q33,AL$3)=0)*(COUNTIFS($C$3:$Q$3,"POM",$C33:$Q33,AL$3)=0)*(COUNTIFS($C$3:$Q$3,"NOTTE",$C33:$Q33,AL$3)=0)*(COUNTIFS($C$3:$Q$3,"NOTTE",$C32:$Q32,AL$3)=0))=3,AL$3&amp;", ",AL$3&amp;IF((AL33&lt;&gt;"Xm")*(AL33&lt;&gt;"Xg")*(COUNTIFS($C$3:$Q$3,"MAT",$C33:$Q33,AL$3)=0)*(COUNTIFS($C$3:$Q$3,"NOTTE",$C33:$Q33,AL$3)=0)*(COUNTIFS($C$3:$Q$3,"NOTTE",$C32:$Q32,AL$3)=0),"_m","")&amp;IF((AL33&lt;&gt;"Xp")*(AL33&lt;&gt;"Xg")*(COUNTIFS($C$3:$Q$3,"POM",$C33:$Q33,AL$3)=0)*(COUNTIFS($C$3:$Q$3,"NOTTE",$C33:$Q33,AL$3)=0)*(COUNTIFS($C$3:$Q$3,"NOTTE",$C32:$Q32,AL$3)=0),"_p","")&amp;IF((AL33&lt;&gt;"Xn")*(COUNTIFS($C$3:$Q$3,"MAT",$C33:$Q33,AL$3)=0)*(COUNTIFS($C$3:$Q$3,"POM",$C33:$Q33,AL$3)=0)*(COUNTIFS($C$3:$Q$3,"NOTTE",$C33:$Q33,AL$3)=0)*(COUNTIFS($C$3:$Q$3,"NOTTE",$C32:$Q32,AL$3)=0),"_n","")&amp;", ")))</f>
        <v xml:space="preserve">FERRARI, </v>
      </c>
      <c r="CP33" s="9" t="str">
        <f>IF(0+(AM33="X")&gt;0,"",IF(0+((AM33&lt;&gt;"Xm")*(AM33&lt;&gt;"Xg")*(COUNTIFS($C$3:$Q$3,"MAT",$C33:$Q33,AM$3)=0)*(COUNTIFS($C$3:$Q$3,"NOTTE",$C33:$Q33,AM$3)=0)*(COUNTIFS($C$3:$Q$3,"NOTTE",$C32:$Q32,AM$3)=0))+((AM33&lt;&gt;"Xp")*(AM33&lt;&gt;"Xg")*(COUNTIFS($C$3:$Q$3,"POM",$C33:$Q33,AM$3)=0)*(COUNTIFS($C$3:$Q$3,"NOTTE",$C33:$Q33,AM$3)=0)*(COUNTIFS($C$3:$Q$3,"NOTTE",$C32:$Q32,AM$3)=0))+((AM33&lt;&gt;"Xn")*(COUNTIFS($C$3:$Q$3,"MAT",$C33:$Q33,AM$3)=0)*(COUNTIFS($C$3:$Q$3,"POM",$C33:$Q33,AM$3)=0)*(COUNTIFS($C$3:$Q$3,"NOTTE",$C33:$Q33,AM$3)=0)*(COUNTIFS($C$3:$Q$3,"NOTTE",$C32:$Q32,AM$3)=0))=0,"",IF(0+((AM33&lt;&gt;"Xm")*(AM33&lt;&gt;"Xg")*(COUNTIFS($C$3:$Q$3,"MAT",$C33:$Q33,AM$3)=0)*(COUNTIFS($C$3:$Q$3,"NOTTE",$C33:$Q33,AM$3)=0)*(COUNTIFS($C$3:$Q$3,"NOTTE",$C32:$Q32,AM$3)=0))+((AM33&lt;&gt;"Xp")*(AM33&lt;&gt;"Xg")*(COUNTIFS($C$3:$Q$3,"POM",$C33:$Q33,AM$3)=0)*(COUNTIFS($C$3:$Q$3,"NOTTE",$C33:$Q33,AM$3)=0)*(COUNTIFS($C$3:$Q$3,"NOTTE",$C32:$Q32,AM$3)=0))+((AM33&lt;&gt;"Xn")*(COUNTIFS($C$3:$Q$3,"MAT",$C33:$Q33,AM$3)=0)*(COUNTIFS($C$3:$Q$3,"POM",$C33:$Q33,AM$3)=0)*(COUNTIFS($C$3:$Q$3,"NOTTE",$C33:$Q33,AM$3)=0)*(COUNTIFS($C$3:$Q$3,"NOTTE",$C32:$Q32,AM$3)=0))=3,AM$3&amp;", ",AM$3&amp;IF((AM33&lt;&gt;"Xm")*(AM33&lt;&gt;"Xg")*(COUNTIFS($C$3:$Q$3,"MAT",$C33:$Q33,AM$3)=0)*(COUNTIFS($C$3:$Q$3,"NOTTE",$C33:$Q33,AM$3)=0)*(COUNTIFS($C$3:$Q$3,"NOTTE",$C32:$Q32,AM$3)=0),"_m","")&amp;IF((AM33&lt;&gt;"Xp")*(AM33&lt;&gt;"Xg")*(COUNTIFS($C$3:$Q$3,"POM",$C33:$Q33,AM$3)=0)*(COUNTIFS($C$3:$Q$3,"NOTTE",$C33:$Q33,AM$3)=0)*(COUNTIFS($C$3:$Q$3,"NOTTE",$C32:$Q32,AM$3)=0),"_p","")&amp;IF((AM33&lt;&gt;"Xn")*(COUNTIFS($C$3:$Q$3,"MAT",$C33:$Q33,AM$3)=0)*(COUNTIFS($C$3:$Q$3,"POM",$C33:$Q33,AM$3)=0)*(COUNTIFS($C$3:$Q$3,"NOTTE",$C33:$Q33,AM$3)=0)*(COUNTIFS($C$3:$Q$3,"NOTTE",$C32:$Q32,AM$3)=0),"_n","")&amp;", ")))</f>
        <v xml:space="preserve">GRECO, </v>
      </c>
      <c r="CQ33" s="9" t="str">
        <f>IF(0+(AN33="X")&gt;0,"",IF(0+((AN33&lt;&gt;"Xm")*(AN33&lt;&gt;"Xg")*(COUNTIFS($C$3:$Q$3,"MAT",$C33:$Q33,AN$3)=0)*(COUNTIFS($C$3:$Q$3,"NOTTE",$C33:$Q33,AN$3)=0)*(COUNTIFS($C$3:$Q$3,"NOTTE",$C32:$Q32,AN$3)=0))+((AN33&lt;&gt;"Xp")*(AN33&lt;&gt;"Xg")*(COUNTIFS($C$3:$Q$3,"POM",$C33:$Q33,AN$3)=0)*(COUNTIFS($C$3:$Q$3,"NOTTE",$C33:$Q33,AN$3)=0)*(COUNTIFS($C$3:$Q$3,"NOTTE",$C32:$Q32,AN$3)=0))+((AN33&lt;&gt;"Xn")*(COUNTIFS($C$3:$Q$3,"MAT",$C33:$Q33,AN$3)=0)*(COUNTIFS($C$3:$Q$3,"POM",$C33:$Q33,AN$3)=0)*(COUNTIFS($C$3:$Q$3,"NOTTE",$C33:$Q33,AN$3)=0)*(COUNTIFS($C$3:$Q$3,"NOTTE",$C32:$Q32,AN$3)=0))=0,"",IF(0+((AN33&lt;&gt;"Xm")*(AN33&lt;&gt;"Xg")*(COUNTIFS($C$3:$Q$3,"MAT",$C33:$Q33,AN$3)=0)*(COUNTIFS($C$3:$Q$3,"NOTTE",$C33:$Q33,AN$3)=0)*(COUNTIFS($C$3:$Q$3,"NOTTE",$C32:$Q32,AN$3)=0))+((AN33&lt;&gt;"Xp")*(AN33&lt;&gt;"Xg")*(COUNTIFS($C$3:$Q$3,"POM",$C33:$Q33,AN$3)=0)*(COUNTIFS($C$3:$Q$3,"NOTTE",$C33:$Q33,AN$3)=0)*(COUNTIFS($C$3:$Q$3,"NOTTE",$C32:$Q32,AN$3)=0))+((AN33&lt;&gt;"Xn")*(COUNTIFS($C$3:$Q$3,"MAT",$C33:$Q33,AN$3)=0)*(COUNTIFS($C$3:$Q$3,"POM",$C33:$Q33,AN$3)=0)*(COUNTIFS($C$3:$Q$3,"NOTTE",$C33:$Q33,AN$3)=0)*(COUNTIFS($C$3:$Q$3,"NOTTE",$C32:$Q32,AN$3)=0))=3,AN$3&amp;", ",AN$3&amp;IF((AN33&lt;&gt;"Xm")*(AN33&lt;&gt;"Xg")*(COUNTIFS($C$3:$Q$3,"MAT",$C33:$Q33,AN$3)=0)*(COUNTIFS($C$3:$Q$3,"NOTTE",$C33:$Q33,AN$3)=0)*(COUNTIFS($C$3:$Q$3,"NOTTE",$C32:$Q32,AN$3)=0),"_m","")&amp;IF((AN33&lt;&gt;"Xp")*(AN33&lt;&gt;"Xg")*(COUNTIFS($C$3:$Q$3,"POM",$C33:$Q33,AN$3)=0)*(COUNTIFS($C$3:$Q$3,"NOTTE",$C33:$Q33,AN$3)=0)*(COUNTIFS($C$3:$Q$3,"NOTTE",$C32:$Q32,AN$3)=0),"_p","")&amp;IF((AN33&lt;&gt;"Xn")*(COUNTIFS($C$3:$Q$3,"MAT",$C33:$Q33,AN$3)=0)*(COUNTIFS($C$3:$Q$3,"POM",$C33:$Q33,AN$3)=0)*(COUNTIFS($C$3:$Q$3,"NOTTE",$C33:$Q33,AN$3)=0)*(COUNTIFS($C$3:$Q$3,"NOTTE",$C32:$Q32,AN$3)=0),"_n","")&amp;", ")))</f>
        <v xml:space="preserve">SANNA, </v>
      </c>
      <c r="CR33" s="9" t="str">
        <f>IF(0+(AO33="X")&gt;0,"",IF(0+((AO33&lt;&gt;"Xm")*(AO33&lt;&gt;"Xg")*(COUNTIFS($C$3:$Q$3,"MAT",$C33:$Q33,AO$3)=0)*(COUNTIFS($C$3:$Q$3,"NOTTE",$C33:$Q33,AO$3)=0)*(COUNTIFS($C$3:$Q$3,"NOTTE",$C32:$Q32,AO$3)=0))+((AO33&lt;&gt;"Xp")*(AO33&lt;&gt;"Xg")*(COUNTIFS($C$3:$Q$3,"POM",$C33:$Q33,AO$3)=0)*(COUNTIFS($C$3:$Q$3,"NOTTE",$C33:$Q33,AO$3)=0)*(COUNTIFS($C$3:$Q$3,"NOTTE",$C32:$Q32,AO$3)=0))+((AO33&lt;&gt;"Xn")*(COUNTIFS($C$3:$Q$3,"MAT",$C33:$Q33,AO$3)=0)*(COUNTIFS($C$3:$Q$3,"POM",$C33:$Q33,AO$3)=0)*(COUNTIFS($C$3:$Q$3,"NOTTE",$C33:$Q33,AO$3)=0)*(COUNTIFS($C$3:$Q$3,"NOTTE",$C32:$Q32,AO$3)=0))=0,"",IF(0+((AO33&lt;&gt;"Xm")*(AO33&lt;&gt;"Xg")*(COUNTIFS($C$3:$Q$3,"MAT",$C33:$Q33,AO$3)=0)*(COUNTIFS($C$3:$Q$3,"NOTTE",$C33:$Q33,AO$3)=0)*(COUNTIFS($C$3:$Q$3,"NOTTE",$C32:$Q32,AO$3)=0))+((AO33&lt;&gt;"Xp")*(AO33&lt;&gt;"Xg")*(COUNTIFS($C$3:$Q$3,"POM",$C33:$Q33,AO$3)=0)*(COUNTIFS($C$3:$Q$3,"NOTTE",$C33:$Q33,AO$3)=0)*(COUNTIFS($C$3:$Q$3,"NOTTE",$C32:$Q32,AO$3)=0))+((AO33&lt;&gt;"Xn")*(COUNTIFS($C$3:$Q$3,"MAT",$C33:$Q33,AO$3)=0)*(COUNTIFS($C$3:$Q$3,"POM",$C33:$Q33,AO$3)=0)*(COUNTIFS($C$3:$Q$3,"NOTTE",$C33:$Q33,AO$3)=0)*(COUNTIFS($C$3:$Q$3,"NOTTE",$C32:$Q32,AO$3)=0))=3,AO$3&amp;", ",AO$3&amp;IF((AO33&lt;&gt;"Xm")*(AO33&lt;&gt;"Xg")*(COUNTIFS($C$3:$Q$3,"MAT",$C33:$Q33,AO$3)=0)*(COUNTIFS($C$3:$Q$3,"NOTTE",$C33:$Q33,AO$3)=0)*(COUNTIFS($C$3:$Q$3,"NOTTE",$C32:$Q32,AO$3)=0),"_m","")&amp;IF((AO33&lt;&gt;"Xp")*(AO33&lt;&gt;"Xg")*(COUNTIFS($C$3:$Q$3,"POM",$C33:$Q33,AO$3)=0)*(COUNTIFS($C$3:$Q$3,"NOTTE",$C33:$Q33,AO$3)=0)*(COUNTIFS($C$3:$Q$3,"NOTTE",$C32:$Q32,AO$3)=0),"_p","")&amp;IF((AO33&lt;&gt;"Xn")*(COUNTIFS($C$3:$Q$3,"MAT",$C33:$Q33,AO$3)=0)*(COUNTIFS($C$3:$Q$3,"POM",$C33:$Q33,AO$3)=0)*(COUNTIFS($C$3:$Q$3,"NOTTE",$C33:$Q33,AO$3)=0)*(COUNTIFS($C$3:$Q$3,"NOTTE",$C32:$Q32,AO$3)=0),"_n","")&amp;", ")))</f>
        <v xml:space="preserve">LI, </v>
      </c>
    </row>
  </sheetData>
  <mergeCells count="11">
    <mergeCell ref="BE2:BN2"/>
    <mergeCell ref="AT2:BC2"/>
    <mergeCell ref="C2:D2"/>
    <mergeCell ref="AQ2:AR2"/>
    <mergeCell ref="G2:H2"/>
    <mergeCell ref="E2:F2"/>
    <mergeCell ref="I2:J2"/>
    <mergeCell ref="N2:Q2"/>
    <mergeCell ref="Z2:AO2"/>
    <mergeCell ref="CE2:CR2"/>
    <mergeCell ref="BP2:CC2"/>
  </mergeCells>
  <dataValidations count="1">
    <dataValidation sqref="AB4:AO33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2026-10-10T23:23:26Z</dcterms:created>
  <dcterms:modified xmlns:dcterms="http://purl.org/dc/terms/" xmlns:xsi="http://www.w3.org/2001/XMLSchema-instance" xsi:type="dcterms:W3CDTF">2026-10-10T23:23:27Z</dcterms:modified>
</cp:coreProperties>
</file>