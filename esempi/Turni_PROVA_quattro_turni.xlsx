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zo 20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<sst xmlns="http://schemas.openxmlformats.org/spreadsheetml/2006/main" count="62" uniqueCount="46">
  <si>
    <t xml:space="preserve">MARZO</t>
  </si>
  <si>
    <t xml:space="preserve">RECEPTION</t>
  </si>
  <si>
    <t xml:space="preserve">PALESTRA</t>
  </si>
  <si>
    <t xml:space="preserve">PISCINA</t>
  </si>
  <si>
    <t xml:space="preserve">CUSTODIA</t>
  </si>
  <si>
    <t xml:space="preserve">GUARDIE E INDISPONIBILITÀ</t>
  </si>
  <si>
    <t xml:space="preserve">LEGENDA CODICI</t>
  </si>
  <si>
    <t xml:space="preserve">TURNI MESE CORRENTE</t>
  </si>
  <si>
    <t xml:space="preserve">TURNI MESE PRECEDENTE</t>
  </si>
  <si>
    <t xml:space="preserve">AREA DI CALCOLO DISPONIBILI — non modificare</t>
  </si>
  <si>
    <t xml:space="preserve">AREA DI CALCOLO LIBERI — non modificare</t>
  </si>
  <si>
    <t xml:space="preserve">MAT</t>
  </si>
  <si>
    <t xml:space="preserve">POM</t>
  </si>
  <si>
    <t xml:space="preserve">SERA</t>
  </si>
  <si>
    <t xml:space="preserve">NOTTE</t>
  </si>
  <si>
    <t xml:space="preserve">CONTROLLO</t>
  </si>
  <si>
    <t xml:space="preserve">DISPONIBILI</t>
  </si>
  <si>
    <t xml:space="preserve">LIBERI</t>
  </si>
  <si>
    <t xml:space="preserve">GIORNO</t>
  </si>
  <si>
    <t xml:space="preserve">DATA</t>
  </si>
  <si>
    <t xml:space="preserve">ALBA</t>
  </si>
  <si>
    <t xml:space="preserve">BRUNO</t>
  </si>
  <si>
    <t xml:space="preserve">CARLA</t>
  </si>
  <si>
    <t xml:space="preserve">DINO</t>
  </si>
  <si>
    <t xml:space="preserve">ELSA</t>
  </si>
  <si>
    <t xml:space="preserve">FABIO</t>
  </si>
  <si>
    <t xml:space="preserve">CODICE</t>
  </si>
  <si>
    <t xml:space="preserve">SIGNIFICATO</t>
  </si>
  <si>
    <t xml:space="preserve">PERSONA</t>
  </si>
  <si>
    <t xml:space="preserve">TOTALE</t>
  </si>
  <si>
    <t xml:space="preserve">X</t>
  </si>
  <si>
    <t xml:space="preserve">non disponibile tutto il giorno</t>
  </si>
  <si>
    <t xml:space="preserve">Xm</t>
  </si>
  <si>
    <t xml:space="preserve">non disponibile la mattina</t>
  </si>
  <si>
    <t xml:space="preserve">Xp</t>
  </si>
  <si>
    <t xml:space="preserve">non disponibile il pomeriggio</t>
  </si>
  <si>
    <t xml:space="preserve">Xs</t>
  </si>
  <si>
    <t xml:space="preserve">non disponibile in SERA</t>
  </si>
  <si>
    <t xml:space="preserve">Xn</t>
  </si>
  <si>
    <t xml:space="preserve">non disponibile la notte</t>
  </si>
  <si>
    <t xml:space="preserve">Cs</t>
  </si>
  <si>
    <t xml:space="preserve">corso serale: blocca la sera</t>
  </si>
  <si>
    <t xml:space="preserve">F</t>
  </si>
  <si>
    <t xml:space="preserve">ferie: blocca tutto il giorno</t>
  </si>
  <si>
    <t xml:space="preserve">TOTALE COMPLESSIVO</t>
  </si>
  <si>
    <t xml:space="preserve">Incollare qui SOLO VALORI (incolla speciale &gt; valori) il blocco TURNI MESE CORRENTE del file del mese precedente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</si>
</sst>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10" min="3" style="0" width="7"/>
    <col collapsed="false" customWidth="true" hidden="false" outlineLevel="0" max="11" min="11" style="0" width="10"/>
    <col collapsed="false" customWidth="true" hidden="false" outlineLevel="0" max="12" min="12" style="0" width="3"/>
    <col collapsed="false" customWidth="true" hidden="false" outlineLevel="0" max="13" min="13" style="0" width="11"/>
    <col collapsed="false" customWidth="true" hidden="false" outlineLevel="0" max="14" min="14" style="0" width="40"/>
    <col collapsed="false" customWidth="true" hidden="false" outlineLevel="0" max="15" min="15" style="0" width="64"/>
    <col collapsed="false" customWidth="true" hidden="false" outlineLevel="0" max="20" min="20" style="0" width="11"/>
    <col collapsed="false" customWidth="true" hidden="false" outlineLevel="0" max="22" min="21" style="0" width="6"/>
    <col collapsed="false" customWidth="true" hidden="false" outlineLevel="0" max="24" min="23" style="0" width="7"/>
    <col collapsed="false" customWidth="true" hidden="false" outlineLevel="0" max="26" min="25" style="0" width="6"/>
    <col collapsed="false" customWidth="true" hidden="false" outlineLevel="0" max="27" min="27" style="0" width="7"/>
    <col collapsed="false" customWidth="true" hidden="false" outlineLevel="0" max="29" min="29" style="0" width="8"/>
    <col collapsed="false" customWidth="true" hidden="false" outlineLevel="0" max="30" min="30" style="0" width="33"/>
    <col collapsed="false" customWidth="true" hidden="false" outlineLevel="0" max="32" min="32" style="0" width="20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5" min="35" style="0" width="9"/>
    <col collapsed="false" customWidth="true" hidden="false" outlineLevel="0" max="36" min="36" style="0" width="10"/>
    <col collapsed="false" customWidth="true" hidden="false" outlineLevel="0" max="37" min="37" style="0" width="8"/>
    <col collapsed="false" customWidth="true" hidden="false" outlineLevel="0" max="39" min="39" style="0" width="20"/>
    <col collapsed="false" customWidth="true" hidden="false" outlineLevel="0" max="40" min="40" style="0" width="11"/>
    <col collapsed="false" customWidth="true" hidden="false" outlineLevel="0" max="41" min="41" style="0" width="10"/>
    <col collapsed="false" customWidth="true" hidden="false" outlineLevel="0" max="42" min="42" style="0" width="9"/>
    <col collapsed="false" customWidth="true" hidden="false" outlineLevel="0" max="43" min="43" style="0" width="10"/>
    <col collapsed="false" customWidth="true" hidden="false" outlineLevel="0" max="44" min="44" style="0" width="8"/>
    <col collapsed="false" customWidth="true" hidden="true" outlineLevel="0" max="58" min="46" style="0" width="9"/>
  </cols>
  <sheetData>
    <row r="1" customFormat="false" ht="15" hidden="false" customHeight="false" outlineLevel="0" collapsed="false">
      <c r="A1" s="1" t="s">
        <v>0</v>
      </c>
      <c r="B1" s="1" t="n">
        <v>2027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customFormat="false" ht="15" hidden="false" customHeight="false" outlineLevel="0" collapsed="false">
      <c r="A2" s="1" t="n">
        <v>3</v>
      </c>
      <c r="B2" s="1"/>
      <c r="C2" s="2" t="s">
        <v>1</v>
      </c>
      <c r="D2" s="2"/>
      <c r="E2" s="2"/>
      <c r="F2" s="2" t="s">
        <v>2</v>
      </c>
      <c r="G2" s="2"/>
      <c r="H2" s="2"/>
      <c r="I2" s="2" t="s">
        <v>3</v>
      </c>
      <c r="J2" s="2"/>
      <c r="K2" s="1" t="s">
        <v>4</v>
      </c>
      <c r="L2" s="1"/>
      <c r="M2" s="1"/>
      <c r="N2" s="1"/>
      <c r="O2" s="1"/>
      <c r="P2" s="1"/>
      <c r="Q2" s="1"/>
      <c r="R2" s="1"/>
      <c r="S2" s="1"/>
      <c r="T2" s="2" t="s">
        <v>5</v>
      </c>
      <c r="U2" s="2"/>
      <c r="V2" s="2"/>
      <c r="W2" s="2"/>
      <c r="X2" s="2"/>
      <c r="Y2" s="2"/>
      <c r="Z2" s="2"/>
      <c r="AA2" s="2"/>
      <c r="AB2" s="1"/>
      <c r="AC2" s="2" t="s">
        <v>6</v>
      </c>
      <c r="AD2" s="2"/>
      <c r="AE2" s="1"/>
      <c r="AF2" s="3" t="s">
        <v>7</v>
      </c>
      <c r="AG2" s="3"/>
      <c r="AH2" s="3"/>
      <c r="AI2" s="3"/>
      <c r="AJ2" s="3"/>
      <c r="AK2" s="3"/>
      <c r="AL2" s="1"/>
      <c r="AM2" s="3" t="s">
        <v>8</v>
      </c>
      <c r="AN2" s="3"/>
      <c r="AO2" s="3"/>
      <c r="AP2" s="3"/>
      <c r="AQ2" s="3"/>
      <c r="AR2" s="3"/>
      <c r="AS2" s="1"/>
      <c r="AT2" s="2" t="s">
        <v>9</v>
      </c>
      <c r="AU2" s="2"/>
      <c r="AV2" s="2"/>
      <c r="AW2" s="2"/>
      <c r="AX2" s="2"/>
      <c r="AY2" s="2"/>
      <c r="AZ2" s="1"/>
      <c r="BA2" s="2" t="s">
        <v>10</v>
      </c>
      <c r="BB2" s="2"/>
      <c r="BC2" s="2"/>
      <c r="BD2" s="2"/>
      <c r="BE2" s="2"/>
      <c r="BF2" s="2"/>
    </row>
    <row r="3" customFormat="false" ht="15" hidden="false" customHeight="false" outlineLevel="0" collapsed="false">
      <c r="A3" s="3"/>
      <c r="B3" s="3"/>
      <c r="C3" s="3" t="s">
        <v>11</v>
      </c>
      <c r="D3" s="3" t="s">
        <v>12</v>
      </c>
      <c r="E3" s="3" t="s">
        <v>13</v>
      </c>
      <c r="F3" s="3" t="s">
        <v>11</v>
      </c>
      <c r="G3" s="3" t="s">
        <v>12</v>
      </c>
      <c r="H3" s="3" t="s">
        <v>13</v>
      </c>
      <c r="I3" s="3" t="s">
        <v>11</v>
      </c>
      <c r="J3" s="3" t="s">
        <v>12</v>
      </c>
      <c r="K3" s="3" t="s">
        <v>14</v>
      </c>
      <c r="L3" s="3"/>
      <c r="M3" s="3" t="s">
        <v>15</v>
      </c>
      <c r="N3" s="3" t="s">
        <v>16</v>
      </c>
      <c r="O3" s="3" t="s">
        <v>17</v>
      </c>
      <c r="P3" s="3"/>
      <c r="Q3" s="3"/>
      <c r="R3" s="3"/>
      <c r="S3" s="3"/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/>
      <c r="AC3" s="3" t="s">
        <v>26</v>
      </c>
      <c r="AD3" s="3" t="s">
        <v>27</v>
      </c>
      <c r="AE3" s="3"/>
      <c r="AF3" s="3" t="s">
        <v>28</v>
      </c>
      <c r="AG3" s="3" t="s">
        <v>1</v>
      </c>
      <c r="AH3" s="3" t="s">
        <v>2</v>
      </c>
      <c r="AI3" s="3" t="s">
        <v>3</v>
      </c>
      <c r="AJ3" s="3" t="s">
        <v>4</v>
      </c>
      <c r="AK3" s="3" t="s">
        <v>29</v>
      </c>
      <c r="AL3" s="3"/>
      <c r="AM3" s="3" t="s">
        <v>28</v>
      </c>
      <c r="AN3" s="3" t="s">
        <v>1</v>
      </c>
      <c r="AO3" s="3" t="s">
        <v>2</v>
      </c>
      <c r="AP3" s="3" t="s">
        <v>3</v>
      </c>
      <c r="AQ3" s="3" t="s">
        <v>4</v>
      </c>
      <c r="AR3" s="3" t="s">
        <v>29</v>
      </c>
      <c r="AS3" s="3"/>
      <c r="AT3" s="3" t="str">
        <f aca="false">V$3</f>
        <v>ALBA</v>
      </c>
      <c r="AU3" s="3" t="str">
        <f aca="false">W$3</f>
        <v>BRUNO</v>
      </c>
      <c r="AV3" s="3" t="str">
        <f aca="false">X$3</f>
        <v>CARLA</v>
      </c>
      <c r="AW3" s="3" t="str">
        <f aca="false">Y$3</f>
        <v>DINO</v>
      </c>
      <c r="AX3" s="3" t="str">
        <f aca="false">Z$3</f>
        <v>ELSA</v>
      </c>
      <c r="AY3" s="3" t="str">
        <f aca="false">AA$3</f>
        <v>FABIO</v>
      </c>
      <c r="AZ3" s="3"/>
      <c r="BA3" s="3" t="str">
        <f aca="false">V$3</f>
        <v>ALBA</v>
      </c>
      <c r="BB3" s="3" t="str">
        <f aca="false">W$3</f>
        <v>BRUNO</v>
      </c>
      <c r="BC3" s="3" t="str">
        <f aca="false">X$3</f>
        <v>CARLA</v>
      </c>
      <c r="BD3" s="3" t="str">
        <f aca="false">Y$3</f>
        <v>DINO</v>
      </c>
      <c r="BE3" s="3" t="str">
        <f aca="false">Z$3</f>
        <v>ELSA</v>
      </c>
      <c r="BF3" s="3" t="str">
        <f aca="false">AA$3</f>
        <v>FABIO</v>
      </c>
    </row>
    <row r="4" customFormat="false" ht="15" hidden="false" customHeight="false" outlineLevel="0" collapsed="false">
      <c r="A4" s="4" t="str">
        <f aca="false">CHOOSE(WEEKDAY(DATE($B$1,$A$2,B4),2),"lunedì","martedì","mercoledì","giovedì","venerdì","sabato","domenica")</f>
        <v>lunedì</v>
      </c>
      <c r="B4" s="4" t="n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 t="str">
        <f aca="false">IF(SUMPRODUCT(($C$3:$K$3&lt;&gt;"")*($C4:$K4&lt;&gt;"")*(COUNTIFS($C4:$K4,$C4:$K4,$C$3:$K$3,$C$3:$K$3)&gt;1))&gt;0,"X","")</f>
        <v/>
      </c>
      <c r="N4" s="5" t="str">
        <f aca="false">IF(LEN(AT4&amp;AU4&amp;AV4&amp;AW4&amp;AX4&amp;AY4)=0,"",LEFT(AT4&amp;AU4&amp;AV4&amp;AW4&amp;AX4&amp;AY4,LEN(AT4&amp;AU4&amp;AV4&amp;AW4&amp;AX4&amp;AY4)-2))</f>
        <v>ALBA, BRUNO, CARLA, DINO, ELSA, FABIO</v>
      </c>
      <c r="O4" s="5" t="str">
        <f aca="false">IF(LEN(BA4&amp;BB4&amp;BC4&amp;BD4&amp;BE4&amp;BF4)=0,"",LEFT(BA4&amp;BB4&amp;BC4&amp;BD4&amp;BE4&amp;BF4,LEN(BA4&amp;BB4&amp;BC4&amp;BD4&amp;BE4&amp;BF4)-2))</f>
        <v>ALBA, BRUNO, CARLA, DINO, ELSA, FABIO</v>
      </c>
      <c r="T4" s="4" t="str">
        <f aca="false">A4</f>
        <v>lunedì</v>
      </c>
      <c r="U4" s="4" t="n">
        <f aca="false">B4</f>
        <v>1</v>
      </c>
      <c r="V4" s="5"/>
      <c r="W4" s="5"/>
      <c r="X4" s="5"/>
      <c r="Y4" s="5"/>
      <c r="Z4" s="5"/>
      <c r="AA4" s="5"/>
      <c r="AC4" s="6" t="s">
        <v>30</v>
      </c>
      <c r="AD4" s="7" t="s">
        <v>31</v>
      </c>
      <c r="AF4" s="8" t="str">
        <f aca="false">V$3</f>
        <v>ALBA</v>
      </c>
      <c r="AG4" s="8" t="n">
        <f aca="false">COUNTIF($C$4:$E$34,$AF4)</f>
        <v>0</v>
      </c>
      <c r="AH4" s="8" t="n">
        <f aca="false">COUNTIF($F$4:$H$34,$AF4)</f>
        <v>0</v>
      </c>
      <c r="AI4" s="8" t="n">
        <f aca="false">COUNTIF($I$4:$J$34,$AF4)</f>
        <v>0</v>
      </c>
      <c r="AJ4" s="8" t="n">
        <f aca="false">COUNTIF($K$4:$K$34,$AF4)</f>
        <v>0</v>
      </c>
      <c r="AK4" s="8" t="n">
        <f aca="false">COUNTIF($C$4:$K$34,$AF4)</f>
        <v>0</v>
      </c>
      <c r="AM4" s="9" t="str">
        <f aca="false">V$3</f>
        <v>ALBA</v>
      </c>
      <c r="AN4" s="9"/>
      <c r="AO4" s="9"/>
      <c r="AP4" s="9"/>
      <c r="AQ4" s="9"/>
      <c r="AR4" s="9"/>
      <c r="AT4" s="10" t="str">
        <f aca="false">IF((V4="X")+(V4="F")&gt;0,"",IF(((V4&lt;&gt;"Xm"))+((V4&lt;&gt;"Xp"))+((V4&lt;&gt;"Xs")*(V4&lt;&gt;"Cs"))+((V4&lt;&gt;"Xn"))=0,"",IF(((V4&lt;&gt;"Xm"))+((V4&lt;&gt;"Xp"))+((V4&lt;&gt;"Xs")*(V4&lt;&gt;"Cs"))+((V4&lt;&gt;"Xn"))=4,V$3&amp;", ",V$3&amp;IF((V4&lt;&gt;"Xm"),"_m","")&amp;IF((V4&lt;&gt;"Xp"),"_p","")&amp;IF((V4&lt;&gt;"Xs")*(V4&lt;&gt;"Cs"),"_s","")&amp;IF((V4&lt;&gt;"Xn"),"_n","")&amp;", ")))</f>
        <v>ALBA, </v>
      </c>
      <c r="AU4" s="10" t="str">
        <f aca="false">IF((W4="X")+(W4="F")&gt;0,"",IF(((W4&lt;&gt;"Xm"))+((W4&lt;&gt;"Xp"))+((W4&lt;&gt;"Xs")*(W4&lt;&gt;"Cs"))+((W4&lt;&gt;"Xn"))=0,"",IF(((W4&lt;&gt;"Xm"))+((W4&lt;&gt;"Xp"))+((W4&lt;&gt;"Xs")*(W4&lt;&gt;"Cs"))+((W4&lt;&gt;"Xn"))=4,W$3&amp;", ",W$3&amp;IF((W4&lt;&gt;"Xm"),"_m","")&amp;IF((W4&lt;&gt;"Xp"),"_p","")&amp;IF((W4&lt;&gt;"Xs")*(W4&lt;&gt;"Cs"),"_s","")&amp;IF((W4&lt;&gt;"Xn"),"_n","")&amp;", ")))</f>
        <v>BRUNO, </v>
      </c>
      <c r="AV4" s="10" t="str">
        <f aca="false">IF((X4="X")+(X4="F")&gt;0,"",IF(((X4&lt;&gt;"Xm"))+((X4&lt;&gt;"Xp"))+((X4&lt;&gt;"Xs")*(X4&lt;&gt;"Cs"))+((X4&lt;&gt;"Xn"))=0,"",IF(((X4&lt;&gt;"Xm"))+((X4&lt;&gt;"Xp"))+((X4&lt;&gt;"Xs")*(X4&lt;&gt;"Cs"))+((X4&lt;&gt;"Xn"))=4,X$3&amp;", ",X$3&amp;IF((X4&lt;&gt;"Xm"),"_m","")&amp;IF((X4&lt;&gt;"Xp"),"_p","")&amp;IF((X4&lt;&gt;"Xs")*(X4&lt;&gt;"Cs"),"_s","")&amp;IF((X4&lt;&gt;"Xn"),"_n","")&amp;", ")))</f>
        <v>CARLA, </v>
      </c>
      <c r="AW4" s="10" t="str">
        <f aca="false">IF((Y4="X")+(Y4="F")&gt;0,"",IF(((Y4&lt;&gt;"Xm"))+((Y4&lt;&gt;"Xp"))+((Y4&lt;&gt;"Xs")*(Y4&lt;&gt;"Cs"))+((Y4&lt;&gt;"Xn"))=0,"",IF(((Y4&lt;&gt;"Xm"))+((Y4&lt;&gt;"Xp"))+((Y4&lt;&gt;"Xs")*(Y4&lt;&gt;"Cs"))+((Y4&lt;&gt;"Xn"))=4,Y$3&amp;", ",Y$3&amp;IF((Y4&lt;&gt;"Xm"),"_m","")&amp;IF((Y4&lt;&gt;"Xp"),"_p","")&amp;IF((Y4&lt;&gt;"Xs")*(Y4&lt;&gt;"Cs"),"_s","")&amp;IF((Y4&lt;&gt;"Xn"),"_n","")&amp;", ")))</f>
        <v>DINO, </v>
      </c>
      <c r="AX4" s="10" t="str">
        <f aca="false">IF((Z4="X")+(Z4="F")&gt;0,"",IF(((Z4&lt;&gt;"Xm"))+((Z4&lt;&gt;"Xp"))+((Z4&lt;&gt;"Xs")*(Z4&lt;&gt;"Cs"))+((Z4&lt;&gt;"Xn"))=0,"",IF(((Z4&lt;&gt;"Xm"))+((Z4&lt;&gt;"Xp"))+((Z4&lt;&gt;"Xs")*(Z4&lt;&gt;"Cs"))+((Z4&lt;&gt;"Xn"))=4,Z$3&amp;", ",Z$3&amp;IF((Z4&lt;&gt;"Xm"),"_m","")&amp;IF((Z4&lt;&gt;"Xp"),"_p","")&amp;IF((Z4&lt;&gt;"Xs")*(Z4&lt;&gt;"Cs"),"_s","")&amp;IF((Z4&lt;&gt;"Xn"),"_n","")&amp;", ")))</f>
        <v>ELSA, </v>
      </c>
      <c r="AY4" s="10" t="str">
        <f aca="false">IF((AA4="X")+(AA4="F")&gt;0,"",IF(((AA4&lt;&gt;"Xm"))+((AA4&lt;&gt;"Xp"))+((AA4&lt;&gt;"Xs")*(AA4&lt;&gt;"Cs"))+((AA4&lt;&gt;"Xn"))=0,"",IF(((AA4&lt;&gt;"Xm"))+((AA4&lt;&gt;"Xp"))+((AA4&lt;&gt;"Xs")*(AA4&lt;&gt;"Cs"))+((AA4&lt;&gt;"Xn"))=4,AA$3&amp;", ",AA$3&amp;IF((AA4&lt;&gt;"Xm"),"_m","")&amp;IF((AA4&lt;&gt;"Xp"),"_p","")&amp;IF((AA4&lt;&gt;"Xs")*(AA4&lt;&gt;"Cs"),"_s","")&amp;IF((AA4&lt;&gt;"Xn"),"_n","")&amp;", ")))</f>
        <v>FABIO, </v>
      </c>
      <c r="AZ4" s="10"/>
      <c r="BA4" s="10" t="str">
        <f aca="false">IF((V4="X")+(V4="F")&gt;0,"",IF(((V4&lt;&gt;"Xm")*(COUNTIFS($C$3:$K$3,"MAT",$C4:$K4,V$3)=0)*(COUNTIFS($C$3:$K$3,"NOTTE",$C4:$K4,V$3)=0))+((V4&lt;&gt;"Xp")*(COUNTIFS($C$3:$K$3,"POM",$C4:$K4,V$3)=0)*(COUNTIFS($C$3:$K$3,"NOTTE",$C4:$K4,V$3)=0))+((V4&lt;&gt;"Xs")*(V4&lt;&gt;"Cs")*(COUNTIFS($C$3:$K$3,"SERA",$C4:$K4,V$3)=0)*(COUNTIFS($C$3:$K$3,"NOTTE",$C4:$K4,V$3)=0))+((V4&lt;&gt;"Xn")*(COUNTIFS($C$3:$K$3,"MAT",$C4:$K4,V$3)=0)*(COUNTIFS($C$3:$K$3,"POM",$C4:$K4,V$3)=0)*(COUNTIFS($C$3:$K$3,"SERA",$C4:$K4,V$3)=0)*(COUNTIFS($C$3:$K$3,"NOTTE",$C4:$K4,V$3)=0))=0,"",IF(((V4&lt;&gt;"Xm")*(COUNTIFS($C$3:$K$3,"MAT",$C4:$K4,V$3)=0)*(COUNTIFS($C$3:$K$3,"NOTTE",$C4:$K4,V$3)=0))+((V4&lt;&gt;"Xp")*(COUNTIFS($C$3:$K$3,"POM",$C4:$K4,V$3)=0)*(COUNTIFS($C$3:$K$3,"NOTTE",$C4:$K4,V$3)=0))+((V4&lt;&gt;"Xs")*(V4&lt;&gt;"Cs")*(COUNTIFS($C$3:$K$3,"SERA",$C4:$K4,V$3)=0)*(COUNTIFS($C$3:$K$3,"NOTTE",$C4:$K4,V$3)=0))+((V4&lt;&gt;"Xn")*(COUNTIFS($C$3:$K$3,"MAT",$C4:$K4,V$3)=0)*(COUNTIFS($C$3:$K$3,"POM",$C4:$K4,V$3)=0)*(COUNTIFS($C$3:$K$3,"SERA",$C4:$K4,V$3)=0)*(COUNTIFS($C$3:$K$3,"NOTTE",$C4:$K4,V$3)=0))=4,V$3&amp;", ",V$3&amp;IF((V4&lt;&gt;"Xm")*(COUNTIFS($C$3:$K$3,"MAT",$C4:$K4,V$3)=0)*(COUNTIFS($C$3:$K$3,"NOTTE",$C4:$K4,V$3)=0),"_m","")&amp;IF((V4&lt;&gt;"Xp")*(COUNTIFS($C$3:$K$3,"POM",$C4:$K4,V$3)=0)*(COUNTIFS($C$3:$K$3,"NOTTE",$C4:$K4,V$3)=0),"_p","")&amp;IF((V4&lt;&gt;"Xs")*(V4&lt;&gt;"Cs")*(COUNTIFS($C$3:$K$3,"SERA",$C4:$K4,V$3)=0)*(COUNTIFS($C$3:$K$3,"NOTTE",$C4:$K4,V$3)=0),"_s","")&amp;IF((V4&lt;&gt;"Xn")*(COUNTIFS($C$3:$K$3,"MAT",$C4:$K4,V$3)=0)*(COUNTIFS($C$3:$K$3,"POM",$C4:$K4,V$3)=0)*(COUNTIFS($C$3:$K$3,"SERA",$C4:$K4,V$3)=0)*(COUNTIFS($C$3:$K$3,"NOTTE",$C4:$K4,V$3)=0),"_n","")&amp;", ")))</f>
        <v>ALBA, </v>
      </c>
      <c r="BB4" s="10" t="str">
        <f aca="false">IF((W4="X")+(W4="F")&gt;0,"",IF(((W4&lt;&gt;"Xm")*(COUNTIFS($C$3:$K$3,"MAT",$C4:$K4,W$3)=0)*(COUNTIFS($C$3:$K$3,"NOTTE",$C4:$K4,W$3)=0))+((W4&lt;&gt;"Xp")*(COUNTIFS($C$3:$K$3,"POM",$C4:$K4,W$3)=0)*(COUNTIFS($C$3:$K$3,"NOTTE",$C4:$K4,W$3)=0))+((W4&lt;&gt;"Xs")*(W4&lt;&gt;"Cs")*(COUNTIFS($C$3:$K$3,"SERA",$C4:$K4,W$3)=0)*(COUNTIFS($C$3:$K$3,"NOTTE",$C4:$K4,W$3)=0))+((W4&lt;&gt;"Xn")*(COUNTIFS($C$3:$K$3,"MAT",$C4:$K4,W$3)=0)*(COUNTIFS($C$3:$K$3,"POM",$C4:$K4,W$3)=0)*(COUNTIFS($C$3:$K$3,"SERA",$C4:$K4,W$3)=0)*(COUNTIFS($C$3:$K$3,"NOTTE",$C4:$K4,W$3)=0))=0,"",IF(((W4&lt;&gt;"Xm")*(COUNTIFS($C$3:$K$3,"MAT",$C4:$K4,W$3)=0)*(COUNTIFS($C$3:$K$3,"NOTTE",$C4:$K4,W$3)=0))+((W4&lt;&gt;"Xp")*(COUNTIFS($C$3:$K$3,"POM",$C4:$K4,W$3)=0)*(COUNTIFS($C$3:$K$3,"NOTTE",$C4:$K4,W$3)=0))+((W4&lt;&gt;"Xs")*(W4&lt;&gt;"Cs")*(COUNTIFS($C$3:$K$3,"SERA",$C4:$K4,W$3)=0)*(COUNTIFS($C$3:$K$3,"NOTTE",$C4:$K4,W$3)=0))+((W4&lt;&gt;"Xn")*(COUNTIFS($C$3:$K$3,"MAT",$C4:$K4,W$3)=0)*(COUNTIFS($C$3:$K$3,"POM",$C4:$K4,W$3)=0)*(COUNTIFS($C$3:$K$3,"SERA",$C4:$K4,W$3)=0)*(COUNTIFS($C$3:$K$3,"NOTTE",$C4:$K4,W$3)=0))=4,W$3&amp;", ",W$3&amp;IF((W4&lt;&gt;"Xm")*(COUNTIFS($C$3:$K$3,"MAT",$C4:$K4,W$3)=0)*(COUNTIFS($C$3:$K$3,"NOTTE",$C4:$K4,W$3)=0),"_m","")&amp;IF((W4&lt;&gt;"Xp")*(COUNTIFS($C$3:$K$3,"POM",$C4:$K4,W$3)=0)*(COUNTIFS($C$3:$K$3,"NOTTE",$C4:$K4,W$3)=0),"_p","")&amp;IF((W4&lt;&gt;"Xs")*(W4&lt;&gt;"Cs")*(COUNTIFS($C$3:$K$3,"SERA",$C4:$K4,W$3)=0)*(COUNTIFS($C$3:$K$3,"NOTTE",$C4:$K4,W$3)=0),"_s","")&amp;IF((W4&lt;&gt;"Xn")*(COUNTIFS($C$3:$K$3,"MAT",$C4:$K4,W$3)=0)*(COUNTIFS($C$3:$K$3,"POM",$C4:$K4,W$3)=0)*(COUNTIFS($C$3:$K$3,"SERA",$C4:$K4,W$3)=0)*(COUNTIFS($C$3:$K$3,"NOTTE",$C4:$K4,W$3)=0),"_n","")&amp;", ")))</f>
        <v>BRUNO, </v>
      </c>
      <c r="BC4" s="10" t="str">
        <f aca="false">IF((X4="X")+(X4="F")&gt;0,"",IF(((X4&lt;&gt;"Xm")*(COUNTIFS($C$3:$K$3,"MAT",$C4:$K4,X$3)=0)*(COUNTIFS($C$3:$K$3,"NOTTE",$C4:$K4,X$3)=0))+((X4&lt;&gt;"Xp")*(COUNTIFS($C$3:$K$3,"POM",$C4:$K4,X$3)=0)*(COUNTIFS($C$3:$K$3,"NOTTE",$C4:$K4,X$3)=0))+((X4&lt;&gt;"Xs")*(X4&lt;&gt;"Cs")*(COUNTIFS($C$3:$K$3,"SERA",$C4:$K4,X$3)=0)*(COUNTIFS($C$3:$K$3,"NOTTE",$C4:$K4,X$3)=0))+((X4&lt;&gt;"Xn")*(COUNTIFS($C$3:$K$3,"MAT",$C4:$K4,X$3)=0)*(COUNTIFS($C$3:$K$3,"POM",$C4:$K4,X$3)=0)*(COUNTIFS($C$3:$K$3,"SERA",$C4:$K4,X$3)=0)*(COUNTIFS($C$3:$K$3,"NOTTE",$C4:$K4,X$3)=0))=0,"",IF(((X4&lt;&gt;"Xm")*(COUNTIFS($C$3:$K$3,"MAT",$C4:$K4,X$3)=0)*(COUNTIFS($C$3:$K$3,"NOTTE",$C4:$K4,X$3)=0))+((X4&lt;&gt;"Xp")*(COUNTIFS($C$3:$K$3,"POM",$C4:$K4,X$3)=0)*(COUNTIFS($C$3:$K$3,"NOTTE",$C4:$K4,X$3)=0))+((X4&lt;&gt;"Xs")*(X4&lt;&gt;"Cs")*(COUNTIFS($C$3:$K$3,"SERA",$C4:$K4,X$3)=0)*(COUNTIFS($C$3:$K$3,"NOTTE",$C4:$K4,X$3)=0))+((X4&lt;&gt;"Xn")*(COUNTIFS($C$3:$K$3,"MAT",$C4:$K4,X$3)=0)*(COUNTIFS($C$3:$K$3,"POM",$C4:$K4,X$3)=0)*(COUNTIFS($C$3:$K$3,"SERA",$C4:$K4,X$3)=0)*(COUNTIFS($C$3:$K$3,"NOTTE",$C4:$K4,X$3)=0))=4,X$3&amp;", ",X$3&amp;IF((X4&lt;&gt;"Xm")*(COUNTIFS($C$3:$K$3,"MAT",$C4:$K4,X$3)=0)*(COUNTIFS($C$3:$K$3,"NOTTE",$C4:$K4,X$3)=0),"_m","")&amp;IF((X4&lt;&gt;"Xp")*(COUNTIFS($C$3:$K$3,"POM",$C4:$K4,X$3)=0)*(COUNTIFS($C$3:$K$3,"NOTTE",$C4:$K4,X$3)=0),"_p","")&amp;IF((X4&lt;&gt;"Xs")*(X4&lt;&gt;"Cs")*(COUNTIFS($C$3:$K$3,"SERA",$C4:$K4,X$3)=0)*(COUNTIFS($C$3:$K$3,"NOTTE",$C4:$K4,X$3)=0),"_s","")&amp;IF((X4&lt;&gt;"Xn")*(COUNTIFS($C$3:$K$3,"MAT",$C4:$K4,X$3)=0)*(COUNTIFS($C$3:$K$3,"POM",$C4:$K4,X$3)=0)*(COUNTIFS($C$3:$K$3,"SERA",$C4:$K4,X$3)=0)*(COUNTIFS($C$3:$K$3,"NOTTE",$C4:$K4,X$3)=0),"_n","")&amp;", ")))</f>
        <v>CARLA, </v>
      </c>
      <c r="BD4" s="10" t="str">
        <f aca="false">IF((Y4="X")+(Y4="F")&gt;0,"",IF(((Y4&lt;&gt;"Xm")*(COUNTIFS($C$3:$K$3,"MAT",$C4:$K4,Y$3)=0)*(COUNTIFS($C$3:$K$3,"NOTTE",$C4:$K4,Y$3)=0))+((Y4&lt;&gt;"Xp")*(COUNTIFS($C$3:$K$3,"POM",$C4:$K4,Y$3)=0)*(COUNTIFS($C$3:$K$3,"NOTTE",$C4:$K4,Y$3)=0))+((Y4&lt;&gt;"Xs")*(Y4&lt;&gt;"Cs")*(COUNTIFS($C$3:$K$3,"SERA",$C4:$K4,Y$3)=0)*(COUNTIFS($C$3:$K$3,"NOTTE",$C4:$K4,Y$3)=0))+((Y4&lt;&gt;"Xn")*(COUNTIFS($C$3:$K$3,"MAT",$C4:$K4,Y$3)=0)*(COUNTIFS($C$3:$K$3,"POM",$C4:$K4,Y$3)=0)*(COUNTIFS($C$3:$K$3,"SERA",$C4:$K4,Y$3)=0)*(COUNTIFS($C$3:$K$3,"NOTTE",$C4:$K4,Y$3)=0))=0,"",IF(((Y4&lt;&gt;"Xm")*(COUNTIFS($C$3:$K$3,"MAT",$C4:$K4,Y$3)=0)*(COUNTIFS($C$3:$K$3,"NOTTE",$C4:$K4,Y$3)=0))+((Y4&lt;&gt;"Xp")*(COUNTIFS($C$3:$K$3,"POM",$C4:$K4,Y$3)=0)*(COUNTIFS($C$3:$K$3,"NOTTE",$C4:$K4,Y$3)=0))+((Y4&lt;&gt;"Xs")*(Y4&lt;&gt;"Cs")*(COUNTIFS($C$3:$K$3,"SERA",$C4:$K4,Y$3)=0)*(COUNTIFS($C$3:$K$3,"NOTTE",$C4:$K4,Y$3)=0))+((Y4&lt;&gt;"Xn")*(COUNTIFS($C$3:$K$3,"MAT",$C4:$K4,Y$3)=0)*(COUNTIFS($C$3:$K$3,"POM",$C4:$K4,Y$3)=0)*(COUNTIFS($C$3:$K$3,"SERA",$C4:$K4,Y$3)=0)*(COUNTIFS($C$3:$K$3,"NOTTE",$C4:$K4,Y$3)=0))=4,Y$3&amp;", ",Y$3&amp;IF((Y4&lt;&gt;"Xm")*(COUNTIFS($C$3:$K$3,"MAT",$C4:$K4,Y$3)=0)*(COUNTIFS($C$3:$K$3,"NOTTE",$C4:$K4,Y$3)=0),"_m","")&amp;IF((Y4&lt;&gt;"Xp")*(COUNTIFS($C$3:$K$3,"POM",$C4:$K4,Y$3)=0)*(COUNTIFS($C$3:$K$3,"NOTTE",$C4:$K4,Y$3)=0),"_p","")&amp;IF((Y4&lt;&gt;"Xs")*(Y4&lt;&gt;"Cs")*(COUNTIFS($C$3:$K$3,"SERA",$C4:$K4,Y$3)=0)*(COUNTIFS($C$3:$K$3,"NOTTE",$C4:$K4,Y$3)=0),"_s","")&amp;IF((Y4&lt;&gt;"Xn")*(COUNTIFS($C$3:$K$3,"MAT",$C4:$K4,Y$3)=0)*(COUNTIFS($C$3:$K$3,"POM",$C4:$K4,Y$3)=0)*(COUNTIFS($C$3:$K$3,"SERA",$C4:$K4,Y$3)=0)*(COUNTIFS($C$3:$K$3,"NOTTE",$C4:$K4,Y$3)=0),"_n","")&amp;", ")))</f>
        <v>DINO, </v>
      </c>
      <c r="BE4" s="10" t="str">
        <f aca="false">IF((Z4="X")+(Z4="F")&gt;0,"",IF(((Z4&lt;&gt;"Xm")*(COUNTIFS($C$3:$K$3,"MAT",$C4:$K4,Z$3)=0)*(COUNTIFS($C$3:$K$3,"NOTTE",$C4:$K4,Z$3)=0))+((Z4&lt;&gt;"Xp")*(COUNTIFS($C$3:$K$3,"POM",$C4:$K4,Z$3)=0)*(COUNTIFS($C$3:$K$3,"NOTTE",$C4:$K4,Z$3)=0))+((Z4&lt;&gt;"Xs")*(Z4&lt;&gt;"Cs")*(COUNTIFS($C$3:$K$3,"SERA",$C4:$K4,Z$3)=0)*(COUNTIFS($C$3:$K$3,"NOTTE",$C4:$K4,Z$3)=0))+((Z4&lt;&gt;"Xn")*(COUNTIFS($C$3:$K$3,"MAT",$C4:$K4,Z$3)=0)*(COUNTIFS($C$3:$K$3,"POM",$C4:$K4,Z$3)=0)*(COUNTIFS($C$3:$K$3,"SERA",$C4:$K4,Z$3)=0)*(COUNTIFS($C$3:$K$3,"NOTTE",$C4:$K4,Z$3)=0))=0,"",IF(((Z4&lt;&gt;"Xm")*(COUNTIFS($C$3:$K$3,"MAT",$C4:$K4,Z$3)=0)*(COUNTIFS($C$3:$K$3,"NOTTE",$C4:$K4,Z$3)=0))+((Z4&lt;&gt;"Xp")*(COUNTIFS($C$3:$K$3,"POM",$C4:$K4,Z$3)=0)*(COUNTIFS($C$3:$K$3,"NOTTE",$C4:$K4,Z$3)=0))+((Z4&lt;&gt;"Xs")*(Z4&lt;&gt;"Cs")*(COUNTIFS($C$3:$K$3,"SERA",$C4:$K4,Z$3)=0)*(COUNTIFS($C$3:$K$3,"NOTTE",$C4:$K4,Z$3)=0))+((Z4&lt;&gt;"Xn")*(COUNTIFS($C$3:$K$3,"MAT",$C4:$K4,Z$3)=0)*(COUNTIFS($C$3:$K$3,"POM",$C4:$K4,Z$3)=0)*(COUNTIFS($C$3:$K$3,"SERA",$C4:$K4,Z$3)=0)*(COUNTIFS($C$3:$K$3,"NOTTE",$C4:$K4,Z$3)=0))=4,Z$3&amp;", ",Z$3&amp;IF((Z4&lt;&gt;"Xm")*(COUNTIFS($C$3:$K$3,"MAT",$C4:$K4,Z$3)=0)*(COUNTIFS($C$3:$K$3,"NOTTE",$C4:$K4,Z$3)=0),"_m","")&amp;IF((Z4&lt;&gt;"Xp")*(COUNTIFS($C$3:$K$3,"POM",$C4:$K4,Z$3)=0)*(COUNTIFS($C$3:$K$3,"NOTTE",$C4:$K4,Z$3)=0),"_p","")&amp;IF((Z4&lt;&gt;"Xs")*(Z4&lt;&gt;"Cs")*(COUNTIFS($C$3:$K$3,"SERA",$C4:$K4,Z$3)=0)*(COUNTIFS($C$3:$K$3,"NOTTE",$C4:$K4,Z$3)=0),"_s","")&amp;IF((Z4&lt;&gt;"Xn")*(COUNTIFS($C$3:$K$3,"MAT",$C4:$K4,Z$3)=0)*(COUNTIFS($C$3:$K$3,"POM",$C4:$K4,Z$3)=0)*(COUNTIFS($C$3:$K$3,"SERA",$C4:$K4,Z$3)=0)*(COUNTIFS($C$3:$K$3,"NOTTE",$C4:$K4,Z$3)=0),"_n","")&amp;", ")))</f>
        <v>ELSA, </v>
      </c>
      <c r="BF4" s="10" t="str">
        <f aca="false">IF((AA4="X")+(AA4="F")&gt;0,"",IF(((AA4&lt;&gt;"Xm")*(COUNTIFS($C$3:$K$3,"MAT",$C4:$K4,AA$3)=0)*(COUNTIFS($C$3:$K$3,"NOTTE",$C4:$K4,AA$3)=0))+((AA4&lt;&gt;"Xp")*(COUNTIFS($C$3:$K$3,"POM",$C4:$K4,AA$3)=0)*(COUNTIFS($C$3:$K$3,"NOTTE",$C4:$K4,AA$3)=0))+((AA4&lt;&gt;"Xs")*(AA4&lt;&gt;"Cs")*(COUNTIFS($C$3:$K$3,"SERA",$C4:$K4,AA$3)=0)*(COUNTIFS($C$3:$K$3,"NOTTE",$C4:$K4,AA$3)=0))+((AA4&lt;&gt;"Xn")*(COUNTIFS($C$3:$K$3,"MAT",$C4:$K4,AA$3)=0)*(COUNTIFS($C$3:$K$3,"POM",$C4:$K4,AA$3)=0)*(COUNTIFS($C$3:$K$3,"SERA",$C4:$K4,AA$3)=0)*(COUNTIFS($C$3:$K$3,"NOTTE",$C4:$K4,AA$3)=0))=0,"",IF(((AA4&lt;&gt;"Xm")*(COUNTIFS($C$3:$K$3,"MAT",$C4:$K4,AA$3)=0)*(COUNTIFS($C$3:$K$3,"NOTTE",$C4:$K4,AA$3)=0))+((AA4&lt;&gt;"Xp")*(COUNTIFS($C$3:$K$3,"POM",$C4:$K4,AA$3)=0)*(COUNTIFS($C$3:$K$3,"NOTTE",$C4:$K4,AA$3)=0))+((AA4&lt;&gt;"Xs")*(AA4&lt;&gt;"Cs")*(COUNTIFS($C$3:$K$3,"SERA",$C4:$K4,AA$3)=0)*(COUNTIFS($C$3:$K$3,"NOTTE",$C4:$K4,AA$3)=0))+((AA4&lt;&gt;"Xn")*(COUNTIFS($C$3:$K$3,"MAT",$C4:$K4,AA$3)=0)*(COUNTIFS($C$3:$K$3,"POM",$C4:$K4,AA$3)=0)*(COUNTIFS($C$3:$K$3,"SERA",$C4:$K4,AA$3)=0)*(COUNTIFS($C$3:$K$3,"NOTTE",$C4:$K4,AA$3)=0))=4,AA$3&amp;", ",AA$3&amp;IF((AA4&lt;&gt;"Xm")*(COUNTIFS($C$3:$K$3,"MAT",$C4:$K4,AA$3)=0)*(COUNTIFS($C$3:$K$3,"NOTTE",$C4:$K4,AA$3)=0),"_m","")&amp;IF((AA4&lt;&gt;"Xp")*(COUNTIFS($C$3:$K$3,"POM",$C4:$K4,AA$3)=0)*(COUNTIFS($C$3:$K$3,"NOTTE",$C4:$K4,AA$3)=0),"_p","")&amp;IF((AA4&lt;&gt;"Xs")*(AA4&lt;&gt;"Cs")*(COUNTIFS($C$3:$K$3,"SERA",$C4:$K4,AA$3)=0)*(COUNTIFS($C$3:$K$3,"NOTTE",$C4:$K4,AA$3)=0),"_s","")&amp;IF((AA4&lt;&gt;"Xn")*(COUNTIFS($C$3:$K$3,"MAT",$C4:$K4,AA$3)=0)*(COUNTIFS($C$3:$K$3,"POM",$C4:$K4,AA$3)=0)*(COUNTIFS($C$3:$K$3,"SERA",$C4:$K4,AA$3)=0)*(COUNTIFS($C$3:$K$3,"NOTTE",$C4:$K4,AA$3)=0),"_n","")&amp;", ")))</f>
        <v>FABIO, </v>
      </c>
    </row>
    <row r="5" customFormat="false" ht="15" hidden="false" customHeight="false" outlineLevel="0" collapsed="false">
      <c r="A5" s="4" t="str">
        <f aca="false">CHOOSE(WEEKDAY(DATE($B$1,$A$2,B5),2),"lunedì","martedì","mercoledì","giovedì","venerdì","sabato","domenica")</f>
        <v>martedì</v>
      </c>
      <c r="B5" s="4" t="n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 t="str">
        <f aca="false">IF(SUMPRODUCT(($C$3:$K$3&lt;&gt;"")*($C5:$K5&lt;&gt;"")*(COUNTIFS($C5:$K5,$C5:$K5,$C$3:$K$3,$C$3:$K$3)&gt;1))&gt;0,"X","")</f>
        <v/>
      </c>
      <c r="N5" s="5" t="str">
        <f aca="false">IF(LEN(AT5&amp;AU5&amp;AV5&amp;AW5&amp;AX5&amp;AY5)=0,"",LEFT(AT5&amp;AU5&amp;AV5&amp;AW5&amp;AX5&amp;AY5,LEN(AT5&amp;AU5&amp;AV5&amp;AW5&amp;AX5&amp;AY5)-2))</f>
        <v>ALBA, BRUNO, CARLA, DINO, ELSA, FABIO</v>
      </c>
      <c r="O5" s="5" t="str">
        <f aca="false">IF(LEN(BA5&amp;BB5&amp;BC5&amp;BD5&amp;BE5&amp;BF5)=0,"",LEFT(BA5&amp;BB5&amp;BC5&amp;BD5&amp;BE5&amp;BF5,LEN(BA5&amp;BB5&amp;BC5&amp;BD5&amp;BE5&amp;BF5)-2))</f>
        <v>ALBA, BRUNO, CARLA, DINO, ELSA, FABIO</v>
      </c>
      <c r="T5" s="4" t="str">
        <f aca="false">A5</f>
        <v>martedì</v>
      </c>
      <c r="U5" s="4" t="n">
        <f aca="false">B5</f>
        <v>2</v>
      </c>
      <c r="V5" s="5"/>
      <c r="W5" s="5"/>
      <c r="X5" s="5"/>
      <c r="Y5" s="5"/>
      <c r="Z5" s="5"/>
      <c r="AA5" s="5"/>
      <c r="AC5" s="6" t="s">
        <v>32</v>
      </c>
      <c r="AD5" s="7" t="s">
        <v>33</v>
      </c>
      <c r="AF5" s="8" t="str">
        <f aca="false">W$3</f>
        <v>BRUNO</v>
      </c>
      <c r="AG5" s="8" t="n">
        <f aca="false">COUNTIF($C$4:$E$34,$AF5)</f>
        <v>0</v>
      </c>
      <c r="AH5" s="8" t="n">
        <f aca="false">COUNTIF($F$4:$H$34,$AF5)</f>
        <v>0</v>
      </c>
      <c r="AI5" s="8" t="n">
        <f aca="false">COUNTIF($I$4:$J$34,$AF5)</f>
        <v>0</v>
      </c>
      <c r="AJ5" s="8" t="n">
        <f aca="false">COUNTIF($K$4:$K$34,$AF5)</f>
        <v>0</v>
      </c>
      <c r="AK5" s="8" t="n">
        <f aca="false">COUNTIF($C$4:$K$34,$AF5)</f>
        <v>0</v>
      </c>
      <c r="AM5" s="9" t="str">
        <f aca="false">W$3</f>
        <v>BRUNO</v>
      </c>
      <c r="AN5" s="9"/>
      <c r="AO5" s="9"/>
      <c r="AP5" s="9"/>
      <c r="AQ5" s="9"/>
      <c r="AR5" s="9"/>
      <c r="AT5" s="10" t="str">
        <f aca="false">IF((V5="X")+(V5="F")&gt;0,"",IF(((V5&lt;&gt;"Xm"))+((V5&lt;&gt;"Xp"))+((V5&lt;&gt;"Xs")*(V5&lt;&gt;"Cs"))+((V5&lt;&gt;"Xn"))=0,"",IF(((V5&lt;&gt;"Xm"))+((V5&lt;&gt;"Xp"))+((V5&lt;&gt;"Xs")*(V5&lt;&gt;"Cs"))+((V5&lt;&gt;"Xn"))=4,V$3&amp;", ",V$3&amp;IF((V5&lt;&gt;"Xm"),"_m","")&amp;IF((V5&lt;&gt;"Xp"),"_p","")&amp;IF((V5&lt;&gt;"Xs")*(V5&lt;&gt;"Cs"),"_s","")&amp;IF((V5&lt;&gt;"Xn"),"_n","")&amp;", ")))</f>
        <v>ALBA, </v>
      </c>
      <c r="AU5" s="10" t="str">
        <f aca="false">IF((W5="X")+(W5="F")&gt;0,"",IF(((W5&lt;&gt;"Xm"))+((W5&lt;&gt;"Xp"))+((W5&lt;&gt;"Xs")*(W5&lt;&gt;"Cs"))+((W5&lt;&gt;"Xn"))=0,"",IF(((W5&lt;&gt;"Xm"))+((W5&lt;&gt;"Xp"))+((W5&lt;&gt;"Xs")*(W5&lt;&gt;"Cs"))+((W5&lt;&gt;"Xn"))=4,W$3&amp;", ",W$3&amp;IF((W5&lt;&gt;"Xm"),"_m","")&amp;IF((W5&lt;&gt;"Xp"),"_p","")&amp;IF((W5&lt;&gt;"Xs")*(W5&lt;&gt;"Cs"),"_s","")&amp;IF((W5&lt;&gt;"Xn"),"_n","")&amp;", ")))</f>
        <v>BRUNO, </v>
      </c>
      <c r="AV5" s="10" t="str">
        <f aca="false">IF((X5="X")+(X5="F")&gt;0,"",IF(((X5&lt;&gt;"Xm"))+((X5&lt;&gt;"Xp"))+((X5&lt;&gt;"Xs")*(X5&lt;&gt;"Cs"))+((X5&lt;&gt;"Xn"))=0,"",IF(((X5&lt;&gt;"Xm"))+((X5&lt;&gt;"Xp"))+((X5&lt;&gt;"Xs")*(X5&lt;&gt;"Cs"))+((X5&lt;&gt;"Xn"))=4,X$3&amp;", ",X$3&amp;IF((X5&lt;&gt;"Xm"),"_m","")&amp;IF((X5&lt;&gt;"Xp"),"_p","")&amp;IF((X5&lt;&gt;"Xs")*(X5&lt;&gt;"Cs"),"_s","")&amp;IF((X5&lt;&gt;"Xn"),"_n","")&amp;", ")))</f>
        <v>CARLA, </v>
      </c>
      <c r="AW5" s="10" t="str">
        <f aca="false">IF((Y5="X")+(Y5="F")&gt;0,"",IF(((Y5&lt;&gt;"Xm"))+((Y5&lt;&gt;"Xp"))+((Y5&lt;&gt;"Xs")*(Y5&lt;&gt;"Cs"))+((Y5&lt;&gt;"Xn"))=0,"",IF(((Y5&lt;&gt;"Xm"))+((Y5&lt;&gt;"Xp"))+((Y5&lt;&gt;"Xs")*(Y5&lt;&gt;"Cs"))+((Y5&lt;&gt;"Xn"))=4,Y$3&amp;", ",Y$3&amp;IF((Y5&lt;&gt;"Xm"),"_m","")&amp;IF((Y5&lt;&gt;"Xp"),"_p","")&amp;IF((Y5&lt;&gt;"Xs")*(Y5&lt;&gt;"Cs"),"_s","")&amp;IF((Y5&lt;&gt;"Xn"),"_n","")&amp;", ")))</f>
        <v>DINO, </v>
      </c>
      <c r="AX5" s="10" t="str">
        <f aca="false">IF((Z5="X")+(Z5="F")&gt;0,"",IF(((Z5&lt;&gt;"Xm"))+((Z5&lt;&gt;"Xp"))+((Z5&lt;&gt;"Xs")*(Z5&lt;&gt;"Cs"))+((Z5&lt;&gt;"Xn"))=0,"",IF(((Z5&lt;&gt;"Xm"))+((Z5&lt;&gt;"Xp"))+((Z5&lt;&gt;"Xs")*(Z5&lt;&gt;"Cs"))+((Z5&lt;&gt;"Xn"))=4,Z$3&amp;", ",Z$3&amp;IF((Z5&lt;&gt;"Xm"),"_m","")&amp;IF((Z5&lt;&gt;"Xp"),"_p","")&amp;IF((Z5&lt;&gt;"Xs")*(Z5&lt;&gt;"Cs"),"_s","")&amp;IF((Z5&lt;&gt;"Xn"),"_n","")&amp;", ")))</f>
        <v>ELSA, </v>
      </c>
      <c r="AY5" s="10" t="str">
        <f aca="false">IF((AA5="X")+(AA5="F")&gt;0,"",IF(((AA5&lt;&gt;"Xm"))+((AA5&lt;&gt;"Xp"))+((AA5&lt;&gt;"Xs")*(AA5&lt;&gt;"Cs"))+((AA5&lt;&gt;"Xn"))=0,"",IF(((AA5&lt;&gt;"Xm"))+((AA5&lt;&gt;"Xp"))+((AA5&lt;&gt;"Xs")*(AA5&lt;&gt;"Cs"))+((AA5&lt;&gt;"Xn"))=4,AA$3&amp;", ",AA$3&amp;IF((AA5&lt;&gt;"Xm"),"_m","")&amp;IF((AA5&lt;&gt;"Xp"),"_p","")&amp;IF((AA5&lt;&gt;"Xs")*(AA5&lt;&gt;"Cs"),"_s","")&amp;IF((AA5&lt;&gt;"Xn"),"_n","")&amp;", ")))</f>
        <v>FABIO, </v>
      </c>
      <c r="AZ5" s="10"/>
      <c r="BA5" s="10" t="str">
        <f aca="false">IF((V5="X")+(V5="F")&gt;0,"",IF(((V5&lt;&gt;"Xm")*(COUNTIFS($C$3:$K$3,"MAT",$C5:$K5,V$3)=0)*(COUNTIFS($C$3:$K$3,"NOTTE",$C5:$K5,V$3)=0))+((V5&lt;&gt;"Xp")*(COUNTIFS($C$3:$K$3,"POM",$C5:$K5,V$3)=0)*(COUNTIFS($C$3:$K$3,"NOTTE",$C5:$K5,V$3)=0))+((V5&lt;&gt;"Xs")*(V5&lt;&gt;"Cs")*(COUNTIFS($C$3:$K$3,"SERA",$C5:$K5,V$3)=0)*(COUNTIFS($C$3:$K$3,"NOTTE",$C5:$K5,V$3)=0))+((V5&lt;&gt;"Xn")*(COUNTIFS($C$3:$K$3,"MAT",$C5:$K5,V$3)=0)*(COUNTIFS($C$3:$K$3,"POM",$C5:$K5,V$3)=0)*(COUNTIFS($C$3:$K$3,"SERA",$C5:$K5,V$3)=0)*(COUNTIFS($C$3:$K$3,"NOTTE",$C5:$K5,V$3)=0))=0,"",IF(((V5&lt;&gt;"Xm")*(COUNTIFS($C$3:$K$3,"MAT",$C5:$K5,V$3)=0)*(COUNTIFS($C$3:$K$3,"NOTTE",$C5:$K5,V$3)=0))+((V5&lt;&gt;"Xp")*(COUNTIFS($C$3:$K$3,"POM",$C5:$K5,V$3)=0)*(COUNTIFS($C$3:$K$3,"NOTTE",$C5:$K5,V$3)=0))+((V5&lt;&gt;"Xs")*(V5&lt;&gt;"Cs")*(COUNTIFS($C$3:$K$3,"SERA",$C5:$K5,V$3)=0)*(COUNTIFS($C$3:$K$3,"NOTTE",$C5:$K5,V$3)=0))+((V5&lt;&gt;"Xn")*(COUNTIFS($C$3:$K$3,"MAT",$C5:$K5,V$3)=0)*(COUNTIFS($C$3:$K$3,"POM",$C5:$K5,V$3)=0)*(COUNTIFS($C$3:$K$3,"SERA",$C5:$K5,V$3)=0)*(COUNTIFS($C$3:$K$3,"NOTTE",$C5:$K5,V$3)=0))=4,V$3&amp;", ",V$3&amp;IF((V5&lt;&gt;"Xm")*(COUNTIFS($C$3:$K$3,"MAT",$C5:$K5,V$3)=0)*(COUNTIFS($C$3:$K$3,"NOTTE",$C5:$K5,V$3)=0),"_m","")&amp;IF((V5&lt;&gt;"Xp")*(COUNTIFS($C$3:$K$3,"POM",$C5:$K5,V$3)=0)*(COUNTIFS($C$3:$K$3,"NOTTE",$C5:$K5,V$3)=0),"_p","")&amp;IF((V5&lt;&gt;"Xs")*(V5&lt;&gt;"Cs")*(COUNTIFS($C$3:$K$3,"SERA",$C5:$K5,V$3)=0)*(COUNTIFS($C$3:$K$3,"NOTTE",$C5:$K5,V$3)=0),"_s","")&amp;IF((V5&lt;&gt;"Xn")*(COUNTIFS($C$3:$K$3,"MAT",$C5:$K5,V$3)=0)*(COUNTIFS($C$3:$K$3,"POM",$C5:$K5,V$3)=0)*(COUNTIFS($C$3:$K$3,"SERA",$C5:$K5,V$3)=0)*(COUNTIFS($C$3:$K$3,"NOTTE",$C5:$K5,V$3)=0),"_n","")&amp;", ")))</f>
        <v>ALBA, </v>
      </c>
      <c r="BB5" s="10" t="str">
        <f aca="false">IF((W5="X")+(W5="F")&gt;0,"",IF(((W5&lt;&gt;"Xm")*(COUNTIFS($C$3:$K$3,"MAT",$C5:$K5,W$3)=0)*(COUNTIFS($C$3:$K$3,"NOTTE",$C5:$K5,W$3)=0))+((W5&lt;&gt;"Xp")*(COUNTIFS($C$3:$K$3,"POM",$C5:$K5,W$3)=0)*(COUNTIFS($C$3:$K$3,"NOTTE",$C5:$K5,W$3)=0))+((W5&lt;&gt;"Xs")*(W5&lt;&gt;"Cs")*(COUNTIFS($C$3:$K$3,"SERA",$C5:$K5,W$3)=0)*(COUNTIFS($C$3:$K$3,"NOTTE",$C5:$K5,W$3)=0))+((W5&lt;&gt;"Xn")*(COUNTIFS($C$3:$K$3,"MAT",$C5:$K5,W$3)=0)*(COUNTIFS($C$3:$K$3,"POM",$C5:$K5,W$3)=0)*(COUNTIFS($C$3:$K$3,"SERA",$C5:$K5,W$3)=0)*(COUNTIFS($C$3:$K$3,"NOTTE",$C5:$K5,W$3)=0))=0,"",IF(((W5&lt;&gt;"Xm")*(COUNTIFS($C$3:$K$3,"MAT",$C5:$K5,W$3)=0)*(COUNTIFS($C$3:$K$3,"NOTTE",$C5:$K5,W$3)=0))+((W5&lt;&gt;"Xp")*(COUNTIFS($C$3:$K$3,"POM",$C5:$K5,W$3)=0)*(COUNTIFS($C$3:$K$3,"NOTTE",$C5:$K5,W$3)=0))+((W5&lt;&gt;"Xs")*(W5&lt;&gt;"Cs")*(COUNTIFS($C$3:$K$3,"SERA",$C5:$K5,W$3)=0)*(COUNTIFS($C$3:$K$3,"NOTTE",$C5:$K5,W$3)=0))+((W5&lt;&gt;"Xn")*(COUNTIFS($C$3:$K$3,"MAT",$C5:$K5,W$3)=0)*(COUNTIFS($C$3:$K$3,"POM",$C5:$K5,W$3)=0)*(COUNTIFS($C$3:$K$3,"SERA",$C5:$K5,W$3)=0)*(COUNTIFS($C$3:$K$3,"NOTTE",$C5:$K5,W$3)=0))=4,W$3&amp;", ",W$3&amp;IF((W5&lt;&gt;"Xm")*(COUNTIFS($C$3:$K$3,"MAT",$C5:$K5,W$3)=0)*(COUNTIFS($C$3:$K$3,"NOTTE",$C5:$K5,W$3)=0),"_m","")&amp;IF((W5&lt;&gt;"Xp")*(COUNTIFS($C$3:$K$3,"POM",$C5:$K5,W$3)=0)*(COUNTIFS($C$3:$K$3,"NOTTE",$C5:$K5,W$3)=0),"_p","")&amp;IF((W5&lt;&gt;"Xs")*(W5&lt;&gt;"Cs")*(COUNTIFS($C$3:$K$3,"SERA",$C5:$K5,W$3)=0)*(COUNTIFS($C$3:$K$3,"NOTTE",$C5:$K5,W$3)=0),"_s","")&amp;IF((W5&lt;&gt;"Xn")*(COUNTIFS($C$3:$K$3,"MAT",$C5:$K5,W$3)=0)*(COUNTIFS($C$3:$K$3,"POM",$C5:$K5,W$3)=0)*(COUNTIFS($C$3:$K$3,"SERA",$C5:$K5,W$3)=0)*(COUNTIFS($C$3:$K$3,"NOTTE",$C5:$K5,W$3)=0),"_n","")&amp;", ")))</f>
        <v>BRUNO, </v>
      </c>
      <c r="BC5" s="10" t="str">
        <f aca="false">IF((X5="X")+(X5="F")&gt;0,"",IF(((X5&lt;&gt;"Xm")*(COUNTIFS($C$3:$K$3,"MAT",$C5:$K5,X$3)=0)*(COUNTIFS($C$3:$K$3,"NOTTE",$C5:$K5,X$3)=0))+((X5&lt;&gt;"Xp")*(COUNTIFS($C$3:$K$3,"POM",$C5:$K5,X$3)=0)*(COUNTIFS($C$3:$K$3,"NOTTE",$C5:$K5,X$3)=0))+((X5&lt;&gt;"Xs")*(X5&lt;&gt;"Cs")*(COUNTIFS($C$3:$K$3,"SERA",$C5:$K5,X$3)=0)*(COUNTIFS($C$3:$K$3,"NOTTE",$C5:$K5,X$3)=0))+((X5&lt;&gt;"Xn")*(COUNTIFS($C$3:$K$3,"MAT",$C5:$K5,X$3)=0)*(COUNTIFS($C$3:$K$3,"POM",$C5:$K5,X$3)=0)*(COUNTIFS($C$3:$K$3,"SERA",$C5:$K5,X$3)=0)*(COUNTIFS($C$3:$K$3,"NOTTE",$C5:$K5,X$3)=0))=0,"",IF(((X5&lt;&gt;"Xm")*(COUNTIFS($C$3:$K$3,"MAT",$C5:$K5,X$3)=0)*(COUNTIFS($C$3:$K$3,"NOTTE",$C5:$K5,X$3)=0))+((X5&lt;&gt;"Xp")*(COUNTIFS($C$3:$K$3,"POM",$C5:$K5,X$3)=0)*(COUNTIFS($C$3:$K$3,"NOTTE",$C5:$K5,X$3)=0))+((X5&lt;&gt;"Xs")*(X5&lt;&gt;"Cs")*(COUNTIFS($C$3:$K$3,"SERA",$C5:$K5,X$3)=0)*(COUNTIFS($C$3:$K$3,"NOTTE",$C5:$K5,X$3)=0))+((X5&lt;&gt;"Xn")*(COUNTIFS($C$3:$K$3,"MAT",$C5:$K5,X$3)=0)*(COUNTIFS($C$3:$K$3,"POM",$C5:$K5,X$3)=0)*(COUNTIFS($C$3:$K$3,"SERA",$C5:$K5,X$3)=0)*(COUNTIFS($C$3:$K$3,"NOTTE",$C5:$K5,X$3)=0))=4,X$3&amp;", ",X$3&amp;IF((X5&lt;&gt;"Xm")*(COUNTIFS($C$3:$K$3,"MAT",$C5:$K5,X$3)=0)*(COUNTIFS($C$3:$K$3,"NOTTE",$C5:$K5,X$3)=0),"_m","")&amp;IF((X5&lt;&gt;"Xp")*(COUNTIFS($C$3:$K$3,"POM",$C5:$K5,X$3)=0)*(COUNTIFS($C$3:$K$3,"NOTTE",$C5:$K5,X$3)=0),"_p","")&amp;IF((X5&lt;&gt;"Xs")*(X5&lt;&gt;"Cs")*(COUNTIFS($C$3:$K$3,"SERA",$C5:$K5,X$3)=0)*(COUNTIFS($C$3:$K$3,"NOTTE",$C5:$K5,X$3)=0),"_s","")&amp;IF((X5&lt;&gt;"Xn")*(COUNTIFS($C$3:$K$3,"MAT",$C5:$K5,X$3)=0)*(COUNTIFS($C$3:$K$3,"POM",$C5:$K5,X$3)=0)*(COUNTIFS($C$3:$K$3,"SERA",$C5:$K5,X$3)=0)*(COUNTIFS($C$3:$K$3,"NOTTE",$C5:$K5,X$3)=0),"_n","")&amp;", ")))</f>
        <v>CARLA, </v>
      </c>
      <c r="BD5" s="10" t="str">
        <f aca="false">IF((Y5="X")+(Y5="F")&gt;0,"",IF(((Y5&lt;&gt;"Xm")*(COUNTIFS($C$3:$K$3,"MAT",$C5:$K5,Y$3)=0)*(COUNTIFS($C$3:$K$3,"NOTTE",$C5:$K5,Y$3)=0))+((Y5&lt;&gt;"Xp")*(COUNTIFS($C$3:$K$3,"POM",$C5:$K5,Y$3)=0)*(COUNTIFS($C$3:$K$3,"NOTTE",$C5:$K5,Y$3)=0))+((Y5&lt;&gt;"Xs")*(Y5&lt;&gt;"Cs")*(COUNTIFS($C$3:$K$3,"SERA",$C5:$K5,Y$3)=0)*(COUNTIFS($C$3:$K$3,"NOTTE",$C5:$K5,Y$3)=0))+((Y5&lt;&gt;"Xn")*(COUNTIFS($C$3:$K$3,"MAT",$C5:$K5,Y$3)=0)*(COUNTIFS($C$3:$K$3,"POM",$C5:$K5,Y$3)=0)*(COUNTIFS($C$3:$K$3,"SERA",$C5:$K5,Y$3)=0)*(COUNTIFS($C$3:$K$3,"NOTTE",$C5:$K5,Y$3)=0))=0,"",IF(((Y5&lt;&gt;"Xm")*(COUNTIFS($C$3:$K$3,"MAT",$C5:$K5,Y$3)=0)*(COUNTIFS($C$3:$K$3,"NOTTE",$C5:$K5,Y$3)=0))+((Y5&lt;&gt;"Xp")*(COUNTIFS($C$3:$K$3,"POM",$C5:$K5,Y$3)=0)*(COUNTIFS($C$3:$K$3,"NOTTE",$C5:$K5,Y$3)=0))+((Y5&lt;&gt;"Xs")*(Y5&lt;&gt;"Cs")*(COUNTIFS($C$3:$K$3,"SERA",$C5:$K5,Y$3)=0)*(COUNTIFS($C$3:$K$3,"NOTTE",$C5:$K5,Y$3)=0))+((Y5&lt;&gt;"Xn")*(COUNTIFS($C$3:$K$3,"MAT",$C5:$K5,Y$3)=0)*(COUNTIFS($C$3:$K$3,"POM",$C5:$K5,Y$3)=0)*(COUNTIFS($C$3:$K$3,"SERA",$C5:$K5,Y$3)=0)*(COUNTIFS($C$3:$K$3,"NOTTE",$C5:$K5,Y$3)=0))=4,Y$3&amp;", ",Y$3&amp;IF((Y5&lt;&gt;"Xm")*(COUNTIFS($C$3:$K$3,"MAT",$C5:$K5,Y$3)=0)*(COUNTIFS($C$3:$K$3,"NOTTE",$C5:$K5,Y$3)=0),"_m","")&amp;IF((Y5&lt;&gt;"Xp")*(COUNTIFS($C$3:$K$3,"POM",$C5:$K5,Y$3)=0)*(COUNTIFS($C$3:$K$3,"NOTTE",$C5:$K5,Y$3)=0),"_p","")&amp;IF((Y5&lt;&gt;"Xs")*(Y5&lt;&gt;"Cs")*(COUNTIFS($C$3:$K$3,"SERA",$C5:$K5,Y$3)=0)*(COUNTIFS($C$3:$K$3,"NOTTE",$C5:$K5,Y$3)=0),"_s","")&amp;IF((Y5&lt;&gt;"Xn")*(COUNTIFS($C$3:$K$3,"MAT",$C5:$K5,Y$3)=0)*(COUNTIFS($C$3:$K$3,"POM",$C5:$K5,Y$3)=0)*(COUNTIFS($C$3:$K$3,"SERA",$C5:$K5,Y$3)=0)*(COUNTIFS($C$3:$K$3,"NOTTE",$C5:$K5,Y$3)=0),"_n","")&amp;", ")))</f>
        <v>DINO, </v>
      </c>
      <c r="BE5" s="10" t="str">
        <f aca="false">IF((Z5="X")+(Z5="F")&gt;0,"",IF(((Z5&lt;&gt;"Xm")*(COUNTIFS($C$3:$K$3,"MAT",$C5:$K5,Z$3)=0)*(COUNTIFS($C$3:$K$3,"NOTTE",$C5:$K5,Z$3)=0))+((Z5&lt;&gt;"Xp")*(COUNTIFS($C$3:$K$3,"POM",$C5:$K5,Z$3)=0)*(COUNTIFS($C$3:$K$3,"NOTTE",$C5:$K5,Z$3)=0))+((Z5&lt;&gt;"Xs")*(Z5&lt;&gt;"Cs")*(COUNTIFS($C$3:$K$3,"SERA",$C5:$K5,Z$3)=0)*(COUNTIFS($C$3:$K$3,"NOTTE",$C5:$K5,Z$3)=0))+((Z5&lt;&gt;"Xn")*(COUNTIFS($C$3:$K$3,"MAT",$C5:$K5,Z$3)=0)*(COUNTIFS($C$3:$K$3,"POM",$C5:$K5,Z$3)=0)*(COUNTIFS($C$3:$K$3,"SERA",$C5:$K5,Z$3)=0)*(COUNTIFS($C$3:$K$3,"NOTTE",$C5:$K5,Z$3)=0))=0,"",IF(((Z5&lt;&gt;"Xm")*(COUNTIFS($C$3:$K$3,"MAT",$C5:$K5,Z$3)=0)*(COUNTIFS($C$3:$K$3,"NOTTE",$C5:$K5,Z$3)=0))+((Z5&lt;&gt;"Xp")*(COUNTIFS($C$3:$K$3,"POM",$C5:$K5,Z$3)=0)*(COUNTIFS($C$3:$K$3,"NOTTE",$C5:$K5,Z$3)=0))+((Z5&lt;&gt;"Xs")*(Z5&lt;&gt;"Cs")*(COUNTIFS($C$3:$K$3,"SERA",$C5:$K5,Z$3)=0)*(COUNTIFS($C$3:$K$3,"NOTTE",$C5:$K5,Z$3)=0))+((Z5&lt;&gt;"Xn")*(COUNTIFS($C$3:$K$3,"MAT",$C5:$K5,Z$3)=0)*(COUNTIFS($C$3:$K$3,"POM",$C5:$K5,Z$3)=0)*(COUNTIFS($C$3:$K$3,"SERA",$C5:$K5,Z$3)=0)*(COUNTIFS($C$3:$K$3,"NOTTE",$C5:$K5,Z$3)=0))=4,Z$3&amp;", ",Z$3&amp;IF((Z5&lt;&gt;"Xm")*(COUNTIFS($C$3:$K$3,"MAT",$C5:$K5,Z$3)=0)*(COUNTIFS($C$3:$K$3,"NOTTE",$C5:$K5,Z$3)=0),"_m","")&amp;IF((Z5&lt;&gt;"Xp")*(COUNTIFS($C$3:$K$3,"POM",$C5:$K5,Z$3)=0)*(COUNTIFS($C$3:$K$3,"NOTTE",$C5:$K5,Z$3)=0),"_p","")&amp;IF((Z5&lt;&gt;"Xs")*(Z5&lt;&gt;"Cs")*(COUNTIFS($C$3:$K$3,"SERA",$C5:$K5,Z$3)=0)*(COUNTIFS($C$3:$K$3,"NOTTE",$C5:$K5,Z$3)=0),"_s","")&amp;IF((Z5&lt;&gt;"Xn")*(COUNTIFS($C$3:$K$3,"MAT",$C5:$K5,Z$3)=0)*(COUNTIFS($C$3:$K$3,"POM",$C5:$K5,Z$3)=0)*(COUNTIFS($C$3:$K$3,"SERA",$C5:$K5,Z$3)=0)*(COUNTIFS($C$3:$K$3,"NOTTE",$C5:$K5,Z$3)=0),"_n","")&amp;", ")))</f>
        <v>ELSA, </v>
      </c>
      <c r="BF5" s="10" t="str">
        <f aca="false">IF((AA5="X")+(AA5="F")&gt;0,"",IF(((AA5&lt;&gt;"Xm")*(COUNTIFS($C$3:$K$3,"MAT",$C5:$K5,AA$3)=0)*(COUNTIFS($C$3:$K$3,"NOTTE",$C5:$K5,AA$3)=0))+((AA5&lt;&gt;"Xp")*(COUNTIFS($C$3:$K$3,"POM",$C5:$K5,AA$3)=0)*(COUNTIFS($C$3:$K$3,"NOTTE",$C5:$K5,AA$3)=0))+((AA5&lt;&gt;"Xs")*(AA5&lt;&gt;"Cs")*(COUNTIFS($C$3:$K$3,"SERA",$C5:$K5,AA$3)=0)*(COUNTIFS($C$3:$K$3,"NOTTE",$C5:$K5,AA$3)=0))+((AA5&lt;&gt;"Xn")*(COUNTIFS($C$3:$K$3,"MAT",$C5:$K5,AA$3)=0)*(COUNTIFS($C$3:$K$3,"POM",$C5:$K5,AA$3)=0)*(COUNTIFS($C$3:$K$3,"SERA",$C5:$K5,AA$3)=0)*(COUNTIFS($C$3:$K$3,"NOTTE",$C5:$K5,AA$3)=0))=0,"",IF(((AA5&lt;&gt;"Xm")*(COUNTIFS($C$3:$K$3,"MAT",$C5:$K5,AA$3)=0)*(COUNTIFS($C$3:$K$3,"NOTTE",$C5:$K5,AA$3)=0))+((AA5&lt;&gt;"Xp")*(COUNTIFS($C$3:$K$3,"POM",$C5:$K5,AA$3)=0)*(COUNTIFS($C$3:$K$3,"NOTTE",$C5:$K5,AA$3)=0))+((AA5&lt;&gt;"Xs")*(AA5&lt;&gt;"Cs")*(COUNTIFS($C$3:$K$3,"SERA",$C5:$K5,AA$3)=0)*(COUNTIFS($C$3:$K$3,"NOTTE",$C5:$K5,AA$3)=0))+((AA5&lt;&gt;"Xn")*(COUNTIFS($C$3:$K$3,"MAT",$C5:$K5,AA$3)=0)*(COUNTIFS($C$3:$K$3,"POM",$C5:$K5,AA$3)=0)*(COUNTIFS($C$3:$K$3,"SERA",$C5:$K5,AA$3)=0)*(COUNTIFS($C$3:$K$3,"NOTTE",$C5:$K5,AA$3)=0))=4,AA$3&amp;", ",AA$3&amp;IF((AA5&lt;&gt;"Xm")*(COUNTIFS($C$3:$K$3,"MAT",$C5:$K5,AA$3)=0)*(COUNTIFS($C$3:$K$3,"NOTTE",$C5:$K5,AA$3)=0),"_m","")&amp;IF((AA5&lt;&gt;"Xp")*(COUNTIFS($C$3:$K$3,"POM",$C5:$K5,AA$3)=0)*(COUNTIFS($C$3:$K$3,"NOTTE",$C5:$K5,AA$3)=0),"_p","")&amp;IF((AA5&lt;&gt;"Xs")*(AA5&lt;&gt;"Cs")*(COUNTIFS($C$3:$K$3,"SERA",$C5:$K5,AA$3)=0)*(COUNTIFS($C$3:$K$3,"NOTTE",$C5:$K5,AA$3)=0),"_s","")&amp;IF((AA5&lt;&gt;"Xn")*(COUNTIFS($C$3:$K$3,"MAT",$C5:$K5,AA$3)=0)*(COUNTIFS($C$3:$K$3,"POM",$C5:$K5,AA$3)=0)*(COUNTIFS($C$3:$K$3,"SERA",$C5:$K5,AA$3)=0)*(COUNTIFS($C$3:$K$3,"NOTTE",$C5:$K5,AA$3)=0),"_n","")&amp;", ")))</f>
        <v>FABIO, </v>
      </c>
    </row>
    <row r="6" customFormat="false" ht="15" hidden="false" customHeight="false" outlineLevel="0" collapsed="false">
      <c r="A6" s="4" t="str">
        <f aca="false">CHOOSE(WEEKDAY(DATE($B$1,$A$2,B6),2),"lunedì","martedì","mercoledì","giovedì","venerdì","sabato","domenica")</f>
        <v>mercoledì</v>
      </c>
      <c r="B6" s="4" t="n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 t="str">
        <f aca="false">IF(SUMPRODUCT(($C$3:$K$3&lt;&gt;"")*($C6:$K6&lt;&gt;"")*(COUNTIFS($C6:$K6,$C6:$K6,$C$3:$K$3,$C$3:$K$3)&gt;1))&gt;0,"X","")</f>
        <v/>
      </c>
      <c r="N6" s="5" t="str">
        <f aca="false">IF(LEN(AT6&amp;AU6&amp;AV6&amp;AW6&amp;AX6&amp;AY6)=0,"",LEFT(AT6&amp;AU6&amp;AV6&amp;AW6&amp;AX6&amp;AY6,LEN(AT6&amp;AU6&amp;AV6&amp;AW6&amp;AX6&amp;AY6)-2))</f>
        <v>ALBA, BRUNO, CARLA, DINO, ELSA, FABIO</v>
      </c>
      <c r="O6" s="5" t="str">
        <f aca="false">IF(LEN(BA6&amp;BB6&amp;BC6&amp;BD6&amp;BE6&amp;BF6)=0,"",LEFT(BA6&amp;BB6&amp;BC6&amp;BD6&amp;BE6&amp;BF6,LEN(BA6&amp;BB6&amp;BC6&amp;BD6&amp;BE6&amp;BF6)-2))</f>
        <v>ALBA, BRUNO, CARLA, DINO, ELSA, FABIO</v>
      </c>
      <c r="T6" s="4" t="str">
        <f aca="false">A6</f>
        <v>mercoledì</v>
      </c>
      <c r="U6" s="4" t="n">
        <f aca="false">B6</f>
        <v>3</v>
      </c>
      <c r="V6" s="5"/>
      <c r="W6" s="5"/>
      <c r="X6" s="5"/>
      <c r="Y6" s="5"/>
      <c r="Z6" s="5"/>
      <c r="AA6" s="5"/>
      <c r="AC6" s="6" t="s">
        <v>34</v>
      </c>
      <c r="AD6" s="7" t="s">
        <v>35</v>
      </c>
      <c r="AF6" s="8" t="str">
        <f aca="false">X$3</f>
        <v>CARLA</v>
      </c>
      <c r="AG6" s="8" t="n">
        <f aca="false">COUNTIF($C$4:$E$34,$AF6)</f>
        <v>0</v>
      </c>
      <c r="AH6" s="8" t="n">
        <f aca="false">COUNTIF($F$4:$H$34,$AF6)</f>
        <v>0</v>
      </c>
      <c r="AI6" s="8" t="n">
        <f aca="false">COUNTIF($I$4:$J$34,$AF6)</f>
        <v>0</v>
      </c>
      <c r="AJ6" s="8" t="n">
        <f aca="false">COUNTIF($K$4:$K$34,$AF6)</f>
        <v>0</v>
      </c>
      <c r="AK6" s="8" t="n">
        <f aca="false">COUNTIF($C$4:$K$34,$AF6)</f>
        <v>0</v>
      </c>
      <c r="AM6" s="9" t="str">
        <f aca="false">X$3</f>
        <v>CARLA</v>
      </c>
      <c r="AN6" s="9"/>
      <c r="AO6" s="9"/>
      <c r="AP6" s="9"/>
      <c r="AQ6" s="9"/>
      <c r="AR6" s="9"/>
      <c r="AT6" s="10" t="str">
        <f aca="false">IF((V6="X")+(V6="F")&gt;0,"",IF(((V6&lt;&gt;"Xm"))+((V6&lt;&gt;"Xp"))+((V6&lt;&gt;"Xs")*(V6&lt;&gt;"Cs"))+((V6&lt;&gt;"Xn"))=0,"",IF(((V6&lt;&gt;"Xm"))+((V6&lt;&gt;"Xp"))+((V6&lt;&gt;"Xs")*(V6&lt;&gt;"Cs"))+((V6&lt;&gt;"Xn"))=4,V$3&amp;", ",V$3&amp;IF((V6&lt;&gt;"Xm"),"_m","")&amp;IF((V6&lt;&gt;"Xp"),"_p","")&amp;IF((V6&lt;&gt;"Xs")*(V6&lt;&gt;"Cs"),"_s","")&amp;IF((V6&lt;&gt;"Xn"),"_n","")&amp;", ")))</f>
        <v>ALBA, </v>
      </c>
      <c r="AU6" s="10" t="str">
        <f aca="false">IF((W6="X")+(W6="F")&gt;0,"",IF(((W6&lt;&gt;"Xm"))+((W6&lt;&gt;"Xp"))+((W6&lt;&gt;"Xs")*(W6&lt;&gt;"Cs"))+((W6&lt;&gt;"Xn"))=0,"",IF(((W6&lt;&gt;"Xm"))+((W6&lt;&gt;"Xp"))+((W6&lt;&gt;"Xs")*(W6&lt;&gt;"Cs"))+((W6&lt;&gt;"Xn"))=4,W$3&amp;", ",W$3&amp;IF((W6&lt;&gt;"Xm"),"_m","")&amp;IF((W6&lt;&gt;"Xp"),"_p","")&amp;IF((W6&lt;&gt;"Xs")*(W6&lt;&gt;"Cs"),"_s","")&amp;IF((W6&lt;&gt;"Xn"),"_n","")&amp;", ")))</f>
        <v>BRUNO, </v>
      </c>
      <c r="AV6" s="10" t="str">
        <f aca="false">IF((X6="X")+(X6="F")&gt;0,"",IF(((X6&lt;&gt;"Xm"))+((X6&lt;&gt;"Xp"))+((X6&lt;&gt;"Xs")*(X6&lt;&gt;"Cs"))+((X6&lt;&gt;"Xn"))=0,"",IF(((X6&lt;&gt;"Xm"))+((X6&lt;&gt;"Xp"))+((X6&lt;&gt;"Xs")*(X6&lt;&gt;"Cs"))+((X6&lt;&gt;"Xn"))=4,X$3&amp;", ",X$3&amp;IF((X6&lt;&gt;"Xm"),"_m","")&amp;IF((X6&lt;&gt;"Xp"),"_p","")&amp;IF((X6&lt;&gt;"Xs")*(X6&lt;&gt;"Cs"),"_s","")&amp;IF((X6&lt;&gt;"Xn"),"_n","")&amp;", ")))</f>
        <v>CARLA, </v>
      </c>
      <c r="AW6" s="10" t="str">
        <f aca="false">IF((Y6="X")+(Y6="F")&gt;0,"",IF(((Y6&lt;&gt;"Xm"))+((Y6&lt;&gt;"Xp"))+((Y6&lt;&gt;"Xs")*(Y6&lt;&gt;"Cs"))+((Y6&lt;&gt;"Xn"))=0,"",IF(((Y6&lt;&gt;"Xm"))+((Y6&lt;&gt;"Xp"))+((Y6&lt;&gt;"Xs")*(Y6&lt;&gt;"Cs"))+((Y6&lt;&gt;"Xn"))=4,Y$3&amp;", ",Y$3&amp;IF((Y6&lt;&gt;"Xm"),"_m","")&amp;IF((Y6&lt;&gt;"Xp"),"_p","")&amp;IF((Y6&lt;&gt;"Xs")*(Y6&lt;&gt;"Cs"),"_s","")&amp;IF((Y6&lt;&gt;"Xn"),"_n","")&amp;", ")))</f>
        <v>DINO, </v>
      </c>
      <c r="AX6" s="10" t="str">
        <f aca="false">IF((Z6="X")+(Z6="F")&gt;0,"",IF(((Z6&lt;&gt;"Xm"))+((Z6&lt;&gt;"Xp"))+((Z6&lt;&gt;"Xs")*(Z6&lt;&gt;"Cs"))+((Z6&lt;&gt;"Xn"))=0,"",IF(((Z6&lt;&gt;"Xm"))+((Z6&lt;&gt;"Xp"))+((Z6&lt;&gt;"Xs")*(Z6&lt;&gt;"Cs"))+((Z6&lt;&gt;"Xn"))=4,Z$3&amp;", ",Z$3&amp;IF((Z6&lt;&gt;"Xm"),"_m","")&amp;IF((Z6&lt;&gt;"Xp"),"_p","")&amp;IF((Z6&lt;&gt;"Xs")*(Z6&lt;&gt;"Cs"),"_s","")&amp;IF((Z6&lt;&gt;"Xn"),"_n","")&amp;", ")))</f>
        <v>ELSA, </v>
      </c>
      <c r="AY6" s="10" t="str">
        <f aca="false">IF((AA6="X")+(AA6="F")&gt;0,"",IF(((AA6&lt;&gt;"Xm"))+((AA6&lt;&gt;"Xp"))+((AA6&lt;&gt;"Xs")*(AA6&lt;&gt;"Cs"))+((AA6&lt;&gt;"Xn"))=0,"",IF(((AA6&lt;&gt;"Xm"))+((AA6&lt;&gt;"Xp"))+((AA6&lt;&gt;"Xs")*(AA6&lt;&gt;"Cs"))+((AA6&lt;&gt;"Xn"))=4,AA$3&amp;", ",AA$3&amp;IF((AA6&lt;&gt;"Xm"),"_m","")&amp;IF((AA6&lt;&gt;"Xp"),"_p","")&amp;IF((AA6&lt;&gt;"Xs")*(AA6&lt;&gt;"Cs"),"_s","")&amp;IF((AA6&lt;&gt;"Xn"),"_n","")&amp;", ")))</f>
        <v>FABIO, </v>
      </c>
      <c r="AZ6" s="10"/>
      <c r="BA6" s="10" t="str">
        <f aca="false">IF((V6="X")+(V6="F")&gt;0,"",IF(((V6&lt;&gt;"Xm")*(COUNTIFS($C$3:$K$3,"MAT",$C6:$K6,V$3)=0)*(COUNTIFS($C$3:$K$3,"NOTTE",$C6:$K6,V$3)=0))+((V6&lt;&gt;"Xp")*(COUNTIFS($C$3:$K$3,"POM",$C6:$K6,V$3)=0)*(COUNTIFS($C$3:$K$3,"NOTTE",$C6:$K6,V$3)=0))+((V6&lt;&gt;"Xs")*(V6&lt;&gt;"Cs")*(COUNTIFS($C$3:$K$3,"SERA",$C6:$K6,V$3)=0)*(COUNTIFS($C$3:$K$3,"NOTTE",$C6:$K6,V$3)=0))+((V6&lt;&gt;"Xn")*(COUNTIFS($C$3:$K$3,"MAT",$C6:$K6,V$3)=0)*(COUNTIFS($C$3:$K$3,"POM",$C6:$K6,V$3)=0)*(COUNTIFS($C$3:$K$3,"SERA",$C6:$K6,V$3)=0)*(COUNTIFS($C$3:$K$3,"NOTTE",$C6:$K6,V$3)=0))=0,"",IF(((V6&lt;&gt;"Xm")*(COUNTIFS($C$3:$K$3,"MAT",$C6:$K6,V$3)=0)*(COUNTIFS($C$3:$K$3,"NOTTE",$C6:$K6,V$3)=0))+((V6&lt;&gt;"Xp")*(COUNTIFS($C$3:$K$3,"POM",$C6:$K6,V$3)=0)*(COUNTIFS($C$3:$K$3,"NOTTE",$C6:$K6,V$3)=0))+((V6&lt;&gt;"Xs")*(V6&lt;&gt;"Cs")*(COUNTIFS($C$3:$K$3,"SERA",$C6:$K6,V$3)=0)*(COUNTIFS($C$3:$K$3,"NOTTE",$C6:$K6,V$3)=0))+((V6&lt;&gt;"Xn")*(COUNTIFS($C$3:$K$3,"MAT",$C6:$K6,V$3)=0)*(COUNTIFS($C$3:$K$3,"POM",$C6:$K6,V$3)=0)*(COUNTIFS($C$3:$K$3,"SERA",$C6:$K6,V$3)=0)*(COUNTIFS($C$3:$K$3,"NOTTE",$C6:$K6,V$3)=0))=4,V$3&amp;", ",V$3&amp;IF((V6&lt;&gt;"Xm")*(COUNTIFS($C$3:$K$3,"MAT",$C6:$K6,V$3)=0)*(COUNTIFS($C$3:$K$3,"NOTTE",$C6:$K6,V$3)=0),"_m","")&amp;IF((V6&lt;&gt;"Xp")*(COUNTIFS($C$3:$K$3,"POM",$C6:$K6,V$3)=0)*(COUNTIFS($C$3:$K$3,"NOTTE",$C6:$K6,V$3)=0),"_p","")&amp;IF((V6&lt;&gt;"Xs")*(V6&lt;&gt;"Cs")*(COUNTIFS($C$3:$K$3,"SERA",$C6:$K6,V$3)=0)*(COUNTIFS($C$3:$K$3,"NOTTE",$C6:$K6,V$3)=0),"_s","")&amp;IF((V6&lt;&gt;"Xn")*(COUNTIFS($C$3:$K$3,"MAT",$C6:$K6,V$3)=0)*(COUNTIFS($C$3:$K$3,"POM",$C6:$K6,V$3)=0)*(COUNTIFS($C$3:$K$3,"SERA",$C6:$K6,V$3)=0)*(COUNTIFS($C$3:$K$3,"NOTTE",$C6:$K6,V$3)=0),"_n","")&amp;", ")))</f>
        <v>ALBA, </v>
      </c>
      <c r="BB6" s="10" t="str">
        <f aca="false">IF((W6="X")+(W6="F")&gt;0,"",IF(((W6&lt;&gt;"Xm")*(COUNTIFS($C$3:$K$3,"MAT",$C6:$K6,W$3)=0)*(COUNTIFS($C$3:$K$3,"NOTTE",$C6:$K6,W$3)=0))+((W6&lt;&gt;"Xp")*(COUNTIFS($C$3:$K$3,"POM",$C6:$K6,W$3)=0)*(COUNTIFS($C$3:$K$3,"NOTTE",$C6:$K6,W$3)=0))+((W6&lt;&gt;"Xs")*(W6&lt;&gt;"Cs")*(COUNTIFS($C$3:$K$3,"SERA",$C6:$K6,W$3)=0)*(COUNTIFS($C$3:$K$3,"NOTTE",$C6:$K6,W$3)=0))+((W6&lt;&gt;"Xn")*(COUNTIFS($C$3:$K$3,"MAT",$C6:$K6,W$3)=0)*(COUNTIFS($C$3:$K$3,"POM",$C6:$K6,W$3)=0)*(COUNTIFS($C$3:$K$3,"SERA",$C6:$K6,W$3)=0)*(COUNTIFS($C$3:$K$3,"NOTTE",$C6:$K6,W$3)=0))=0,"",IF(((W6&lt;&gt;"Xm")*(COUNTIFS($C$3:$K$3,"MAT",$C6:$K6,W$3)=0)*(COUNTIFS($C$3:$K$3,"NOTTE",$C6:$K6,W$3)=0))+((W6&lt;&gt;"Xp")*(COUNTIFS($C$3:$K$3,"POM",$C6:$K6,W$3)=0)*(COUNTIFS($C$3:$K$3,"NOTTE",$C6:$K6,W$3)=0))+((W6&lt;&gt;"Xs")*(W6&lt;&gt;"Cs")*(COUNTIFS($C$3:$K$3,"SERA",$C6:$K6,W$3)=0)*(COUNTIFS($C$3:$K$3,"NOTTE",$C6:$K6,W$3)=0))+((W6&lt;&gt;"Xn")*(COUNTIFS($C$3:$K$3,"MAT",$C6:$K6,W$3)=0)*(COUNTIFS($C$3:$K$3,"POM",$C6:$K6,W$3)=0)*(COUNTIFS($C$3:$K$3,"SERA",$C6:$K6,W$3)=0)*(COUNTIFS($C$3:$K$3,"NOTTE",$C6:$K6,W$3)=0))=4,W$3&amp;", ",W$3&amp;IF((W6&lt;&gt;"Xm")*(COUNTIFS($C$3:$K$3,"MAT",$C6:$K6,W$3)=0)*(COUNTIFS($C$3:$K$3,"NOTTE",$C6:$K6,W$3)=0),"_m","")&amp;IF((W6&lt;&gt;"Xp")*(COUNTIFS($C$3:$K$3,"POM",$C6:$K6,W$3)=0)*(COUNTIFS($C$3:$K$3,"NOTTE",$C6:$K6,W$3)=0),"_p","")&amp;IF((W6&lt;&gt;"Xs")*(W6&lt;&gt;"Cs")*(COUNTIFS($C$3:$K$3,"SERA",$C6:$K6,W$3)=0)*(COUNTIFS($C$3:$K$3,"NOTTE",$C6:$K6,W$3)=0),"_s","")&amp;IF((W6&lt;&gt;"Xn")*(COUNTIFS($C$3:$K$3,"MAT",$C6:$K6,W$3)=0)*(COUNTIFS($C$3:$K$3,"POM",$C6:$K6,W$3)=0)*(COUNTIFS($C$3:$K$3,"SERA",$C6:$K6,W$3)=0)*(COUNTIFS($C$3:$K$3,"NOTTE",$C6:$K6,W$3)=0),"_n","")&amp;", ")))</f>
        <v>BRUNO, </v>
      </c>
      <c r="BC6" s="10" t="str">
        <f aca="false">IF((X6="X")+(X6="F")&gt;0,"",IF(((X6&lt;&gt;"Xm")*(COUNTIFS($C$3:$K$3,"MAT",$C6:$K6,X$3)=0)*(COUNTIFS($C$3:$K$3,"NOTTE",$C6:$K6,X$3)=0))+((X6&lt;&gt;"Xp")*(COUNTIFS($C$3:$K$3,"POM",$C6:$K6,X$3)=0)*(COUNTIFS($C$3:$K$3,"NOTTE",$C6:$K6,X$3)=0))+((X6&lt;&gt;"Xs")*(X6&lt;&gt;"Cs")*(COUNTIFS($C$3:$K$3,"SERA",$C6:$K6,X$3)=0)*(COUNTIFS($C$3:$K$3,"NOTTE",$C6:$K6,X$3)=0))+((X6&lt;&gt;"Xn")*(COUNTIFS($C$3:$K$3,"MAT",$C6:$K6,X$3)=0)*(COUNTIFS($C$3:$K$3,"POM",$C6:$K6,X$3)=0)*(COUNTIFS($C$3:$K$3,"SERA",$C6:$K6,X$3)=0)*(COUNTIFS($C$3:$K$3,"NOTTE",$C6:$K6,X$3)=0))=0,"",IF(((X6&lt;&gt;"Xm")*(COUNTIFS($C$3:$K$3,"MAT",$C6:$K6,X$3)=0)*(COUNTIFS($C$3:$K$3,"NOTTE",$C6:$K6,X$3)=0))+((X6&lt;&gt;"Xp")*(COUNTIFS($C$3:$K$3,"POM",$C6:$K6,X$3)=0)*(COUNTIFS($C$3:$K$3,"NOTTE",$C6:$K6,X$3)=0))+((X6&lt;&gt;"Xs")*(X6&lt;&gt;"Cs")*(COUNTIFS($C$3:$K$3,"SERA",$C6:$K6,X$3)=0)*(COUNTIFS($C$3:$K$3,"NOTTE",$C6:$K6,X$3)=0))+((X6&lt;&gt;"Xn")*(COUNTIFS($C$3:$K$3,"MAT",$C6:$K6,X$3)=0)*(COUNTIFS($C$3:$K$3,"POM",$C6:$K6,X$3)=0)*(COUNTIFS($C$3:$K$3,"SERA",$C6:$K6,X$3)=0)*(COUNTIFS($C$3:$K$3,"NOTTE",$C6:$K6,X$3)=0))=4,X$3&amp;", ",X$3&amp;IF((X6&lt;&gt;"Xm")*(COUNTIFS($C$3:$K$3,"MAT",$C6:$K6,X$3)=0)*(COUNTIFS($C$3:$K$3,"NOTTE",$C6:$K6,X$3)=0),"_m","")&amp;IF((X6&lt;&gt;"Xp")*(COUNTIFS($C$3:$K$3,"POM",$C6:$K6,X$3)=0)*(COUNTIFS($C$3:$K$3,"NOTTE",$C6:$K6,X$3)=0),"_p","")&amp;IF((X6&lt;&gt;"Xs")*(X6&lt;&gt;"Cs")*(COUNTIFS($C$3:$K$3,"SERA",$C6:$K6,X$3)=0)*(COUNTIFS($C$3:$K$3,"NOTTE",$C6:$K6,X$3)=0),"_s","")&amp;IF((X6&lt;&gt;"Xn")*(COUNTIFS($C$3:$K$3,"MAT",$C6:$K6,X$3)=0)*(COUNTIFS($C$3:$K$3,"POM",$C6:$K6,X$3)=0)*(COUNTIFS($C$3:$K$3,"SERA",$C6:$K6,X$3)=0)*(COUNTIFS($C$3:$K$3,"NOTTE",$C6:$K6,X$3)=0),"_n","")&amp;", ")))</f>
        <v>CARLA, </v>
      </c>
      <c r="BD6" s="10" t="str">
        <f aca="false">IF((Y6="X")+(Y6="F")&gt;0,"",IF(((Y6&lt;&gt;"Xm")*(COUNTIFS($C$3:$K$3,"MAT",$C6:$K6,Y$3)=0)*(COUNTIFS($C$3:$K$3,"NOTTE",$C6:$K6,Y$3)=0))+((Y6&lt;&gt;"Xp")*(COUNTIFS($C$3:$K$3,"POM",$C6:$K6,Y$3)=0)*(COUNTIFS($C$3:$K$3,"NOTTE",$C6:$K6,Y$3)=0))+((Y6&lt;&gt;"Xs")*(Y6&lt;&gt;"Cs")*(COUNTIFS($C$3:$K$3,"SERA",$C6:$K6,Y$3)=0)*(COUNTIFS($C$3:$K$3,"NOTTE",$C6:$K6,Y$3)=0))+((Y6&lt;&gt;"Xn")*(COUNTIFS($C$3:$K$3,"MAT",$C6:$K6,Y$3)=0)*(COUNTIFS($C$3:$K$3,"POM",$C6:$K6,Y$3)=0)*(COUNTIFS($C$3:$K$3,"SERA",$C6:$K6,Y$3)=0)*(COUNTIFS($C$3:$K$3,"NOTTE",$C6:$K6,Y$3)=0))=0,"",IF(((Y6&lt;&gt;"Xm")*(COUNTIFS($C$3:$K$3,"MAT",$C6:$K6,Y$3)=0)*(COUNTIFS($C$3:$K$3,"NOTTE",$C6:$K6,Y$3)=0))+((Y6&lt;&gt;"Xp")*(COUNTIFS($C$3:$K$3,"POM",$C6:$K6,Y$3)=0)*(COUNTIFS($C$3:$K$3,"NOTTE",$C6:$K6,Y$3)=0))+((Y6&lt;&gt;"Xs")*(Y6&lt;&gt;"Cs")*(COUNTIFS($C$3:$K$3,"SERA",$C6:$K6,Y$3)=0)*(COUNTIFS($C$3:$K$3,"NOTTE",$C6:$K6,Y$3)=0))+((Y6&lt;&gt;"Xn")*(COUNTIFS($C$3:$K$3,"MAT",$C6:$K6,Y$3)=0)*(COUNTIFS($C$3:$K$3,"POM",$C6:$K6,Y$3)=0)*(COUNTIFS($C$3:$K$3,"SERA",$C6:$K6,Y$3)=0)*(COUNTIFS($C$3:$K$3,"NOTTE",$C6:$K6,Y$3)=0))=4,Y$3&amp;", ",Y$3&amp;IF((Y6&lt;&gt;"Xm")*(COUNTIFS($C$3:$K$3,"MAT",$C6:$K6,Y$3)=0)*(COUNTIFS($C$3:$K$3,"NOTTE",$C6:$K6,Y$3)=0),"_m","")&amp;IF((Y6&lt;&gt;"Xp")*(COUNTIFS($C$3:$K$3,"POM",$C6:$K6,Y$3)=0)*(COUNTIFS($C$3:$K$3,"NOTTE",$C6:$K6,Y$3)=0),"_p","")&amp;IF((Y6&lt;&gt;"Xs")*(Y6&lt;&gt;"Cs")*(COUNTIFS($C$3:$K$3,"SERA",$C6:$K6,Y$3)=0)*(COUNTIFS($C$3:$K$3,"NOTTE",$C6:$K6,Y$3)=0),"_s","")&amp;IF((Y6&lt;&gt;"Xn")*(COUNTIFS($C$3:$K$3,"MAT",$C6:$K6,Y$3)=0)*(COUNTIFS($C$3:$K$3,"POM",$C6:$K6,Y$3)=0)*(COUNTIFS($C$3:$K$3,"SERA",$C6:$K6,Y$3)=0)*(COUNTIFS($C$3:$K$3,"NOTTE",$C6:$K6,Y$3)=0),"_n","")&amp;", ")))</f>
        <v>DINO, </v>
      </c>
      <c r="BE6" s="10" t="str">
        <f aca="false">IF((Z6="X")+(Z6="F")&gt;0,"",IF(((Z6&lt;&gt;"Xm")*(COUNTIFS($C$3:$K$3,"MAT",$C6:$K6,Z$3)=0)*(COUNTIFS($C$3:$K$3,"NOTTE",$C6:$K6,Z$3)=0))+((Z6&lt;&gt;"Xp")*(COUNTIFS($C$3:$K$3,"POM",$C6:$K6,Z$3)=0)*(COUNTIFS($C$3:$K$3,"NOTTE",$C6:$K6,Z$3)=0))+((Z6&lt;&gt;"Xs")*(Z6&lt;&gt;"Cs")*(COUNTIFS($C$3:$K$3,"SERA",$C6:$K6,Z$3)=0)*(COUNTIFS($C$3:$K$3,"NOTTE",$C6:$K6,Z$3)=0))+((Z6&lt;&gt;"Xn")*(COUNTIFS($C$3:$K$3,"MAT",$C6:$K6,Z$3)=0)*(COUNTIFS($C$3:$K$3,"POM",$C6:$K6,Z$3)=0)*(COUNTIFS($C$3:$K$3,"SERA",$C6:$K6,Z$3)=0)*(COUNTIFS($C$3:$K$3,"NOTTE",$C6:$K6,Z$3)=0))=0,"",IF(((Z6&lt;&gt;"Xm")*(COUNTIFS($C$3:$K$3,"MAT",$C6:$K6,Z$3)=0)*(COUNTIFS($C$3:$K$3,"NOTTE",$C6:$K6,Z$3)=0))+((Z6&lt;&gt;"Xp")*(COUNTIFS($C$3:$K$3,"POM",$C6:$K6,Z$3)=0)*(COUNTIFS($C$3:$K$3,"NOTTE",$C6:$K6,Z$3)=0))+((Z6&lt;&gt;"Xs")*(Z6&lt;&gt;"Cs")*(COUNTIFS($C$3:$K$3,"SERA",$C6:$K6,Z$3)=0)*(COUNTIFS($C$3:$K$3,"NOTTE",$C6:$K6,Z$3)=0))+((Z6&lt;&gt;"Xn")*(COUNTIFS($C$3:$K$3,"MAT",$C6:$K6,Z$3)=0)*(COUNTIFS($C$3:$K$3,"POM",$C6:$K6,Z$3)=0)*(COUNTIFS($C$3:$K$3,"SERA",$C6:$K6,Z$3)=0)*(COUNTIFS($C$3:$K$3,"NOTTE",$C6:$K6,Z$3)=0))=4,Z$3&amp;", ",Z$3&amp;IF((Z6&lt;&gt;"Xm")*(COUNTIFS($C$3:$K$3,"MAT",$C6:$K6,Z$3)=0)*(COUNTIFS($C$3:$K$3,"NOTTE",$C6:$K6,Z$3)=0),"_m","")&amp;IF((Z6&lt;&gt;"Xp")*(COUNTIFS($C$3:$K$3,"POM",$C6:$K6,Z$3)=0)*(COUNTIFS($C$3:$K$3,"NOTTE",$C6:$K6,Z$3)=0),"_p","")&amp;IF((Z6&lt;&gt;"Xs")*(Z6&lt;&gt;"Cs")*(COUNTIFS($C$3:$K$3,"SERA",$C6:$K6,Z$3)=0)*(COUNTIFS($C$3:$K$3,"NOTTE",$C6:$K6,Z$3)=0),"_s","")&amp;IF((Z6&lt;&gt;"Xn")*(COUNTIFS($C$3:$K$3,"MAT",$C6:$K6,Z$3)=0)*(COUNTIFS($C$3:$K$3,"POM",$C6:$K6,Z$3)=0)*(COUNTIFS($C$3:$K$3,"SERA",$C6:$K6,Z$3)=0)*(COUNTIFS($C$3:$K$3,"NOTTE",$C6:$K6,Z$3)=0),"_n","")&amp;", ")))</f>
        <v>ELSA, </v>
      </c>
      <c r="BF6" s="10" t="str">
        <f aca="false">IF((AA6="X")+(AA6="F")&gt;0,"",IF(((AA6&lt;&gt;"Xm")*(COUNTIFS($C$3:$K$3,"MAT",$C6:$K6,AA$3)=0)*(COUNTIFS($C$3:$K$3,"NOTTE",$C6:$K6,AA$3)=0))+((AA6&lt;&gt;"Xp")*(COUNTIFS($C$3:$K$3,"POM",$C6:$K6,AA$3)=0)*(COUNTIFS($C$3:$K$3,"NOTTE",$C6:$K6,AA$3)=0))+((AA6&lt;&gt;"Xs")*(AA6&lt;&gt;"Cs")*(COUNTIFS($C$3:$K$3,"SERA",$C6:$K6,AA$3)=0)*(COUNTIFS($C$3:$K$3,"NOTTE",$C6:$K6,AA$3)=0))+((AA6&lt;&gt;"Xn")*(COUNTIFS($C$3:$K$3,"MAT",$C6:$K6,AA$3)=0)*(COUNTIFS($C$3:$K$3,"POM",$C6:$K6,AA$3)=0)*(COUNTIFS($C$3:$K$3,"SERA",$C6:$K6,AA$3)=0)*(COUNTIFS($C$3:$K$3,"NOTTE",$C6:$K6,AA$3)=0))=0,"",IF(((AA6&lt;&gt;"Xm")*(COUNTIFS($C$3:$K$3,"MAT",$C6:$K6,AA$3)=0)*(COUNTIFS($C$3:$K$3,"NOTTE",$C6:$K6,AA$3)=0))+((AA6&lt;&gt;"Xp")*(COUNTIFS($C$3:$K$3,"POM",$C6:$K6,AA$3)=0)*(COUNTIFS($C$3:$K$3,"NOTTE",$C6:$K6,AA$3)=0))+((AA6&lt;&gt;"Xs")*(AA6&lt;&gt;"Cs")*(COUNTIFS($C$3:$K$3,"SERA",$C6:$K6,AA$3)=0)*(COUNTIFS($C$3:$K$3,"NOTTE",$C6:$K6,AA$3)=0))+((AA6&lt;&gt;"Xn")*(COUNTIFS($C$3:$K$3,"MAT",$C6:$K6,AA$3)=0)*(COUNTIFS($C$3:$K$3,"POM",$C6:$K6,AA$3)=0)*(COUNTIFS($C$3:$K$3,"SERA",$C6:$K6,AA$3)=0)*(COUNTIFS($C$3:$K$3,"NOTTE",$C6:$K6,AA$3)=0))=4,AA$3&amp;", ",AA$3&amp;IF((AA6&lt;&gt;"Xm")*(COUNTIFS($C$3:$K$3,"MAT",$C6:$K6,AA$3)=0)*(COUNTIFS($C$3:$K$3,"NOTTE",$C6:$K6,AA$3)=0),"_m","")&amp;IF((AA6&lt;&gt;"Xp")*(COUNTIFS($C$3:$K$3,"POM",$C6:$K6,AA$3)=0)*(COUNTIFS($C$3:$K$3,"NOTTE",$C6:$K6,AA$3)=0),"_p","")&amp;IF((AA6&lt;&gt;"Xs")*(AA6&lt;&gt;"Cs")*(COUNTIFS($C$3:$K$3,"SERA",$C6:$K6,AA$3)=0)*(COUNTIFS($C$3:$K$3,"NOTTE",$C6:$K6,AA$3)=0),"_s","")&amp;IF((AA6&lt;&gt;"Xn")*(COUNTIFS($C$3:$K$3,"MAT",$C6:$K6,AA$3)=0)*(COUNTIFS($C$3:$K$3,"POM",$C6:$K6,AA$3)=0)*(COUNTIFS($C$3:$K$3,"SERA",$C6:$K6,AA$3)=0)*(COUNTIFS($C$3:$K$3,"NOTTE",$C6:$K6,AA$3)=0),"_n","")&amp;", ")))</f>
        <v>FABIO, </v>
      </c>
    </row>
    <row r="7" customFormat="false" ht="15" hidden="false" customHeight="false" outlineLevel="0" collapsed="false">
      <c r="A7" s="4" t="str">
        <f aca="false">CHOOSE(WEEKDAY(DATE($B$1,$A$2,B7),2),"lunedì","martedì","mercoledì","giovedì","venerdì","sabato","domenica")</f>
        <v>giovedì</v>
      </c>
      <c r="B7" s="4" t="n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 t="str">
        <f aca="false">IF(SUMPRODUCT(($C$3:$K$3&lt;&gt;"")*($C7:$K7&lt;&gt;"")*(COUNTIFS($C7:$K7,$C7:$K7,$C$3:$K$3,$C$3:$K$3)&gt;1))&gt;0,"X","")</f>
        <v/>
      </c>
      <c r="N7" s="5" t="str">
        <f aca="false">IF(LEN(AT7&amp;AU7&amp;AV7&amp;AW7&amp;AX7&amp;AY7)=0,"",LEFT(AT7&amp;AU7&amp;AV7&amp;AW7&amp;AX7&amp;AY7,LEN(AT7&amp;AU7&amp;AV7&amp;AW7&amp;AX7&amp;AY7)-2))</f>
        <v>ALBA, BRUNO, CARLA, DINO, ELSA, FABIO</v>
      </c>
      <c r="O7" s="5" t="str">
        <f aca="false">IF(LEN(BA7&amp;BB7&amp;BC7&amp;BD7&amp;BE7&amp;BF7)=0,"",LEFT(BA7&amp;BB7&amp;BC7&amp;BD7&amp;BE7&amp;BF7,LEN(BA7&amp;BB7&amp;BC7&amp;BD7&amp;BE7&amp;BF7)-2))</f>
        <v>ALBA, BRUNO, CARLA, DINO, ELSA, FABIO</v>
      </c>
      <c r="T7" s="4" t="str">
        <f aca="false">A7</f>
        <v>giovedì</v>
      </c>
      <c r="U7" s="4" t="n">
        <f aca="false">B7</f>
        <v>4</v>
      </c>
      <c r="V7" s="5"/>
      <c r="W7" s="5"/>
      <c r="X7" s="5"/>
      <c r="Y7" s="5"/>
      <c r="Z7" s="5"/>
      <c r="AA7" s="5"/>
      <c r="AC7" s="6" t="s">
        <v>36</v>
      </c>
      <c r="AD7" s="7" t="s">
        <v>37</v>
      </c>
      <c r="AF7" s="8" t="str">
        <f aca="false">Y$3</f>
        <v>DINO</v>
      </c>
      <c r="AG7" s="8" t="n">
        <f aca="false">COUNTIF($C$4:$E$34,$AF7)</f>
        <v>0</v>
      </c>
      <c r="AH7" s="8" t="n">
        <f aca="false">COUNTIF($F$4:$H$34,$AF7)</f>
        <v>0</v>
      </c>
      <c r="AI7" s="8" t="n">
        <f aca="false">COUNTIF($I$4:$J$34,$AF7)</f>
        <v>0</v>
      </c>
      <c r="AJ7" s="8" t="n">
        <f aca="false">COUNTIF($K$4:$K$34,$AF7)</f>
        <v>0</v>
      </c>
      <c r="AK7" s="8" t="n">
        <f aca="false">COUNTIF($C$4:$K$34,$AF7)</f>
        <v>0</v>
      </c>
      <c r="AM7" s="9" t="str">
        <f aca="false">Y$3</f>
        <v>DINO</v>
      </c>
      <c r="AN7" s="9"/>
      <c r="AO7" s="9"/>
      <c r="AP7" s="9"/>
      <c r="AQ7" s="9"/>
      <c r="AR7" s="9"/>
      <c r="AT7" s="10" t="str">
        <f aca="false">IF((V7="X")+(V7="F")&gt;0,"",IF(((V7&lt;&gt;"Xm"))+((V7&lt;&gt;"Xp"))+((V7&lt;&gt;"Xs")*(V7&lt;&gt;"Cs"))+((V7&lt;&gt;"Xn"))=0,"",IF(((V7&lt;&gt;"Xm"))+((V7&lt;&gt;"Xp"))+((V7&lt;&gt;"Xs")*(V7&lt;&gt;"Cs"))+((V7&lt;&gt;"Xn"))=4,V$3&amp;", ",V$3&amp;IF((V7&lt;&gt;"Xm"),"_m","")&amp;IF((V7&lt;&gt;"Xp"),"_p","")&amp;IF((V7&lt;&gt;"Xs")*(V7&lt;&gt;"Cs"),"_s","")&amp;IF((V7&lt;&gt;"Xn"),"_n","")&amp;", ")))</f>
        <v>ALBA, </v>
      </c>
      <c r="AU7" s="10" t="str">
        <f aca="false">IF((W7="X")+(W7="F")&gt;0,"",IF(((W7&lt;&gt;"Xm"))+((W7&lt;&gt;"Xp"))+((W7&lt;&gt;"Xs")*(W7&lt;&gt;"Cs"))+((W7&lt;&gt;"Xn"))=0,"",IF(((W7&lt;&gt;"Xm"))+((W7&lt;&gt;"Xp"))+((W7&lt;&gt;"Xs")*(W7&lt;&gt;"Cs"))+((W7&lt;&gt;"Xn"))=4,W$3&amp;", ",W$3&amp;IF((W7&lt;&gt;"Xm"),"_m","")&amp;IF((W7&lt;&gt;"Xp"),"_p","")&amp;IF((W7&lt;&gt;"Xs")*(W7&lt;&gt;"Cs"),"_s","")&amp;IF((W7&lt;&gt;"Xn"),"_n","")&amp;", ")))</f>
        <v>BRUNO, </v>
      </c>
      <c r="AV7" s="10" t="str">
        <f aca="false">IF((X7="X")+(X7="F")&gt;0,"",IF(((X7&lt;&gt;"Xm"))+((X7&lt;&gt;"Xp"))+((X7&lt;&gt;"Xs")*(X7&lt;&gt;"Cs"))+((X7&lt;&gt;"Xn"))=0,"",IF(((X7&lt;&gt;"Xm"))+((X7&lt;&gt;"Xp"))+((X7&lt;&gt;"Xs")*(X7&lt;&gt;"Cs"))+((X7&lt;&gt;"Xn"))=4,X$3&amp;", ",X$3&amp;IF((X7&lt;&gt;"Xm"),"_m","")&amp;IF((X7&lt;&gt;"Xp"),"_p","")&amp;IF((X7&lt;&gt;"Xs")*(X7&lt;&gt;"Cs"),"_s","")&amp;IF((X7&lt;&gt;"Xn"),"_n","")&amp;", ")))</f>
        <v>CARLA, </v>
      </c>
      <c r="AW7" s="10" t="str">
        <f aca="false">IF((Y7="X")+(Y7="F")&gt;0,"",IF(((Y7&lt;&gt;"Xm"))+((Y7&lt;&gt;"Xp"))+((Y7&lt;&gt;"Xs")*(Y7&lt;&gt;"Cs"))+((Y7&lt;&gt;"Xn"))=0,"",IF(((Y7&lt;&gt;"Xm"))+((Y7&lt;&gt;"Xp"))+((Y7&lt;&gt;"Xs")*(Y7&lt;&gt;"Cs"))+((Y7&lt;&gt;"Xn"))=4,Y$3&amp;", ",Y$3&amp;IF((Y7&lt;&gt;"Xm"),"_m","")&amp;IF((Y7&lt;&gt;"Xp"),"_p","")&amp;IF((Y7&lt;&gt;"Xs")*(Y7&lt;&gt;"Cs"),"_s","")&amp;IF((Y7&lt;&gt;"Xn"),"_n","")&amp;", ")))</f>
        <v>DINO, </v>
      </c>
      <c r="AX7" s="10" t="str">
        <f aca="false">IF((Z7="X")+(Z7="F")&gt;0,"",IF(((Z7&lt;&gt;"Xm"))+((Z7&lt;&gt;"Xp"))+((Z7&lt;&gt;"Xs")*(Z7&lt;&gt;"Cs"))+((Z7&lt;&gt;"Xn"))=0,"",IF(((Z7&lt;&gt;"Xm"))+((Z7&lt;&gt;"Xp"))+((Z7&lt;&gt;"Xs")*(Z7&lt;&gt;"Cs"))+((Z7&lt;&gt;"Xn"))=4,Z$3&amp;", ",Z$3&amp;IF((Z7&lt;&gt;"Xm"),"_m","")&amp;IF((Z7&lt;&gt;"Xp"),"_p","")&amp;IF((Z7&lt;&gt;"Xs")*(Z7&lt;&gt;"Cs"),"_s","")&amp;IF((Z7&lt;&gt;"Xn"),"_n","")&amp;", ")))</f>
        <v>ELSA, </v>
      </c>
      <c r="AY7" s="10" t="str">
        <f aca="false">IF((AA7="X")+(AA7="F")&gt;0,"",IF(((AA7&lt;&gt;"Xm"))+((AA7&lt;&gt;"Xp"))+((AA7&lt;&gt;"Xs")*(AA7&lt;&gt;"Cs"))+((AA7&lt;&gt;"Xn"))=0,"",IF(((AA7&lt;&gt;"Xm"))+((AA7&lt;&gt;"Xp"))+((AA7&lt;&gt;"Xs")*(AA7&lt;&gt;"Cs"))+((AA7&lt;&gt;"Xn"))=4,AA$3&amp;", ",AA$3&amp;IF((AA7&lt;&gt;"Xm"),"_m","")&amp;IF((AA7&lt;&gt;"Xp"),"_p","")&amp;IF((AA7&lt;&gt;"Xs")*(AA7&lt;&gt;"Cs"),"_s","")&amp;IF((AA7&lt;&gt;"Xn"),"_n","")&amp;", ")))</f>
        <v>FABIO, </v>
      </c>
      <c r="AZ7" s="10"/>
      <c r="BA7" s="10" t="str">
        <f aca="false">IF((V7="X")+(V7="F")&gt;0,"",IF(((V7&lt;&gt;"Xm")*(COUNTIFS($C$3:$K$3,"MAT",$C7:$K7,V$3)=0)*(COUNTIFS($C$3:$K$3,"NOTTE",$C7:$K7,V$3)=0))+((V7&lt;&gt;"Xp")*(COUNTIFS($C$3:$K$3,"POM",$C7:$K7,V$3)=0)*(COUNTIFS($C$3:$K$3,"NOTTE",$C7:$K7,V$3)=0))+((V7&lt;&gt;"Xs")*(V7&lt;&gt;"Cs")*(COUNTIFS($C$3:$K$3,"SERA",$C7:$K7,V$3)=0)*(COUNTIFS($C$3:$K$3,"NOTTE",$C7:$K7,V$3)=0))+((V7&lt;&gt;"Xn")*(COUNTIFS($C$3:$K$3,"MAT",$C7:$K7,V$3)=0)*(COUNTIFS($C$3:$K$3,"POM",$C7:$K7,V$3)=0)*(COUNTIFS($C$3:$K$3,"SERA",$C7:$K7,V$3)=0)*(COUNTIFS($C$3:$K$3,"NOTTE",$C7:$K7,V$3)=0))=0,"",IF(((V7&lt;&gt;"Xm")*(COUNTIFS($C$3:$K$3,"MAT",$C7:$K7,V$3)=0)*(COUNTIFS($C$3:$K$3,"NOTTE",$C7:$K7,V$3)=0))+((V7&lt;&gt;"Xp")*(COUNTIFS($C$3:$K$3,"POM",$C7:$K7,V$3)=0)*(COUNTIFS($C$3:$K$3,"NOTTE",$C7:$K7,V$3)=0))+((V7&lt;&gt;"Xs")*(V7&lt;&gt;"Cs")*(COUNTIFS($C$3:$K$3,"SERA",$C7:$K7,V$3)=0)*(COUNTIFS($C$3:$K$3,"NOTTE",$C7:$K7,V$3)=0))+((V7&lt;&gt;"Xn")*(COUNTIFS($C$3:$K$3,"MAT",$C7:$K7,V$3)=0)*(COUNTIFS($C$3:$K$3,"POM",$C7:$K7,V$3)=0)*(COUNTIFS($C$3:$K$3,"SERA",$C7:$K7,V$3)=0)*(COUNTIFS($C$3:$K$3,"NOTTE",$C7:$K7,V$3)=0))=4,V$3&amp;", ",V$3&amp;IF((V7&lt;&gt;"Xm")*(COUNTIFS($C$3:$K$3,"MAT",$C7:$K7,V$3)=0)*(COUNTIFS($C$3:$K$3,"NOTTE",$C7:$K7,V$3)=0),"_m","")&amp;IF((V7&lt;&gt;"Xp")*(COUNTIFS($C$3:$K$3,"POM",$C7:$K7,V$3)=0)*(COUNTIFS($C$3:$K$3,"NOTTE",$C7:$K7,V$3)=0),"_p","")&amp;IF((V7&lt;&gt;"Xs")*(V7&lt;&gt;"Cs")*(COUNTIFS($C$3:$K$3,"SERA",$C7:$K7,V$3)=0)*(COUNTIFS($C$3:$K$3,"NOTTE",$C7:$K7,V$3)=0),"_s","")&amp;IF((V7&lt;&gt;"Xn")*(COUNTIFS($C$3:$K$3,"MAT",$C7:$K7,V$3)=0)*(COUNTIFS($C$3:$K$3,"POM",$C7:$K7,V$3)=0)*(COUNTIFS($C$3:$K$3,"SERA",$C7:$K7,V$3)=0)*(COUNTIFS($C$3:$K$3,"NOTTE",$C7:$K7,V$3)=0),"_n","")&amp;", ")))</f>
        <v>ALBA, </v>
      </c>
      <c r="BB7" s="10" t="str">
        <f aca="false">IF((W7="X")+(W7="F")&gt;0,"",IF(((W7&lt;&gt;"Xm")*(COUNTIFS($C$3:$K$3,"MAT",$C7:$K7,W$3)=0)*(COUNTIFS($C$3:$K$3,"NOTTE",$C7:$K7,W$3)=0))+((W7&lt;&gt;"Xp")*(COUNTIFS($C$3:$K$3,"POM",$C7:$K7,W$3)=0)*(COUNTIFS($C$3:$K$3,"NOTTE",$C7:$K7,W$3)=0))+((W7&lt;&gt;"Xs")*(W7&lt;&gt;"Cs")*(COUNTIFS($C$3:$K$3,"SERA",$C7:$K7,W$3)=0)*(COUNTIFS($C$3:$K$3,"NOTTE",$C7:$K7,W$3)=0))+((W7&lt;&gt;"Xn")*(COUNTIFS($C$3:$K$3,"MAT",$C7:$K7,W$3)=0)*(COUNTIFS($C$3:$K$3,"POM",$C7:$K7,W$3)=0)*(COUNTIFS($C$3:$K$3,"SERA",$C7:$K7,W$3)=0)*(COUNTIFS($C$3:$K$3,"NOTTE",$C7:$K7,W$3)=0))=0,"",IF(((W7&lt;&gt;"Xm")*(COUNTIFS($C$3:$K$3,"MAT",$C7:$K7,W$3)=0)*(COUNTIFS($C$3:$K$3,"NOTTE",$C7:$K7,W$3)=0))+((W7&lt;&gt;"Xp")*(COUNTIFS($C$3:$K$3,"POM",$C7:$K7,W$3)=0)*(COUNTIFS($C$3:$K$3,"NOTTE",$C7:$K7,W$3)=0))+((W7&lt;&gt;"Xs")*(W7&lt;&gt;"Cs")*(COUNTIFS($C$3:$K$3,"SERA",$C7:$K7,W$3)=0)*(COUNTIFS($C$3:$K$3,"NOTTE",$C7:$K7,W$3)=0))+((W7&lt;&gt;"Xn")*(COUNTIFS($C$3:$K$3,"MAT",$C7:$K7,W$3)=0)*(COUNTIFS($C$3:$K$3,"POM",$C7:$K7,W$3)=0)*(COUNTIFS($C$3:$K$3,"SERA",$C7:$K7,W$3)=0)*(COUNTIFS($C$3:$K$3,"NOTTE",$C7:$K7,W$3)=0))=4,W$3&amp;", ",W$3&amp;IF((W7&lt;&gt;"Xm")*(COUNTIFS($C$3:$K$3,"MAT",$C7:$K7,W$3)=0)*(COUNTIFS($C$3:$K$3,"NOTTE",$C7:$K7,W$3)=0),"_m","")&amp;IF((W7&lt;&gt;"Xp")*(COUNTIFS($C$3:$K$3,"POM",$C7:$K7,W$3)=0)*(COUNTIFS($C$3:$K$3,"NOTTE",$C7:$K7,W$3)=0),"_p","")&amp;IF((W7&lt;&gt;"Xs")*(W7&lt;&gt;"Cs")*(COUNTIFS($C$3:$K$3,"SERA",$C7:$K7,W$3)=0)*(COUNTIFS($C$3:$K$3,"NOTTE",$C7:$K7,W$3)=0),"_s","")&amp;IF((W7&lt;&gt;"Xn")*(COUNTIFS($C$3:$K$3,"MAT",$C7:$K7,W$3)=0)*(COUNTIFS($C$3:$K$3,"POM",$C7:$K7,W$3)=0)*(COUNTIFS($C$3:$K$3,"SERA",$C7:$K7,W$3)=0)*(COUNTIFS($C$3:$K$3,"NOTTE",$C7:$K7,W$3)=0),"_n","")&amp;", ")))</f>
        <v>BRUNO, </v>
      </c>
      <c r="BC7" s="10" t="str">
        <f aca="false">IF((X7="X")+(X7="F")&gt;0,"",IF(((X7&lt;&gt;"Xm")*(COUNTIFS($C$3:$K$3,"MAT",$C7:$K7,X$3)=0)*(COUNTIFS($C$3:$K$3,"NOTTE",$C7:$K7,X$3)=0))+((X7&lt;&gt;"Xp")*(COUNTIFS($C$3:$K$3,"POM",$C7:$K7,X$3)=0)*(COUNTIFS($C$3:$K$3,"NOTTE",$C7:$K7,X$3)=0))+((X7&lt;&gt;"Xs")*(X7&lt;&gt;"Cs")*(COUNTIFS($C$3:$K$3,"SERA",$C7:$K7,X$3)=0)*(COUNTIFS($C$3:$K$3,"NOTTE",$C7:$K7,X$3)=0))+((X7&lt;&gt;"Xn")*(COUNTIFS($C$3:$K$3,"MAT",$C7:$K7,X$3)=0)*(COUNTIFS($C$3:$K$3,"POM",$C7:$K7,X$3)=0)*(COUNTIFS($C$3:$K$3,"SERA",$C7:$K7,X$3)=0)*(COUNTIFS($C$3:$K$3,"NOTTE",$C7:$K7,X$3)=0))=0,"",IF(((X7&lt;&gt;"Xm")*(COUNTIFS($C$3:$K$3,"MAT",$C7:$K7,X$3)=0)*(COUNTIFS($C$3:$K$3,"NOTTE",$C7:$K7,X$3)=0))+((X7&lt;&gt;"Xp")*(COUNTIFS($C$3:$K$3,"POM",$C7:$K7,X$3)=0)*(COUNTIFS($C$3:$K$3,"NOTTE",$C7:$K7,X$3)=0))+((X7&lt;&gt;"Xs")*(X7&lt;&gt;"Cs")*(COUNTIFS($C$3:$K$3,"SERA",$C7:$K7,X$3)=0)*(COUNTIFS($C$3:$K$3,"NOTTE",$C7:$K7,X$3)=0))+((X7&lt;&gt;"Xn")*(COUNTIFS($C$3:$K$3,"MAT",$C7:$K7,X$3)=0)*(COUNTIFS($C$3:$K$3,"POM",$C7:$K7,X$3)=0)*(COUNTIFS($C$3:$K$3,"SERA",$C7:$K7,X$3)=0)*(COUNTIFS($C$3:$K$3,"NOTTE",$C7:$K7,X$3)=0))=4,X$3&amp;", ",X$3&amp;IF((X7&lt;&gt;"Xm")*(COUNTIFS($C$3:$K$3,"MAT",$C7:$K7,X$3)=0)*(COUNTIFS($C$3:$K$3,"NOTTE",$C7:$K7,X$3)=0),"_m","")&amp;IF((X7&lt;&gt;"Xp")*(COUNTIFS($C$3:$K$3,"POM",$C7:$K7,X$3)=0)*(COUNTIFS($C$3:$K$3,"NOTTE",$C7:$K7,X$3)=0),"_p","")&amp;IF((X7&lt;&gt;"Xs")*(X7&lt;&gt;"Cs")*(COUNTIFS($C$3:$K$3,"SERA",$C7:$K7,X$3)=0)*(COUNTIFS($C$3:$K$3,"NOTTE",$C7:$K7,X$3)=0),"_s","")&amp;IF((X7&lt;&gt;"Xn")*(COUNTIFS($C$3:$K$3,"MAT",$C7:$K7,X$3)=0)*(COUNTIFS($C$3:$K$3,"POM",$C7:$K7,X$3)=0)*(COUNTIFS($C$3:$K$3,"SERA",$C7:$K7,X$3)=0)*(COUNTIFS($C$3:$K$3,"NOTTE",$C7:$K7,X$3)=0),"_n","")&amp;", ")))</f>
        <v>CARLA, </v>
      </c>
      <c r="BD7" s="10" t="str">
        <f aca="false">IF((Y7="X")+(Y7="F")&gt;0,"",IF(((Y7&lt;&gt;"Xm")*(COUNTIFS($C$3:$K$3,"MAT",$C7:$K7,Y$3)=0)*(COUNTIFS($C$3:$K$3,"NOTTE",$C7:$K7,Y$3)=0))+((Y7&lt;&gt;"Xp")*(COUNTIFS($C$3:$K$3,"POM",$C7:$K7,Y$3)=0)*(COUNTIFS($C$3:$K$3,"NOTTE",$C7:$K7,Y$3)=0))+((Y7&lt;&gt;"Xs")*(Y7&lt;&gt;"Cs")*(COUNTIFS($C$3:$K$3,"SERA",$C7:$K7,Y$3)=0)*(COUNTIFS($C$3:$K$3,"NOTTE",$C7:$K7,Y$3)=0))+((Y7&lt;&gt;"Xn")*(COUNTIFS($C$3:$K$3,"MAT",$C7:$K7,Y$3)=0)*(COUNTIFS($C$3:$K$3,"POM",$C7:$K7,Y$3)=0)*(COUNTIFS($C$3:$K$3,"SERA",$C7:$K7,Y$3)=0)*(COUNTIFS($C$3:$K$3,"NOTTE",$C7:$K7,Y$3)=0))=0,"",IF(((Y7&lt;&gt;"Xm")*(COUNTIFS($C$3:$K$3,"MAT",$C7:$K7,Y$3)=0)*(COUNTIFS($C$3:$K$3,"NOTTE",$C7:$K7,Y$3)=0))+((Y7&lt;&gt;"Xp")*(COUNTIFS($C$3:$K$3,"POM",$C7:$K7,Y$3)=0)*(COUNTIFS($C$3:$K$3,"NOTTE",$C7:$K7,Y$3)=0))+((Y7&lt;&gt;"Xs")*(Y7&lt;&gt;"Cs")*(COUNTIFS($C$3:$K$3,"SERA",$C7:$K7,Y$3)=0)*(COUNTIFS($C$3:$K$3,"NOTTE",$C7:$K7,Y$3)=0))+((Y7&lt;&gt;"Xn")*(COUNTIFS($C$3:$K$3,"MAT",$C7:$K7,Y$3)=0)*(COUNTIFS($C$3:$K$3,"POM",$C7:$K7,Y$3)=0)*(COUNTIFS($C$3:$K$3,"SERA",$C7:$K7,Y$3)=0)*(COUNTIFS($C$3:$K$3,"NOTTE",$C7:$K7,Y$3)=0))=4,Y$3&amp;", ",Y$3&amp;IF((Y7&lt;&gt;"Xm")*(COUNTIFS($C$3:$K$3,"MAT",$C7:$K7,Y$3)=0)*(COUNTIFS($C$3:$K$3,"NOTTE",$C7:$K7,Y$3)=0),"_m","")&amp;IF((Y7&lt;&gt;"Xp")*(COUNTIFS($C$3:$K$3,"POM",$C7:$K7,Y$3)=0)*(COUNTIFS($C$3:$K$3,"NOTTE",$C7:$K7,Y$3)=0),"_p","")&amp;IF((Y7&lt;&gt;"Xs")*(Y7&lt;&gt;"Cs")*(COUNTIFS($C$3:$K$3,"SERA",$C7:$K7,Y$3)=0)*(COUNTIFS($C$3:$K$3,"NOTTE",$C7:$K7,Y$3)=0),"_s","")&amp;IF((Y7&lt;&gt;"Xn")*(COUNTIFS($C$3:$K$3,"MAT",$C7:$K7,Y$3)=0)*(COUNTIFS($C$3:$K$3,"POM",$C7:$K7,Y$3)=0)*(COUNTIFS($C$3:$K$3,"SERA",$C7:$K7,Y$3)=0)*(COUNTIFS($C$3:$K$3,"NOTTE",$C7:$K7,Y$3)=0),"_n","")&amp;", ")))</f>
        <v>DINO, </v>
      </c>
      <c r="BE7" s="10" t="str">
        <f aca="false">IF((Z7="X")+(Z7="F")&gt;0,"",IF(((Z7&lt;&gt;"Xm")*(COUNTIFS($C$3:$K$3,"MAT",$C7:$K7,Z$3)=0)*(COUNTIFS($C$3:$K$3,"NOTTE",$C7:$K7,Z$3)=0))+((Z7&lt;&gt;"Xp")*(COUNTIFS($C$3:$K$3,"POM",$C7:$K7,Z$3)=0)*(COUNTIFS($C$3:$K$3,"NOTTE",$C7:$K7,Z$3)=0))+((Z7&lt;&gt;"Xs")*(Z7&lt;&gt;"Cs")*(COUNTIFS($C$3:$K$3,"SERA",$C7:$K7,Z$3)=0)*(COUNTIFS($C$3:$K$3,"NOTTE",$C7:$K7,Z$3)=0))+((Z7&lt;&gt;"Xn")*(COUNTIFS($C$3:$K$3,"MAT",$C7:$K7,Z$3)=0)*(COUNTIFS($C$3:$K$3,"POM",$C7:$K7,Z$3)=0)*(COUNTIFS($C$3:$K$3,"SERA",$C7:$K7,Z$3)=0)*(COUNTIFS($C$3:$K$3,"NOTTE",$C7:$K7,Z$3)=0))=0,"",IF(((Z7&lt;&gt;"Xm")*(COUNTIFS($C$3:$K$3,"MAT",$C7:$K7,Z$3)=0)*(COUNTIFS($C$3:$K$3,"NOTTE",$C7:$K7,Z$3)=0))+((Z7&lt;&gt;"Xp")*(COUNTIFS($C$3:$K$3,"POM",$C7:$K7,Z$3)=0)*(COUNTIFS($C$3:$K$3,"NOTTE",$C7:$K7,Z$3)=0))+((Z7&lt;&gt;"Xs")*(Z7&lt;&gt;"Cs")*(COUNTIFS($C$3:$K$3,"SERA",$C7:$K7,Z$3)=0)*(COUNTIFS($C$3:$K$3,"NOTTE",$C7:$K7,Z$3)=0))+((Z7&lt;&gt;"Xn")*(COUNTIFS($C$3:$K$3,"MAT",$C7:$K7,Z$3)=0)*(COUNTIFS($C$3:$K$3,"POM",$C7:$K7,Z$3)=0)*(COUNTIFS($C$3:$K$3,"SERA",$C7:$K7,Z$3)=0)*(COUNTIFS($C$3:$K$3,"NOTTE",$C7:$K7,Z$3)=0))=4,Z$3&amp;", ",Z$3&amp;IF((Z7&lt;&gt;"Xm")*(COUNTIFS($C$3:$K$3,"MAT",$C7:$K7,Z$3)=0)*(COUNTIFS($C$3:$K$3,"NOTTE",$C7:$K7,Z$3)=0),"_m","")&amp;IF((Z7&lt;&gt;"Xp")*(COUNTIFS($C$3:$K$3,"POM",$C7:$K7,Z$3)=0)*(COUNTIFS($C$3:$K$3,"NOTTE",$C7:$K7,Z$3)=0),"_p","")&amp;IF((Z7&lt;&gt;"Xs")*(Z7&lt;&gt;"Cs")*(COUNTIFS($C$3:$K$3,"SERA",$C7:$K7,Z$3)=0)*(COUNTIFS($C$3:$K$3,"NOTTE",$C7:$K7,Z$3)=0),"_s","")&amp;IF((Z7&lt;&gt;"Xn")*(COUNTIFS($C$3:$K$3,"MAT",$C7:$K7,Z$3)=0)*(COUNTIFS($C$3:$K$3,"POM",$C7:$K7,Z$3)=0)*(COUNTIFS($C$3:$K$3,"SERA",$C7:$K7,Z$3)=0)*(COUNTIFS($C$3:$K$3,"NOTTE",$C7:$K7,Z$3)=0),"_n","")&amp;", ")))</f>
        <v>ELSA, </v>
      </c>
      <c r="BF7" s="10" t="str">
        <f aca="false">IF((AA7="X")+(AA7="F")&gt;0,"",IF(((AA7&lt;&gt;"Xm")*(COUNTIFS($C$3:$K$3,"MAT",$C7:$K7,AA$3)=0)*(COUNTIFS($C$3:$K$3,"NOTTE",$C7:$K7,AA$3)=0))+((AA7&lt;&gt;"Xp")*(COUNTIFS($C$3:$K$3,"POM",$C7:$K7,AA$3)=0)*(COUNTIFS($C$3:$K$3,"NOTTE",$C7:$K7,AA$3)=0))+((AA7&lt;&gt;"Xs")*(AA7&lt;&gt;"Cs")*(COUNTIFS($C$3:$K$3,"SERA",$C7:$K7,AA$3)=0)*(COUNTIFS($C$3:$K$3,"NOTTE",$C7:$K7,AA$3)=0))+((AA7&lt;&gt;"Xn")*(COUNTIFS($C$3:$K$3,"MAT",$C7:$K7,AA$3)=0)*(COUNTIFS($C$3:$K$3,"POM",$C7:$K7,AA$3)=0)*(COUNTIFS($C$3:$K$3,"SERA",$C7:$K7,AA$3)=0)*(COUNTIFS($C$3:$K$3,"NOTTE",$C7:$K7,AA$3)=0))=0,"",IF(((AA7&lt;&gt;"Xm")*(COUNTIFS($C$3:$K$3,"MAT",$C7:$K7,AA$3)=0)*(COUNTIFS($C$3:$K$3,"NOTTE",$C7:$K7,AA$3)=0))+((AA7&lt;&gt;"Xp")*(COUNTIFS($C$3:$K$3,"POM",$C7:$K7,AA$3)=0)*(COUNTIFS($C$3:$K$3,"NOTTE",$C7:$K7,AA$3)=0))+((AA7&lt;&gt;"Xs")*(AA7&lt;&gt;"Cs")*(COUNTIFS($C$3:$K$3,"SERA",$C7:$K7,AA$3)=0)*(COUNTIFS($C$3:$K$3,"NOTTE",$C7:$K7,AA$3)=0))+((AA7&lt;&gt;"Xn")*(COUNTIFS($C$3:$K$3,"MAT",$C7:$K7,AA$3)=0)*(COUNTIFS($C$3:$K$3,"POM",$C7:$K7,AA$3)=0)*(COUNTIFS($C$3:$K$3,"SERA",$C7:$K7,AA$3)=0)*(COUNTIFS($C$3:$K$3,"NOTTE",$C7:$K7,AA$3)=0))=4,AA$3&amp;", ",AA$3&amp;IF((AA7&lt;&gt;"Xm")*(COUNTIFS($C$3:$K$3,"MAT",$C7:$K7,AA$3)=0)*(COUNTIFS($C$3:$K$3,"NOTTE",$C7:$K7,AA$3)=0),"_m","")&amp;IF((AA7&lt;&gt;"Xp")*(COUNTIFS($C$3:$K$3,"POM",$C7:$K7,AA$3)=0)*(COUNTIFS($C$3:$K$3,"NOTTE",$C7:$K7,AA$3)=0),"_p","")&amp;IF((AA7&lt;&gt;"Xs")*(AA7&lt;&gt;"Cs")*(COUNTIFS($C$3:$K$3,"SERA",$C7:$K7,AA$3)=0)*(COUNTIFS($C$3:$K$3,"NOTTE",$C7:$K7,AA$3)=0),"_s","")&amp;IF((AA7&lt;&gt;"Xn")*(COUNTIFS($C$3:$K$3,"MAT",$C7:$K7,AA$3)=0)*(COUNTIFS($C$3:$K$3,"POM",$C7:$K7,AA$3)=0)*(COUNTIFS($C$3:$K$3,"SERA",$C7:$K7,AA$3)=0)*(COUNTIFS($C$3:$K$3,"NOTTE",$C7:$K7,AA$3)=0),"_n","")&amp;", ")))</f>
        <v>FABIO, </v>
      </c>
    </row>
    <row r="8" customFormat="false" ht="15" hidden="false" customHeight="false" outlineLevel="0" collapsed="false">
      <c r="A8" s="4" t="str">
        <f aca="false">CHOOSE(WEEKDAY(DATE($B$1,$A$2,B8),2),"lunedì","martedì","mercoledì","giovedì","venerdì","sabato","domenica")</f>
        <v>venerdì</v>
      </c>
      <c r="B8" s="4" t="n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 t="str">
        <f aca="false">IF(SUMPRODUCT(($C$3:$K$3&lt;&gt;"")*($C8:$K8&lt;&gt;"")*(COUNTIFS($C8:$K8,$C8:$K8,$C$3:$K$3,$C$3:$K$3)&gt;1))&gt;0,"X","")</f>
        <v/>
      </c>
      <c r="N8" s="5" t="str">
        <f aca="false">IF(LEN(AT8&amp;AU8&amp;AV8&amp;AW8&amp;AX8&amp;AY8)=0,"",LEFT(AT8&amp;AU8&amp;AV8&amp;AW8&amp;AX8&amp;AY8,LEN(AT8&amp;AU8&amp;AV8&amp;AW8&amp;AX8&amp;AY8)-2))</f>
        <v>ALBA, BRUNO, CARLA, DINO, ELSA, FABIO</v>
      </c>
      <c r="O8" s="5" t="str">
        <f aca="false">IF(LEN(BA8&amp;BB8&amp;BC8&amp;BD8&amp;BE8&amp;BF8)=0,"",LEFT(BA8&amp;BB8&amp;BC8&amp;BD8&amp;BE8&amp;BF8,LEN(BA8&amp;BB8&amp;BC8&amp;BD8&amp;BE8&amp;BF8)-2))</f>
        <v>ALBA, BRUNO, CARLA, DINO, ELSA, FABIO</v>
      </c>
      <c r="T8" s="4" t="str">
        <f aca="false">A8</f>
        <v>venerdì</v>
      </c>
      <c r="U8" s="4" t="n">
        <f aca="false">B8</f>
        <v>5</v>
      </c>
      <c r="V8" s="5"/>
      <c r="W8" s="5"/>
      <c r="X8" s="5"/>
      <c r="Y8" s="5"/>
      <c r="Z8" s="5"/>
      <c r="AA8" s="5"/>
      <c r="AC8" s="6" t="s">
        <v>38</v>
      </c>
      <c r="AD8" s="7" t="s">
        <v>39</v>
      </c>
      <c r="AF8" s="8" t="str">
        <f aca="false">Z$3</f>
        <v>ELSA</v>
      </c>
      <c r="AG8" s="8" t="n">
        <f aca="false">COUNTIF($C$4:$E$34,$AF8)</f>
        <v>0</v>
      </c>
      <c r="AH8" s="8" t="n">
        <f aca="false">COUNTIF($F$4:$H$34,$AF8)</f>
        <v>0</v>
      </c>
      <c r="AI8" s="8" t="n">
        <f aca="false">COUNTIF($I$4:$J$34,$AF8)</f>
        <v>0</v>
      </c>
      <c r="AJ8" s="8" t="n">
        <f aca="false">COUNTIF($K$4:$K$34,$AF8)</f>
        <v>0</v>
      </c>
      <c r="AK8" s="8" t="n">
        <f aca="false">COUNTIF($C$4:$K$34,$AF8)</f>
        <v>0</v>
      </c>
      <c r="AM8" s="9" t="str">
        <f aca="false">Z$3</f>
        <v>ELSA</v>
      </c>
      <c r="AN8" s="9"/>
      <c r="AO8" s="9"/>
      <c r="AP8" s="9"/>
      <c r="AQ8" s="9"/>
      <c r="AR8" s="9"/>
      <c r="AT8" s="10" t="str">
        <f aca="false">IF((V8="X")+(V8="F")&gt;0,"",IF(((V8&lt;&gt;"Xm"))+((V8&lt;&gt;"Xp"))+((V8&lt;&gt;"Xs")*(V8&lt;&gt;"Cs"))+((V8&lt;&gt;"Xn"))=0,"",IF(((V8&lt;&gt;"Xm"))+((V8&lt;&gt;"Xp"))+((V8&lt;&gt;"Xs")*(V8&lt;&gt;"Cs"))+((V8&lt;&gt;"Xn"))=4,V$3&amp;", ",V$3&amp;IF((V8&lt;&gt;"Xm"),"_m","")&amp;IF((V8&lt;&gt;"Xp"),"_p","")&amp;IF((V8&lt;&gt;"Xs")*(V8&lt;&gt;"Cs"),"_s","")&amp;IF((V8&lt;&gt;"Xn"),"_n","")&amp;", ")))</f>
        <v>ALBA, </v>
      </c>
      <c r="AU8" s="10" t="str">
        <f aca="false">IF((W8="X")+(W8="F")&gt;0,"",IF(((W8&lt;&gt;"Xm"))+((W8&lt;&gt;"Xp"))+((W8&lt;&gt;"Xs")*(W8&lt;&gt;"Cs"))+((W8&lt;&gt;"Xn"))=0,"",IF(((W8&lt;&gt;"Xm"))+((W8&lt;&gt;"Xp"))+((W8&lt;&gt;"Xs")*(W8&lt;&gt;"Cs"))+((W8&lt;&gt;"Xn"))=4,W$3&amp;", ",W$3&amp;IF((W8&lt;&gt;"Xm"),"_m","")&amp;IF((W8&lt;&gt;"Xp"),"_p","")&amp;IF((W8&lt;&gt;"Xs")*(W8&lt;&gt;"Cs"),"_s","")&amp;IF((W8&lt;&gt;"Xn"),"_n","")&amp;", ")))</f>
        <v>BRUNO, </v>
      </c>
      <c r="AV8" s="10" t="str">
        <f aca="false">IF((X8="X")+(X8="F")&gt;0,"",IF(((X8&lt;&gt;"Xm"))+((X8&lt;&gt;"Xp"))+((X8&lt;&gt;"Xs")*(X8&lt;&gt;"Cs"))+((X8&lt;&gt;"Xn"))=0,"",IF(((X8&lt;&gt;"Xm"))+((X8&lt;&gt;"Xp"))+((X8&lt;&gt;"Xs")*(X8&lt;&gt;"Cs"))+((X8&lt;&gt;"Xn"))=4,X$3&amp;", ",X$3&amp;IF((X8&lt;&gt;"Xm"),"_m","")&amp;IF((X8&lt;&gt;"Xp"),"_p","")&amp;IF((X8&lt;&gt;"Xs")*(X8&lt;&gt;"Cs"),"_s","")&amp;IF((X8&lt;&gt;"Xn"),"_n","")&amp;", ")))</f>
        <v>CARLA, </v>
      </c>
      <c r="AW8" s="10" t="str">
        <f aca="false">IF((Y8="X")+(Y8="F")&gt;0,"",IF(((Y8&lt;&gt;"Xm"))+((Y8&lt;&gt;"Xp"))+((Y8&lt;&gt;"Xs")*(Y8&lt;&gt;"Cs"))+((Y8&lt;&gt;"Xn"))=0,"",IF(((Y8&lt;&gt;"Xm"))+((Y8&lt;&gt;"Xp"))+((Y8&lt;&gt;"Xs")*(Y8&lt;&gt;"Cs"))+((Y8&lt;&gt;"Xn"))=4,Y$3&amp;", ",Y$3&amp;IF((Y8&lt;&gt;"Xm"),"_m","")&amp;IF((Y8&lt;&gt;"Xp"),"_p","")&amp;IF((Y8&lt;&gt;"Xs")*(Y8&lt;&gt;"Cs"),"_s","")&amp;IF((Y8&lt;&gt;"Xn"),"_n","")&amp;", ")))</f>
        <v>DINO, </v>
      </c>
      <c r="AX8" s="10" t="str">
        <f aca="false">IF((Z8="X")+(Z8="F")&gt;0,"",IF(((Z8&lt;&gt;"Xm"))+((Z8&lt;&gt;"Xp"))+((Z8&lt;&gt;"Xs")*(Z8&lt;&gt;"Cs"))+((Z8&lt;&gt;"Xn"))=0,"",IF(((Z8&lt;&gt;"Xm"))+((Z8&lt;&gt;"Xp"))+((Z8&lt;&gt;"Xs")*(Z8&lt;&gt;"Cs"))+((Z8&lt;&gt;"Xn"))=4,Z$3&amp;", ",Z$3&amp;IF((Z8&lt;&gt;"Xm"),"_m","")&amp;IF((Z8&lt;&gt;"Xp"),"_p","")&amp;IF((Z8&lt;&gt;"Xs")*(Z8&lt;&gt;"Cs"),"_s","")&amp;IF((Z8&lt;&gt;"Xn"),"_n","")&amp;", ")))</f>
        <v>ELSA, </v>
      </c>
      <c r="AY8" s="10" t="str">
        <f aca="false">IF((AA8="X")+(AA8="F")&gt;0,"",IF(((AA8&lt;&gt;"Xm"))+((AA8&lt;&gt;"Xp"))+((AA8&lt;&gt;"Xs")*(AA8&lt;&gt;"Cs"))+((AA8&lt;&gt;"Xn"))=0,"",IF(((AA8&lt;&gt;"Xm"))+((AA8&lt;&gt;"Xp"))+((AA8&lt;&gt;"Xs")*(AA8&lt;&gt;"Cs"))+((AA8&lt;&gt;"Xn"))=4,AA$3&amp;", ",AA$3&amp;IF((AA8&lt;&gt;"Xm"),"_m","")&amp;IF((AA8&lt;&gt;"Xp"),"_p","")&amp;IF((AA8&lt;&gt;"Xs")*(AA8&lt;&gt;"Cs"),"_s","")&amp;IF((AA8&lt;&gt;"Xn"),"_n","")&amp;", ")))</f>
        <v>FABIO, </v>
      </c>
      <c r="AZ8" s="10"/>
      <c r="BA8" s="10" t="str">
        <f aca="false">IF((V8="X")+(V8="F")&gt;0,"",IF(((V8&lt;&gt;"Xm")*(COUNTIFS($C$3:$K$3,"MAT",$C8:$K8,V$3)=0)*(COUNTIFS($C$3:$K$3,"NOTTE",$C8:$K8,V$3)=0))+((V8&lt;&gt;"Xp")*(COUNTIFS($C$3:$K$3,"POM",$C8:$K8,V$3)=0)*(COUNTIFS($C$3:$K$3,"NOTTE",$C8:$K8,V$3)=0))+((V8&lt;&gt;"Xs")*(V8&lt;&gt;"Cs")*(COUNTIFS($C$3:$K$3,"SERA",$C8:$K8,V$3)=0)*(COUNTIFS($C$3:$K$3,"NOTTE",$C8:$K8,V$3)=0))+((V8&lt;&gt;"Xn")*(COUNTIFS($C$3:$K$3,"MAT",$C8:$K8,V$3)=0)*(COUNTIFS($C$3:$K$3,"POM",$C8:$K8,V$3)=0)*(COUNTIFS($C$3:$K$3,"SERA",$C8:$K8,V$3)=0)*(COUNTIFS($C$3:$K$3,"NOTTE",$C8:$K8,V$3)=0))=0,"",IF(((V8&lt;&gt;"Xm")*(COUNTIFS($C$3:$K$3,"MAT",$C8:$K8,V$3)=0)*(COUNTIFS($C$3:$K$3,"NOTTE",$C8:$K8,V$3)=0))+((V8&lt;&gt;"Xp")*(COUNTIFS($C$3:$K$3,"POM",$C8:$K8,V$3)=0)*(COUNTIFS($C$3:$K$3,"NOTTE",$C8:$K8,V$3)=0))+((V8&lt;&gt;"Xs")*(V8&lt;&gt;"Cs")*(COUNTIFS($C$3:$K$3,"SERA",$C8:$K8,V$3)=0)*(COUNTIFS($C$3:$K$3,"NOTTE",$C8:$K8,V$3)=0))+((V8&lt;&gt;"Xn")*(COUNTIFS($C$3:$K$3,"MAT",$C8:$K8,V$3)=0)*(COUNTIFS($C$3:$K$3,"POM",$C8:$K8,V$3)=0)*(COUNTIFS($C$3:$K$3,"SERA",$C8:$K8,V$3)=0)*(COUNTIFS($C$3:$K$3,"NOTTE",$C8:$K8,V$3)=0))=4,V$3&amp;", ",V$3&amp;IF((V8&lt;&gt;"Xm")*(COUNTIFS($C$3:$K$3,"MAT",$C8:$K8,V$3)=0)*(COUNTIFS($C$3:$K$3,"NOTTE",$C8:$K8,V$3)=0),"_m","")&amp;IF((V8&lt;&gt;"Xp")*(COUNTIFS($C$3:$K$3,"POM",$C8:$K8,V$3)=0)*(COUNTIFS($C$3:$K$3,"NOTTE",$C8:$K8,V$3)=0),"_p","")&amp;IF((V8&lt;&gt;"Xs")*(V8&lt;&gt;"Cs")*(COUNTIFS($C$3:$K$3,"SERA",$C8:$K8,V$3)=0)*(COUNTIFS($C$3:$K$3,"NOTTE",$C8:$K8,V$3)=0),"_s","")&amp;IF((V8&lt;&gt;"Xn")*(COUNTIFS($C$3:$K$3,"MAT",$C8:$K8,V$3)=0)*(COUNTIFS($C$3:$K$3,"POM",$C8:$K8,V$3)=0)*(COUNTIFS($C$3:$K$3,"SERA",$C8:$K8,V$3)=0)*(COUNTIFS($C$3:$K$3,"NOTTE",$C8:$K8,V$3)=0),"_n","")&amp;", ")))</f>
        <v>ALBA, </v>
      </c>
      <c r="BB8" s="10" t="str">
        <f aca="false">IF((W8="X")+(W8="F")&gt;0,"",IF(((W8&lt;&gt;"Xm")*(COUNTIFS($C$3:$K$3,"MAT",$C8:$K8,W$3)=0)*(COUNTIFS($C$3:$K$3,"NOTTE",$C8:$K8,W$3)=0))+((W8&lt;&gt;"Xp")*(COUNTIFS($C$3:$K$3,"POM",$C8:$K8,W$3)=0)*(COUNTIFS($C$3:$K$3,"NOTTE",$C8:$K8,W$3)=0))+((W8&lt;&gt;"Xs")*(W8&lt;&gt;"Cs")*(COUNTIFS($C$3:$K$3,"SERA",$C8:$K8,W$3)=0)*(COUNTIFS($C$3:$K$3,"NOTTE",$C8:$K8,W$3)=0))+((W8&lt;&gt;"Xn")*(COUNTIFS($C$3:$K$3,"MAT",$C8:$K8,W$3)=0)*(COUNTIFS($C$3:$K$3,"POM",$C8:$K8,W$3)=0)*(COUNTIFS($C$3:$K$3,"SERA",$C8:$K8,W$3)=0)*(COUNTIFS($C$3:$K$3,"NOTTE",$C8:$K8,W$3)=0))=0,"",IF(((W8&lt;&gt;"Xm")*(COUNTIFS($C$3:$K$3,"MAT",$C8:$K8,W$3)=0)*(COUNTIFS($C$3:$K$3,"NOTTE",$C8:$K8,W$3)=0))+((W8&lt;&gt;"Xp")*(COUNTIFS($C$3:$K$3,"POM",$C8:$K8,W$3)=0)*(COUNTIFS($C$3:$K$3,"NOTTE",$C8:$K8,W$3)=0))+((W8&lt;&gt;"Xs")*(W8&lt;&gt;"Cs")*(COUNTIFS($C$3:$K$3,"SERA",$C8:$K8,W$3)=0)*(COUNTIFS($C$3:$K$3,"NOTTE",$C8:$K8,W$3)=0))+((W8&lt;&gt;"Xn")*(COUNTIFS($C$3:$K$3,"MAT",$C8:$K8,W$3)=0)*(COUNTIFS($C$3:$K$3,"POM",$C8:$K8,W$3)=0)*(COUNTIFS($C$3:$K$3,"SERA",$C8:$K8,W$3)=0)*(COUNTIFS($C$3:$K$3,"NOTTE",$C8:$K8,W$3)=0))=4,W$3&amp;", ",W$3&amp;IF((W8&lt;&gt;"Xm")*(COUNTIFS($C$3:$K$3,"MAT",$C8:$K8,W$3)=0)*(COUNTIFS($C$3:$K$3,"NOTTE",$C8:$K8,W$3)=0),"_m","")&amp;IF((W8&lt;&gt;"Xp")*(COUNTIFS($C$3:$K$3,"POM",$C8:$K8,W$3)=0)*(COUNTIFS($C$3:$K$3,"NOTTE",$C8:$K8,W$3)=0),"_p","")&amp;IF((W8&lt;&gt;"Xs")*(W8&lt;&gt;"Cs")*(COUNTIFS($C$3:$K$3,"SERA",$C8:$K8,W$3)=0)*(COUNTIFS($C$3:$K$3,"NOTTE",$C8:$K8,W$3)=0),"_s","")&amp;IF((W8&lt;&gt;"Xn")*(COUNTIFS($C$3:$K$3,"MAT",$C8:$K8,W$3)=0)*(COUNTIFS($C$3:$K$3,"POM",$C8:$K8,W$3)=0)*(COUNTIFS($C$3:$K$3,"SERA",$C8:$K8,W$3)=0)*(COUNTIFS($C$3:$K$3,"NOTTE",$C8:$K8,W$3)=0),"_n","")&amp;", ")))</f>
        <v>BRUNO, </v>
      </c>
      <c r="BC8" s="10" t="str">
        <f aca="false">IF((X8="X")+(X8="F")&gt;0,"",IF(((X8&lt;&gt;"Xm")*(COUNTIFS($C$3:$K$3,"MAT",$C8:$K8,X$3)=0)*(COUNTIFS($C$3:$K$3,"NOTTE",$C8:$K8,X$3)=0))+((X8&lt;&gt;"Xp")*(COUNTIFS($C$3:$K$3,"POM",$C8:$K8,X$3)=0)*(COUNTIFS($C$3:$K$3,"NOTTE",$C8:$K8,X$3)=0))+((X8&lt;&gt;"Xs")*(X8&lt;&gt;"Cs")*(COUNTIFS($C$3:$K$3,"SERA",$C8:$K8,X$3)=0)*(COUNTIFS($C$3:$K$3,"NOTTE",$C8:$K8,X$3)=0))+((X8&lt;&gt;"Xn")*(COUNTIFS($C$3:$K$3,"MAT",$C8:$K8,X$3)=0)*(COUNTIFS($C$3:$K$3,"POM",$C8:$K8,X$3)=0)*(COUNTIFS($C$3:$K$3,"SERA",$C8:$K8,X$3)=0)*(COUNTIFS($C$3:$K$3,"NOTTE",$C8:$K8,X$3)=0))=0,"",IF(((X8&lt;&gt;"Xm")*(COUNTIFS($C$3:$K$3,"MAT",$C8:$K8,X$3)=0)*(COUNTIFS($C$3:$K$3,"NOTTE",$C8:$K8,X$3)=0))+((X8&lt;&gt;"Xp")*(COUNTIFS($C$3:$K$3,"POM",$C8:$K8,X$3)=0)*(COUNTIFS($C$3:$K$3,"NOTTE",$C8:$K8,X$3)=0))+((X8&lt;&gt;"Xs")*(X8&lt;&gt;"Cs")*(COUNTIFS($C$3:$K$3,"SERA",$C8:$K8,X$3)=0)*(COUNTIFS($C$3:$K$3,"NOTTE",$C8:$K8,X$3)=0))+((X8&lt;&gt;"Xn")*(COUNTIFS($C$3:$K$3,"MAT",$C8:$K8,X$3)=0)*(COUNTIFS($C$3:$K$3,"POM",$C8:$K8,X$3)=0)*(COUNTIFS($C$3:$K$3,"SERA",$C8:$K8,X$3)=0)*(COUNTIFS($C$3:$K$3,"NOTTE",$C8:$K8,X$3)=0))=4,X$3&amp;", ",X$3&amp;IF((X8&lt;&gt;"Xm")*(COUNTIFS($C$3:$K$3,"MAT",$C8:$K8,X$3)=0)*(COUNTIFS($C$3:$K$3,"NOTTE",$C8:$K8,X$3)=0),"_m","")&amp;IF((X8&lt;&gt;"Xp")*(COUNTIFS($C$3:$K$3,"POM",$C8:$K8,X$3)=0)*(COUNTIFS($C$3:$K$3,"NOTTE",$C8:$K8,X$3)=0),"_p","")&amp;IF((X8&lt;&gt;"Xs")*(X8&lt;&gt;"Cs")*(COUNTIFS($C$3:$K$3,"SERA",$C8:$K8,X$3)=0)*(COUNTIFS($C$3:$K$3,"NOTTE",$C8:$K8,X$3)=0),"_s","")&amp;IF((X8&lt;&gt;"Xn")*(COUNTIFS($C$3:$K$3,"MAT",$C8:$K8,X$3)=0)*(COUNTIFS($C$3:$K$3,"POM",$C8:$K8,X$3)=0)*(COUNTIFS($C$3:$K$3,"SERA",$C8:$K8,X$3)=0)*(COUNTIFS($C$3:$K$3,"NOTTE",$C8:$K8,X$3)=0),"_n","")&amp;", ")))</f>
        <v>CARLA, </v>
      </c>
      <c r="BD8" s="10" t="str">
        <f aca="false">IF((Y8="X")+(Y8="F")&gt;0,"",IF(((Y8&lt;&gt;"Xm")*(COUNTIFS($C$3:$K$3,"MAT",$C8:$K8,Y$3)=0)*(COUNTIFS($C$3:$K$3,"NOTTE",$C8:$K8,Y$3)=0))+((Y8&lt;&gt;"Xp")*(COUNTIFS($C$3:$K$3,"POM",$C8:$K8,Y$3)=0)*(COUNTIFS($C$3:$K$3,"NOTTE",$C8:$K8,Y$3)=0))+((Y8&lt;&gt;"Xs")*(Y8&lt;&gt;"Cs")*(COUNTIFS($C$3:$K$3,"SERA",$C8:$K8,Y$3)=0)*(COUNTIFS($C$3:$K$3,"NOTTE",$C8:$K8,Y$3)=0))+((Y8&lt;&gt;"Xn")*(COUNTIFS($C$3:$K$3,"MAT",$C8:$K8,Y$3)=0)*(COUNTIFS($C$3:$K$3,"POM",$C8:$K8,Y$3)=0)*(COUNTIFS($C$3:$K$3,"SERA",$C8:$K8,Y$3)=0)*(COUNTIFS($C$3:$K$3,"NOTTE",$C8:$K8,Y$3)=0))=0,"",IF(((Y8&lt;&gt;"Xm")*(COUNTIFS($C$3:$K$3,"MAT",$C8:$K8,Y$3)=0)*(COUNTIFS($C$3:$K$3,"NOTTE",$C8:$K8,Y$3)=0))+((Y8&lt;&gt;"Xp")*(COUNTIFS($C$3:$K$3,"POM",$C8:$K8,Y$3)=0)*(COUNTIFS($C$3:$K$3,"NOTTE",$C8:$K8,Y$3)=0))+((Y8&lt;&gt;"Xs")*(Y8&lt;&gt;"Cs")*(COUNTIFS($C$3:$K$3,"SERA",$C8:$K8,Y$3)=0)*(COUNTIFS($C$3:$K$3,"NOTTE",$C8:$K8,Y$3)=0))+((Y8&lt;&gt;"Xn")*(COUNTIFS($C$3:$K$3,"MAT",$C8:$K8,Y$3)=0)*(COUNTIFS($C$3:$K$3,"POM",$C8:$K8,Y$3)=0)*(COUNTIFS($C$3:$K$3,"SERA",$C8:$K8,Y$3)=0)*(COUNTIFS($C$3:$K$3,"NOTTE",$C8:$K8,Y$3)=0))=4,Y$3&amp;", ",Y$3&amp;IF((Y8&lt;&gt;"Xm")*(COUNTIFS($C$3:$K$3,"MAT",$C8:$K8,Y$3)=0)*(COUNTIFS($C$3:$K$3,"NOTTE",$C8:$K8,Y$3)=0),"_m","")&amp;IF((Y8&lt;&gt;"Xp")*(COUNTIFS($C$3:$K$3,"POM",$C8:$K8,Y$3)=0)*(COUNTIFS($C$3:$K$3,"NOTTE",$C8:$K8,Y$3)=0),"_p","")&amp;IF((Y8&lt;&gt;"Xs")*(Y8&lt;&gt;"Cs")*(COUNTIFS($C$3:$K$3,"SERA",$C8:$K8,Y$3)=0)*(COUNTIFS($C$3:$K$3,"NOTTE",$C8:$K8,Y$3)=0),"_s","")&amp;IF((Y8&lt;&gt;"Xn")*(COUNTIFS($C$3:$K$3,"MAT",$C8:$K8,Y$3)=0)*(COUNTIFS($C$3:$K$3,"POM",$C8:$K8,Y$3)=0)*(COUNTIFS($C$3:$K$3,"SERA",$C8:$K8,Y$3)=0)*(COUNTIFS($C$3:$K$3,"NOTTE",$C8:$K8,Y$3)=0),"_n","")&amp;", ")))</f>
        <v>DINO, </v>
      </c>
      <c r="BE8" s="10" t="str">
        <f aca="false">IF((Z8="X")+(Z8="F")&gt;0,"",IF(((Z8&lt;&gt;"Xm")*(COUNTIFS($C$3:$K$3,"MAT",$C8:$K8,Z$3)=0)*(COUNTIFS($C$3:$K$3,"NOTTE",$C8:$K8,Z$3)=0))+((Z8&lt;&gt;"Xp")*(COUNTIFS($C$3:$K$3,"POM",$C8:$K8,Z$3)=0)*(COUNTIFS($C$3:$K$3,"NOTTE",$C8:$K8,Z$3)=0))+((Z8&lt;&gt;"Xs")*(Z8&lt;&gt;"Cs")*(COUNTIFS($C$3:$K$3,"SERA",$C8:$K8,Z$3)=0)*(COUNTIFS($C$3:$K$3,"NOTTE",$C8:$K8,Z$3)=0))+((Z8&lt;&gt;"Xn")*(COUNTIFS($C$3:$K$3,"MAT",$C8:$K8,Z$3)=0)*(COUNTIFS($C$3:$K$3,"POM",$C8:$K8,Z$3)=0)*(COUNTIFS($C$3:$K$3,"SERA",$C8:$K8,Z$3)=0)*(COUNTIFS($C$3:$K$3,"NOTTE",$C8:$K8,Z$3)=0))=0,"",IF(((Z8&lt;&gt;"Xm")*(COUNTIFS($C$3:$K$3,"MAT",$C8:$K8,Z$3)=0)*(COUNTIFS($C$3:$K$3,"NOTTE",$C8:$K8,Z$3)=0))+((Z8&lt;&gt;"Xp")*(COUNTIFS($C$3:$K$3,"POM",$C8:$K8,Z$3)=0)*(COUNTIFS($C$3:$K$3,"NOTTE",$C8:$K8,Z$3)=0))+((Z8&lt;&gt;"Xs")*(Z8&lt;&gt;"Cs")*(COUNTIFS($C$3:$K$3,"SERA",$C8:$K8,Z$3)=0)*(COUNTIFS($C$3:$K$3,"NOTTE",$C8:$K8,Z$3)=0))+((Z8&lt;&gt;"Xn")*(COUNTIFS($C$3:$K$3,"MAT",$C8:$K8,Z$3)=0)*(COUNTIFS($C$3:$K$3,"POM",$C8:$K8,Z$3)=0)*(COUNTIFS($C$3:$K$3,"SERA",$C8:$K8,Z$3)=0)*(COUNTIFS($C$3:$K$3,"NOTTE",$C8:$K8,Z$3)=0))=4,Z$3&amp;", ",Z$3&amp;IF((Z8&lt;&gt;"Xm")*(COUNTIFS($C$3:$K$3,"MAT",$C8:$K8,Z$3)=0)*(COUNTIFS($C$3:$K$3,"NOTTE",$C8:$K8,Z$3)=0),"_m","")&amp;IF((Z8&lt;&gt;"Xp")*(COUNTIFS($C$3:$K$3,"POM",$C8:$K8,Z$3)=0)*(COUNTIFS($C$3:$K$3,"NOTTE",$C8:$K8,Z$3)=0),"_p","")&amp;IF((Z8&lt;&gt;"Xs")*(Z8&lt;&gt;"Cs")*(COUNTIFS($C$3:$K$3,"SERA",$C8:$K8,Z$3)=0)*(COUNTIFS($C$3:$K$3,"NOTTE",$C8:$K8,Z$3)=0),"_s","")&amp;IF((Z8&lt;&gt;"Xn")*(COUNTIFS($C$3:$K$3,"MAT",$C8:$K8,Z$3)=0)*(COUNTIFS($C$3:$K$3,"POM",$C8:$K8,Z$3)=0)*(COUNTIFS($C$3:$K$3,"SERA",$C8:$K8,Z$3)=0)*(COUNTIFS($C$3:$K$3,"NOTTE",$C8:$K8,Z$3)=0),"_n","")&amp;", ")))</f>
        <v>ELSA, </v>
      </c>
      <c r="BF8" s="10" t="str">
        <f aca="false">IF((AA8="X")+(AA8="F")&gt;0,"",IF(((AA8&lt;&gt;"Xm")*(COUNTIFS($C$3:$K$3,"MAT",$C8:$K8,AA$3)=0)*(COUNTIFS($C$3:$K$3,"NOTTE",$C8:$K8,AA$3)=0))+((AA8&lt;&gt;"Xp")*(COUNTIFS($C$3:$K$3,"POM",$C8:$K8,AA$3)=0)*(COUNTIFS($C$3:$K$3,"NOTTE",$C8:$K8,AA$3)=0))+((AA8&lt;&gt;"Xs")*(AA8&lt;&gt;"Cs")*(COUNTIFS($C$3:$K$3,"SERA",$C8:$K8,AA$3)=0)*(COUNTIFS($C$3:$K$3,"NOTTE",$C8:$K8,AA$3)=0))+((AA8&lt;&gt;"Xn")*(COUNTIFS($C$3:$K$3,"MAT",$C8:$K8,AA$3)=0)*(COUNTIFS($C$3:$K$3,"POM",$C8:$K8,AA$3)=0)*(COUNTIFS($C$3:$K$3,"SERA",$C8:$K8,AA$3)=0)*(COUNTIFS($C$3:$K$3,"NOTTE",$C8:$K8,AA$3)=0))=0,"",IF(((AA8&lt;&gt;"Xm")*(COUNTIFS($C$3:$K$3,"MAT",$C8:$K8,AA$3)=0)*(COUNTIFS($C$3:$K$3,"NOTTE",$C8:$K8,AA$3)=0))+((AA8&lt;&gt;"Xp")*(COUNTIFS($C$3:$K$3,"POM",$C8:$K8,AA$3)=0)*(COUNTIFS($C$3:$K$3,"NOTTE",$C8:$K8,AA$3)=0))+((AA8&lt;&gt;"Xs")*(AA8&lt;&gt;"Cs")*(COUNTIFS($C$3:$K$3,"SERA",$C8:$K8,AA$3)=0)*(COUNTIFS($C$3:$K$3,"NOTTE",$C8:$K8,AA$3)=0))+((AA8&lt;&gt;"Xn")*(COUNTIFS($C$3:$K$3,"MAT",$C8:$K8,AA$3)=0)*(COUNTIFS($C$3:$K$3,"POM",$C8:$K8,AA$3)=0)*(COUNTIFS($C$3:$K$3,"SERA",$C8:$K8,AA$3)=0)*(COUNTIFS($C$3:$K$3,"NOTTE",$C8:$K8,AA$3)=0))=4,AA$3&amp;", ",AA$3&amp;IF((AA8&lt;&gt;"Xm")*(COUNTIFS($C$3:$K$3,"MAT",$C8:$K8,AA$3)=0)*(COUNTIFS($C$3:$K$3,"NOTTE",$C8:$K8,AA$3)=0),"_m","")&amp;IF((AA8&lt;&gt;"Xp")*(COUNTIFS($C$3:$K$3,"POM",$C8:$K8,AA$3)=0)*(COUNTIFS($C$3:$K$3,"NOTTE",$C8:$K8,AA$3)=0),"_p","")&amp;IF((AA8&lt;&gt;"Xs")*(AA8&lt;&gt;"Cs")*(COUNTIFS($C$3:$K$3,"SERA",$C8:$K8,AA$3)=0)*(COUNTIFS($C$3:$K$3,"NOTTE",$C8:$K8,AA$3)=0),"_s","")&amp;IF((AA8&lt;&gt;"Xn")*(COUNTIFS($C$3:$K$3,"MAT",$C8:$K8,AA$3)=0)*(COUNTIFS($C$3:$K$3,"POM",$C8:$K8,AA$3)=0)*(COUNTIFS($C$3:$K$3,"SERA",$C8:$K8,AA$3)=0)*(COUNTIFS($C$3:$K$3,"NOTTE",$C8:$K8,AA$3)=0),"_n","")&amp;", ")))</f>
        <v>FABIO, </v>
      </c>
    </row>
    <row r="9" customFormat="false" ht="15" hidden="false" customHeight="false" outlineLevel="0" collapsed="false">
      <c r="A9" s="11" t="str">
        <f aca="false">CHOOSE(WEEKDAY(DATE($B$1,$A$2,B9),2),"lunedì","martedì","mercoledì","giovedì","venerdì","sabato","domenica")</f>
        <v>sabato</v>
      </c>
      <c r="B9" s="11" t="n">
        <v>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 t="str">
        <f aca="false">IF(SUMPRODUCT(($C$3:$K$3&lt;&gt;"")*($C9:$K9&lt;&gt;"")*(COUNTIFS($C9:$K9,$C9:$K9,$C$3:$K$3,$C$3:$K$3)&gt;1))&gt;0,"X","")</f>
        <v/>
      </c>
      <c r="N9" s="11" t="str">
        <f aca="false">IF(LEN(AT9&amp;AU9&amp;AV9&amp;AW9&amp;AX9&amp;AY9)=0,"",LEFT(AT9&amp;AU9&amp;AV9&amp;AW9&amp;AX9&amp;AY9,LEN(AT9&amp;AU9&amp;AV9&amp;AW9&amp;AX9&amp;AY9)-2))</f>
        <v>ALBA, BRUNO, CARLA, DINO, ELSA, FABIO</v>
      </c>
      <c r="O9" s="11" t="str">
        <f aca="false">IF(LEN(BA9&amp;BB9&amp;BC9&amp;BD9&amp;BE9&amp;BF9)=0,"",LEFT(BA9&amp;BB9&amp;BC9&amp;BD9&amp;BE9&amp;BF9,LEN(BA9&amp;BB9&amp;BC9&amp;BD9&amp;BE9&amp;BF9)-2))</f>
        <v>ALBA, BRUNO, CARLA, DINO, ELSA, FABIO</v>
      </c>
      <c r="T9" s="11" t="str">
        <f aca="false">A9</f>
        <v>sabato</v>
      </c>
      <c r="U9" s="11" t="n">
        <f aca="false">B9</f>
        <v>6</v>
      </c>
      <c r="V9" s="11"/>
      <c r="W9" s="11"/>
      <c r="X9" s="11"/>
      <c r="Y9" s="11"/>
      <c r="Z9" s="11"/>
      <c r="AA9" s="11"/>
      <c r="AC9" s="6" t="s">
        <v>40</v>
      </c>
      <c r="AD9" s="7" t="s">
        <v>41</v>
      </c>
      <c r="AF9" s="8" t="str">
        <f aca="false">AA$3</f>
        <v>FABIO</v>
      </c>
      <c r="AG9" s="8" t="n">
        <f aca="false">COUNTIF($C$4:$E$34,$AF9)</f>
        <v>0</v>
      </c>
      <c r="AH9" s="8" t="n">
        <f aca="false">COUNTIF($F$4:$H$34,$AF9)</f>
        <v>0</v>
      </c>
      <c r="AI9" s="8" t="n">
        <f aca="false">COUNTIF($I$4:$J$34,$AF9)</f>
        <v>0</v>
      </c>
      <c r="AJ9" s="8" t="n">
        <f aca="false">COUNTIF($K$4:$K$34,$AF9)</f>
        <v>0</v>
      </c>
      <c r="AK9" s="8" t="n">
        <f aca="false">COUNTIF($C$4:$K$34,$AF9)</f>
        <v>0</v>
      </c>
      <c r="AM9" s="9" t="str">
        <f aca="false">AA$3</f>
        <v>FABIO</v>
      </c>
      <c r="AN9" s="9"/>
      <c r="AO9" s="9"/>
      <c r="AP9" s="9"/>
      <c r="AQ9" s="9"/>
      <c r="AR9" s="9"/>
      <c r="AT9" s="10" t="str">
        <f aca="false">IF((V9="X")+(V9="F")&gt;0,"",IF(((V9&lt;&gt;"Xm"))+((V9&lt;&gt;"Xp"))+((V9&lt;&gt;"Xs")*(V9&lt;&gt;"Cs"))+((V9&lt;&gt;"Xn"))=0,"",IF(((V9&lt;&gt;"Xm"))+((V9&lt;&gt;"Xp"))+((V9&lt;&gt;"Xs")*(V9&lt;&gt;"Cs"))+((V9&lt;&gt;"Xn"))=4,V$3&amp;", ",V$3&amp;IF((V9&lt;&gt;"Xm"),"_m","")&amp;IF((V9&lt;&gt;"Xp"),"_p","")&amp;IF((V9&lt;&gt;"Xs")*(V9&lt;&gt;"Cs"),"_s","")&amp;IF((V9&lt;&gt;"Xn"),"_n","")&amp;", ")))</f>
        <v>ALBA, </v>
      </c>
      <c r="AU9" s="10" t="str">
        <f aca="false">IF((W9="X")+(W9="F")&gt;0,"",IF(((W9&lt;&gt;"Xm"))+((W9&lt;&gt;"Xp"))+((W9&lt;&gt;"Xs")*(W9&lt;&gt;"Cs"))+((W9&lt;&gt;"Xn"))=0,"",IF(((W9&lt;&gt;"Xm"))+((W9&lt;&gt;"Xp"))+((W9&lt;&gt;"Xs")*(W9&lt;&gt;"Cs"))+((W9&lt;&gt;"Xn"))=4,W$3&amp;", ",W$3&amp;IF((W9&lt;&gt;"Xm"),"_m","")&amp;IF((W9&lt;&gt;"Xp"),"_p","")&amp;IF((W9&lt;&gt;"Xs")*(W9&lt;&gt;"Cs"),"_s","")&amp;IF((W9&lt;&gt;"Xn"),"_n","")&amp;", ")))</f>
        <v>BRUNO, </v>
      </c>
      <c r="AV9" s="10" t="str">
        <f aca="false">IF((X9="X")+(X9="F")&gt;0,"",IF(((X9&lt;&gt;"Xm"))+((X9&lt;&gt;"Xp"))+((X9&lt;&gt;"Xs")*(X9&lt;&gt;"Cs"))+((X9&lt;&gt;"Xn"))=0,"",IF(((X9&lt;&gt;"Xm"))+((X9&lt;&gt;"Xp"))+((X9&lt;&gt;"Xs")*(X9&lt;&gt;"Cs"))+((X9&lt;&gt;"Xn"))=4,X$3&amp;", ",X$3&amp;IF((X9&lt;&gt;"Xm"),"_m","")&amp;IF((X9&lt;&gt;"Xp"),"_p","")&amp;IF((X9&lt;&gt;"Xs")*(X9&lt;&gt;"Cs"),"_s","")&amp;IF((X9&lt;&gt;"Xn"),"_n","")&amp;", ")))</f>
        <v>CARLA, </v>
      </c>
      <c r="AW9" s="10" t="str">
        <f aca="false">IF((Y9="X")+(Y9="F")&gt;0,"",IF(((Y9&lt;&gt;"Xm"))+((Y9&lt;&gt;"Xp"))+((Y9&lt;&gt;"Xs")*(Y9&lt;&gt;"Cs"))+((Y9&lt;&gt;"Xn"))=0,"",IF(((Y9&lt;&gt;"Xm"))+((Y9&lt;&gt;"Xp"))+((Y9&lt;&gt;"Xs")*(Y9&lt;&gt;"Cs"))+((Y9&lt;&gt;"Xn"))=4,Y$3&amp;", ",Y$3&amp;IF((Y9&lt;&gt;"Xm"),"_m","")&amp;IF((Y9&lt;&gt;"Xp"),"_p","")&amp;IF((Y9&lt;&gt;"Xs")*(Y9&lt;&gt;"Cs"),"_s","")&amp;IF((Y9&lt;&gt;"Xn"),"_n","")&amp;", ")))</f>
        <v>DINO, </v>
      </c>
      <c r="AX9" s="10" t="str">
        <f aca="false">IF((Z9="X")+(Z9="F")&gt;0,"",IF(((Z9&lt;&gt;"Xm"))+((Z9&lt;&gt;"Xp"))+((Z9&lt;&gt;"Xs")*(Z9&lt;&gt;"Cs"))+((Z9&lt;&gt;"Xn"))=0,"",IF(((Z9&lt;&gt;"Xm"))+((Z9&lt;&gt;"Xp"))+((Z9&lt;&gt;"Xs")*(Z9&lt;&gt;"Cs"))+((Z9&lt;&gt;"Xn"))=4,Z$3&amp;", ",Z$3&amp;IF((Z9&lt;&gt;"Xm"),"_m","")&amp;IF((Z9&lt;&gt;"Xp"),"_p","")&amp;IF((Z9&lt;&gt;"Xs")*(Z9&lt;&gt;"Cs"),"_s","")&amp;IF((Z9&lt;&gt;"Xn"),"_n","")&amp;", ")))</f>
        <v>ELSA, </v>
      </c>
      <c r="AY9" s="10" t="str">
        <f aca="false">IF((AA9="X")+(AA9="F")&gt;0,"",IF(((AA9&lt;&gt;"Xm"))+((AA9&lt;&gt;"Xp"))+((AA9&lt;&gt;"Xs")*(AA9&lt;&gt;"Cs"))+((AA9&lt;&gt;"Xn"))=0,"",IF(((AA9&lt;&gt;"Xm"))+((AA9&lt;&gt;"Xp"))+((AA9&lt;&gt;"Xs")*(AA9&lt;&gt;"Cs"))+((AA9&lt;&gt;"Xn"))=4,AA$3&amp;", ",AA$3&amp;IF((AA9&lt;&gt;"Xm"),"_m","")&amp;IF((AA9&lt;&gt;"Xp"),"_p","")&amp;IF((AA9&lt;&gt;"Xs")*(AA9&lt;&gt;"Cs"),"_s","")&amp;IF((AA9&lt;&gt;"Xn"),"_n","")&amp;", ")))</f>
        <v>FABIO, </v>
      </c>
      <c r="AZ9" s="10"/>
      <c r="BA9" s="10" t="str">
        <f aca="false">IF((V9="X")+(V9="F")&gt;0,"",IF(((V9&lt;&gt;"Xm")*(COUNTIFS($C$3:$K$3,"MAT",$C9:$K9,V$3)=0)*(COUNTIFS($C$3:$K$3,"NOTTE",$C9:$K9,V$3)=0))+((V9&lt;&gt;"Xp")*(COUNTIFS($C$3:$K$3,"POM",$C9:$K9,V$3)=0)*(COUNTIFS($C$3:$K$3,"NOTTE",$C9:$K9,V$3)=0))+((V9&lt;&gt;"Xs")*(V9&lt;&gt;"Cs")*(COUNTIFS($C$3:$K$3,"SERA",$C9:$K9,V$3)=0)*(COUNTIFS($C$3:$K$3,"NOTTE",$C9:$K9,V$3)=0))+((V9&lt;&gt;"Xn")*(COUNTIFS($C$3:$K$3,"MAT",$C9:$K9,V$3)=0)*(COUNTIFS($C$3:$K$3,"POM",$C9:$K9,V$3)=0)*(COUNTIFS($C$3:$K$3,"SERA",$C9:$K9,V$3)=0)*(COUNTIFS($C$3:$K$3,"NOTTE",$C9:$K9,V$3)=0))=0,"",IF(((V9&lt;&gt;"Xm")*(COUNTIFS($C$3:$K$3,"MAT",$C9:$K9,V$3)=0)*(COUNTIFS($C$3:$K$3,"NOTTE",$C9:$K9,V$3)=0))+((V9&lt;&gt;"Xp")*(COUNTIFS($C$3:$K$3,"POM",$C9:$K9,V$3)=0)*(COUNTIFS($C$3:$K$3,"NOTTE",$C9:$K9,V$3)=0))+((V9&lt;&gt;"Xs")*(V9&lt;&gt;"Cs")*(COUNTIFS($C$3:$K$3,"SERA",$C9:$K9,V$3)=0)*(COUNTIFS($C$3:$K$3,"NOTTE",$C9:$K9,V$3)=0))+((V9&lt;&gt;"Xn")*(COUNTIFS($C$3:$K$3,"MAT",$C9:$K9,V$3)=0)*(COUNTIFS($C$3:$K$3,"POM",$C9:$K9,V$3)=0)*(COUNTIFS($C$3:$K$3,"SERA",$C9:$K9,V$3)=0)*(COUNTIFS($C$3:$K$3,"NOTTE",$C9:$K9,V$3)=0))=4,V$3&amp;", ",V$3&amp;IF((V9&lt;&gt;"Xm")*(COUNTIFS($C$3:$K$3,"MAT",$C9:$K9,V$3)=0)*(COUNTIFS($C$3:$K$3,"NOTTE",$C9:$K9,V$3)=0),"_m","")&amp;IF((V9&lt;&gt;"Xp")*(COUNTIFS($C$3:$K$3,"POM",$C9:$K9,V$3)=0)*(COUNTIFS($C$3:$K$3,"NOTTE",$C9:$K9,V$3)=0),"_p","")&amp;IF((V9&lt;&gt;"Xs")*(V9&lt;&gt;"Cs")*(COUNTIFS($C$3:$K$3,"SERA",$C9:$K9,V$3)=0)*(COUNTIFS($C$3:$K$3,"NOTTE",$C9:$K9,V$3)=0),"_s","")&amp;IF((V9&lt;&gt;"Xn")*(COUNTIFS($C$3:$K$3,"MAT",$C9:$K9,V$3)=0)*(COUNTIFS($C$3:$K$3,"POM",$C9:$K9,V$3)=0)*(COUNTIFS($C$3:$K$3,"SERA",$C9:$K9,V$3)=0)*(COUNTIFS($C$3:$K$3,"NOTTE",$C9:$K9,V$3)=0),"_n","")&amp;", ")))</f>
        <v>ALBA, </v>
      </c>
      <c r="BB9" s="10" t="str">
        <f aca="false">IF((W9="X")+(W9="F")&gt;0,"",IF(((W9&lt;&gt;"Xm")*(COUNTIFS($C$3:$K$3,"MAT",$C9:$K9,W$3)=0)*(COUNTIFS($C$3:$K$3,"NOTTE",$C9:$K9,W$3)=0))+((W9&lt;&gt;"Xp")*(COUNTIFS($C$3:$K$3,"POM",$C9:$K9,W$3)=0)*(COUNTIFS($C$3:$K$3,"NOTTE",$C9:$K9,W$3)=0))+((W9&lt;&gt;"Xs")*(W9&lt;&gt;"Cs")*(COUNTIFS($C$3:$K$3,"SERA",$C9:$K9,W$3)=0)*(COUNTIFS($C$3:$K$3,"NOTTE",$C9:$K9,W$3)=0))+((W9&lt;&gt;"Xn")*(COUNTIFS($C$3:$K$3,"MAT",$C9:$K9,W$3)=0)*(COUNTIFS($C$3:$K$3,"POM",$C9:$K9,W$3)=0)*(COUNTIFS($C$3:$K$3,"SERA",$C9:$K9,W$3)=0)*(COUNTIFS($C$3:$K$3,"NOTTE",$C9:$K9,W$3)=0))=0,"",IF(((W9&lt;&gt;"Xm")*(COUNTIFS($C$3:$K$3,"MAT",$C9:$K9,W$3)=0)*(COUNTIFS($C$3:$K$3,"NOTTE",$C9:$K9,W$3)=0))+((W9&lt;&gt;"Xp")*(COUNTIFS($C$3:$K$3,"POM",$C9:$K9,W$3)=0)*(COUNTIFS($C$3:$K$3,"NOTTE",$C9:$K9,W$3)=0))+((W9&lt;&gt;"Xs")*(W9&lt;&gt;"Cs")*(COUNTIFS($C$3:$K$3,"SERA",$C9:$K9,W$3)=0)*(COUNTIFS($C$3:$K$3,"NOTTE",$C9:$K9,W$3)=0))+((W9&lt;&gt;"Xn")*(COUNTIFS($C$3:$K$3,"MAT",$C9:$K9,W$3)=0)*(COUNTIFS($C$3:$K$3,"POM",$C9:$K9,W$3)=0)*(COUNTIFS($C$3:$K$3,"SERA",$C9:$K9,W$3)=0)*(COUNTIFS($C$3:$K$3,"NOTTE",$C9:$K9,W$3)=0))=4,W$3&amp;", ",W$3&amp;IF((W9&lt;&gt;"Xm")*(COUNTIFS($C$3:$K$3,"MAT",$C9:$K9,W$3)=0)*(COUNTIFS($C$3:$K$3,"NOTTE",$C9:$K9,W$3)=0),"_m","")&amp;IF((W9&lt;&gt;"Xp")*(COUNTIFS($C$3:$K$3,"POM",$C9:$K9,W$3)=0)*(COUNTIFS($C$3:$K$3,"NOTTE",$C9:$K9,W$3)=0),"_p","")&amp;IF((W9&lt;&gt;"Xs")*(W9&lt;&gt;"Cs")*(COUNTIFS($C$3:$K$3,"SERA",$C9:$K9,W$3)=0)*(COUNTIFS($C$3:$K$3,"NOTTE",$C9:$K9,W$3)=0),"_s","")&amp;IF((W9&lt;&gt;"Xn")*(COUNTIFS($C$3:$K$3,"MAT",$C9:$K9,W$3)=0)*(COUNTIFS($C$3:$K$3,"POM",$C9:$K9,W$3)=0)*(COUNTIFS($C$3:$K$3,"SERA",$C9:$K9,W$3)=0)*(COUNTIFS($C$3:$K$3,"NOTTE",$C9:$K9,W$3)=0),"_n","")&amp;", ")))</f>
        <v>BRUNO, </v>
      </c>
      <c r="BC9" s="10" t="str">
        <f aca="false">IF((X9="X")+(X9="F")&gt;0,"",IF(((X9&lt;&gt;"Xm")*(COUNTIFS($C$3:$K$3,"MAT",$C9:$K9,X$3)=0)*(COUNTIFS($C$3:$K$3,"NOTTE",$C9:$K9,X$3)=0))+((X9&lt;&gt;"Xp")*(COUNTIFS($C$3:$K$3,"POM",$C9:$K9,X$3)=0)*(COUNTIFS($C$3:$K$3,"NOTTE",$C9:$K9,X$3)=0))+((X9&lt;&gt;"Xs")*(X9&lt;&gt;"Cs")*(COUNTIFS($C$3:$K$3,"SERA",$C9:$K9,X$3)=0)*(COUNTIFS($C$3:$K$3,"NOTTE",$C9:$K9,X$3)=0))+((X9&lt;&gt;"Xn")*(COUNTIFS($C$3:$K$3,"MAT",$C9:$K9,X$3)=0)*(COUNTIFS($C$3:$K$3,"POM",$C9:$K9,X$3)=0)*(COUNTIFS($C$3:$K$3,"SERA",$C9:$K9,X$3)=0)*(COUNTIFS($C$3:$K$3,"NOTTE",$C9:$K9,X$3)=0))=0,"",IF(((X9&lt;&gt;"Xm")*(COUNTIFS($C$3:$K$3,"MAT",$C9:$K9,X$3)=0)*(COUNTIFS($C$3:$K$3,"NOTTE",$C9:$K9,X$3)=0))+((X9&lt;&gt;"Xp")*(COUNTIFS($C$3:$K$3,"POM",$C9:$K9,X$3)=0)*(COUNTIFS($C$3:$K$3,"NOTTE",$C9:$K9,X$3)=0))+((X9&lt;&gt;"Xs")*(X9&lt;&gt;"Cs")*(COUNTIFS($C$3:$K$3,"SERA",$C9:$K9,X$3)=0)*(COUNTIFS($C$3:$K$3,"NOTTE",$C9:$K9,X$3)=0))+((X9&lt;&gt;"Xn")*(COUNTIFS($C$3:$K$3,"MAT",$C9:$K9,X$3)=0)*(COUNTIFS($C$3:$K$3,"POM",$C9:$K9,X$3)=0)*(COUNTIFS($C$3:$K$3,"SERA",$C9:$K9,X$3)=0)*(COUNTIFS($C$3:$K$3,"NOTTE",$C9:$K9,X$3)=0))=4,X$3&amp;", ",X$3&amp;IF((X9&lt;&gt;"Xm")*(COUNTIFS($C$3:$K$3,"MAT",$C9:$K9,X$3)=0)*(COUNTIFS($C$3:$K$3,"NOTTE",$C9:$K9,X$3)=0),"_m","")&amp;IF((X9&lt;&gt;"Xp")*(COUNTIFS($C$3:$K$3,"POM",$C9:$K9,X$3)=0)*(COUNTIFS($C$3:$K$3,"NOTTE",$C9:$K9,X$3)=0),"_p","")&amp;IF((X9&lt;&gt;"Xs")*(X9&lt;&gt;"Cs")*(COUNTIFS($C$3:$K$3,"SERA",$C9:$K9,X$3)=0)*(COUNTIFS($C$3:$K$3,"NOTTE",$C9:$K9,X$3)=0),"_s","")&amp;IF((X9&lt;&gt;"Xn")*(COUNTIFS($C$3:$K$3,"MAT",$C9:$K9,X$3)=0)*(COUNTIFS($C$3:$K$3,"POM",$C9:$K9,X$3)=0)*(COUNTIFS($C$3:$K$3,"SERA",$C9:$K9,X$3)=0)*(COUNTIFS($C$3:$K$3,"NOTTE",$C9:$K9,X$3)=0),"_n","")&amp;", ")))</f>
        <v>CARLA, </v>
      </c>
      <c r="BD9" s="10" t="str">
        <f aca="false">IF((Y9="X")+(Y9="F")&gt;0,"",IF(((Y9&lt;&gt;"Xm")*(COUNTIFS($C$3:$K$3,"MAT",$C9:$K9,Y$3)=0)*(COUNTIFS($C$3:$K$3,"NOTTE",$C9:$K9,Y$3)=0))+((Y9&lt;&gt;"Xp")*(COUNTIFS($C$3:$K$3,"POM",$C9:$K9,Y$3)=0)*(COUNTIFS($C$3:$K$3,"NOTTE",$C9:$K9,Y$3)=0))+((Y9&lt;&gt;"Xs")*(Y9&lt;&gt;"Cs")*(COUNTIFS($C$3:$K$3,"SERA",$C9:$K9,Y$3)=0)*(COUNTIFS($C$3:$K$3,"NOTTE",$C9:$K9,Y$3)=0))+((Y9&lt;&gt;"Xn")*(COUNTIFS($C$3:$K$3,"MAT",$C9:$K9,Y$3)=0)*(COUNTIFS($C$3:$K$3,"POM",$C9:$K9,Y$3)=0)*(COUNTIFS($C$3:$K$3,"SERA",$C9:$K9,Y$3)=0)*(COUNTIFS($C$3:$K$3,"NOTTE",$C9:$K9,Y$3)=0))=0,"",IF(((Y9&lt;&gt;"Xm")*(COUNTIFS($C$3:$K$3,"MAT",$C9:$K9,Y$3)=0)*(COUNTIFS($C$3:$K$3,"NOTTE",$C9:$K9,Y$3)=0))+((Y9&lt;&gt;"Xp")*(COUNTIFS($C$3:$K$3,"POM",$C9:$K9,Y$3)=0)*(COUNTIFS($C$3:$K$3,"NOTTE",$C9:$K9,Y$3)=0))+((Y9&lt;&gt;"Xs")*(Y9&lt;&gt;"Cs")*(COUNTIFS($C$3:$K$3,"SERA",$C9:$K9,Y$3)=0)*(COUNTIFS($C$3:$K$3,"NOTTE",$C9:$K9,Y$3)=0))+((Y9&lt;&gt;"Xn")*(COUNTIFS($C$3:$K$3,"MAT",$C9:$K9,Y$3)=0)*(COUNTIFS($C$3:$K$3,"POM",$C9:$K9,Y$3)=0)*(COUNTIFS($C$3:$K$3,"SERA",$C9:$K9,Y$3)=0)*(COUNTIFS($C$3:$K$3,"NOTTE",$C9:$K9,Y$3)=0))=4,Y$3&amp;", ",Y$3&amp;IF((Y9&lt;&gt;"Xm")*(COUNTIFS($C$3:$K$3,"MAT",$C9:$K9,Y$3)=0)*(COUNTIFS($C$3:$K$3,"NOTTE",$C9:$K9,Y$3)=0),"_m","")&amp;IF((Y9&lt;&gt;"Xp")*(COUNTIFS($C$3:$K$3,"POM",$C9:$K9,Y$3)=0)*(COUNTIFS($C$3:$K$3,"NOTTE",$C9:$K9,Y$3)=0),"_p","")&amp;IF((Y9&lt;&gt;"Xs")*(Y9&lt;&gt;"Cs")*(COUNTIFS($C$3:$K$3,"SERA",$C9:$K9,Y$3)=0)*(COUNTIFS($C$3:$K$3,"NOTTE",$C9:$K9,Y$3)=0),"_s","")&amp;IF((Y9&lt;&gt;"Xn")*(COUNTIFS($C$3:$K$3,"MAT",$C9:$K9,Y$3)=0)*(COUNTIFS($C$3:$K$3,"POM",$C9:$K9,Y$3)=0)*(COUNTIFS($C$3:$K$3,"SERA",$C9:$K9,Y$3)=0)*(COUNTIFS($C$3:$K$3,"NOTTE",$C9:$K9,Y$3)=0),"_n","")&amp;", ")))</f>
        <v>DINO, </v>
      </c>
      <c r="BE9" s="10" t="str">
        <f aca="false">IF((Z9="X")+(Z9="F")&gt;0,"",IF(((Z9&lt;&gt;"Xm")*(COUNTIFS($C$3:$K$3,"MAT",$C9:$K9,Z$3)=0)*(COUNTIFS($C$3:$K$3,"NOTTE",$C9:$K9,Z$3)=0))+((Z9&lt;&gt;"Xp")*(COUNTIFS($C$3:$K$3,"POM",$C9:$K9,Z$3)=0)*(COUNTIFS($C$3:$K$3,"NOTTE",$C9:$K9,Z$3)=0))+((Z9&lt;&gt;"Xs")*(Z9&lt;&gt;"Cs")*(COUNTIFS($C$3:$K$3,"SERA",$C9:$K9,Z$3)=0)*(COUNTIFS($C$3:$K$3,"NOTTE",$C9:$K9,Z$3)=0))+((Z9&lt;&gt;"Xn")*(COUNTIFS($C$3:$K$3,"MAT",$C9:$K9,Z$3)=0)*(COUNTIFS($C$3:$K$3,"POM",$C9:$K9,Z$3)=0)*(COUNTIFS($C$3:$K$3,"SERA",$C9:$K9,Z$3)=0)*(COUNTIFS($C$3:$K$3,"NOTTE",$C9:$K9,Z$3)=0))=0,"",IF(((Z9&lt;&gt;"Xm")*(COUNTIFS($C$3:$K$3,"MAT",$C9:$K9,Z$3)=0)*(COUNTIFS($C$3:$K$3,"NOTTE",$C9:$K9,Z$3)=0))+((Z9&lt;&gt;"Xp")*(COUNTIFS($C$3:$K$3,"POM",$C9:$K9,Z$3)=0)*(COUNTIFS($C$3:$K$3,"NOTTE",$C9:$K9,Z$3)=0))+((Z9&lt;&gt;"Xs")*(Z9&lt;&gt;"Cs")*(COUNTIFS($C$3:$K$3,"SERA",$C9:$K9,Z$3)=0)*(COUNTIFS($C$3:$K$3,"NOTTE",$C9:$K9,Z$3)=0))+((Z9&lt;&gt;"Xn")*(COUNTIFS($C$3:$K$3,"MAT",$C9:$K9,Z$3)=0)*(COUNTIFS($C$3:$K$3,"POM",$C9:$K9,Z$3)=0)*(COUNTIFS($C$3:$K$3,"SERA",$C9:$K9,Z$3)=0)*(COUNTIFS($C$3:$K$3,"NOTTE",$C9:$K9,Z$3)=0))=4,Z$3&amp;", ",Z$3&amp;IF((Z9&lt;&gt;"Xm")*(COUNTIFS($C$3:$K$3,"MAT",$C9:$K9,Z$3)=0)*(COUNTIFS($C$3:$K$3,"NOTTE",$C9:$K9,Z$3)=0),"_m","")&amp;IF((Z9&lt;&gt;"Xp")*(COUNTIFS($C$3:$K$3,"POM",$C9:$K9,Z$3)=0)*(COUNTIFS($C$3:$K$3,"NOTTE",$C9:$K9,Z$3)=0),"_p","")&amp;IF((Z9&lt;&gt;"Xs")*(Z9&lt;&gt;"Cs")*(COUNTIFS($C$3:$K$3,"SERA",$C9:$K9,Z$3)=0)*(COUNTIFS($C$3:$K$3,"NOTTE",$C9:$K9,Z$3)=0),"_s","")&amp;IF((Z9&lt;&gt;"Xn")*(COUNTIFS($C$3:$K$3,"MAT",$C9:$K9,Z$3)=0)*(COUNTIFS($C$3:$K$3,"POM",$C9:$K9,Z$3)=0)*(COUNTIFS($C$3:$K$3,"SERA",$C9:$K9,Z$3)=0)*(COUNTIFS($C$3:$K$3,"NOTTE",$C9:$K9,Z$3)=0),"_n","")&amp;", ")))</f>
        <v>ELSA, </v>
      </c>
      <c r="BF9" s="10" t="str">
        <f aca="false">IF((AA9="X")+(AA9="F")&gt;0,"",IF(((AA9&lt;&gt;"Xm")*(COUNTIFS($C$3:$K$3,"MAT",$C9:$K9,AA$3)=0)*(COUNTIFS($C$3:$K$3,"NOTTE",$C9:$K9,AA$3)=0))+((AA9&lt;&gt;"Xp")*(COUNTIFS($C$3:$K$3,"POM",$C9:$K9,AA$3)=0)*(COUNTIFS($C$3:$K$3,"NOTTE",$C9:$K9,AA$3)=0))+((AA9&lt;&gt;"Xs")*(AA9&lt;&gt;"Cs")*(COUNTIFS($C$3:$K$3,"SERA",$C9:$K9,AA$3)=0)*(COUNTIFS($C$3:$K$3,"NOTTE",$C9:$K9,AA$3)=0))+((AA9&lt;&gt;"Xn")*(COUNTIFS($C$3:$K$3,"MAT",$C9:$K9,AA$3)=0)*(COUNTIFS($C$3:$K$3,"POM",$C9:$K9,AA$3)=0)*(COUNTIFS($C$3:$K$3,"SERA",$C9:$K9,AA$3)=0)*(COUNTIFS($C$3:$K$3,"NOTTE",$C9:$K9,AA$3)=0))=0,"",IF(((AA9&lt;&gt;"Xm")*(COUNTIFS($C$3:$K$3,"MAT",$C9:$K9,AA$3)=0)*(COUNTIFS($C$3:$K$3,"NOTTE",$C9:$K9,AA$3)=0))+((AA9&lt;&gt;"Xp")*(COUNTIFS($C$3:$K$3,"POM",$C9:$K9,AA$3)=0)*(COUNTIFS($C$3:$K$3,"NOTTE",$C9:$K9,AA$3)=0))+((AA9&lt;&gt;"Xs")*(AA9&lt;&gt;"Cs")*(COUNTIFS($C$3:$K$3,"SERA",$C9:$K9,AA$3)=0)*(COUNTIFS($C$3:$K$3,"NOTTE",$C9:$K9,AA$3)=0))+((AA9&lt;&gt;"Xn")*(COUNTIFS($C$3:$K$3,"MAT",$C9:$K9,AA$3)=0)*(COUNTIFS($C$3:$K$3,"POM",$C9:$K9,AA$3)=0)*(COUNTIFS($C$3:$K$3,"SERA",$C9:$K9,AA$3)=0)*(COUNTIFS($C$3:$K$3,"NOTTE",$C9:$K9,AA$3)=0))=4,AA$3&amp;", ",AA$3&amp;IF((AA9&lt;&gt;"Xm")*(COUNTIFS($C$3:$K$3,"MAT",$C9:$K9,AA$3)=0)*(COUNTIFS($C$3:$K$3,"NOTTE",$C9:$K9,AA$3)=0),"_m","")&amp;IF((AA9&lt;&gt;"Xp")*(COUNTIFS($C$3:$K$3,"POM",$C9:$K9,AA$3)=0)*(COUNTIFS($C$3:$K$3,"NOTTE",$C9:$K9,AA$3)=0),"_p","")&amp;IF((AA9&lt;&gt;"Xs")*(AA9&lt;&gt;"Cs")*(COUNTIFS($C$3:$K$3,"SERA",$C9:$K9,AA$3)=0)*(COUNTIFS($C$3:$K$3,"NOTTE",$C9:$K9,AA$3)=0),"_s","")&amp;IF((AA9&lt;&gt;"Xn")*(COUNTIFS($C$3:$K$3,"MAT",$C9:$K9,AA$3)=0)*(COUNTIFS($C$3:$K$3,"POM",$C9:$K9,AA$3)=0)*(COUNTIFS($C$3:$K$3,"SERA",$C9:$K9,AA$3)=0)*(COUNTIFS($C$3:$K$3,"NOTTE",$C9:$K9,AA$3)=0),"_n","")&amp;", ")))</f>
        <v>FABIO, </v>
      </c>
    </row>
    <row r="10" customFormat="false" ht="15" hidden="false" customHeight="false" outlineLevel="0" collapsed="false">
      <c r="A10" s="11" t="str">
        <f aca="false">CHOOSE(WEEKDAY(DATE($B$1,$A$2,B10),2),"lunedì","martedì","mercoledì","giovedì","venerdì","sabato","domenica")</f>
        <v>domenica</v>
      </c>
      <c r="B10" s="11" t="n">
        <v>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tr">
        <f aca="false">IF(SUMPRODUCT(($C$3:$K$3&lt;&gt;"")*($C10:$K10&lt;&gt;"")*(COUNTIFS($C10:$K10,$C10:$K10,$C$3:$K$3,$C$3:$K$3)&gt;1))&gt;0,"X","")</f>
        <v/>
      </c>
      <c r="N10" s="11" t="str">
        <f aca="false">IF(LEN(AT10&amp;AU10&amp;AV10&amp;AW10&amp;AX10&amp;AY10)=0,"",LEFT(AT10&amp;AU10&amp;AV10&amp;AW10&amp;AX10&amp;AY10,LEN(AT10&amp;AU10&amp;AV10&amp;AW10&amp;AX10&amp;AY10)-2))</f>
        <v>ALBA, BRUNO, CARLA, DINO, ELSA, FABIO</v>
      </c>
      <c r="O10" s="11" t="str">
        <f aca="false">IF(LEN(BA10&amp;BB10&amp;BC10&amp;BD10&amp;BE10&amp;BF10)=0,"",LEFT(BA10&amp;BB10&amp;BC10&amp;BD10&amp;BE10&amp;BF10,LEN(BA10&amp;BB10&amp;BC10&amp;BD10&amp;BE10&amp;BF10)-2))</f>
        <v>ALBA, BRUNO, CARLA, DINO, ELSA, FABIO</v>
      </c>
      <c r="T10" s="11" t="str">
        <f aca="false">A10</f>
        <v>domenica</v>
      </c>
      <c r="U10" s="11" t="n">
        <f aca="false">B10</f>
        <v>7</v>
      </c>
      <c r="V10" s="11"/>
      <c r="W10" s="11"/>
      <c r="X10" s="11"/>
      <c r="Y10" s="11"/>
      <c r="Z10" s="11"/>
      <c r="AA10" s="11"/>
      <c r="AC10" s="6" t="s">
        <v>42</v>
      </c>
      <c r="AD10" s="7" t="s">
        <v>43</v>
      </c>
      <c r="AF10" s="3" t="s">
        <v>44</v>
      </c>
      <c r="AG10" s="3" t="n">
        <f aca="false">SUM(AG4:AG9)</f>
        <v>0</v>
      </c>
      <c r="AH10" s="3" t="n">
        <f aca="false">SUM(AH4:AH9)</f>
        <v>0</v>
      </c>
      <c r="AI10" s="3" t="n">
        <f aca="false">SUM(AI4:AI9)</f>
        <v>0</v>
      </c>
      <c r="AJ10" s="3" t="n">
        <f aca="false">SUM(AJ4:AJ9)</f>
        <v>0</v>
      </c>
      <c r="AK10" s="3" t="n">
        <f aca="false">SUM(AK4:AK9)</f>
        <v>0</v>
      </c>
      <c r="AM10" s="3" t="s">
        <v>44</v>
      </c>
      <c r="AN10" s="3" t="n">
        <f aca="false">SUM(AN4:AN9)</f>
        <v>0</v>
      </c>
      <c r="AO10" s="3" t="n">
        <f aca="false">SUM(AO4:AO9)</f>
        <v>0</v>
      </c>
      <c r="AP10" s="3" t="n">
        <f aca="false">SUM(AP4:AP9)</f>
        <v>0</v>
      </c>
      <c r="AQ10" s="3" t="n">
        <f aca="false">SUM(AQ4:AQ9)</f>
        <v>0</v>
      </c>
      <c r="AR10" s="3" t="n">
        <f aca="false">SUM(AR4:AR9)</f>
        <v>0</v>
      </c>
      <c r="AT10" s="10" t="str">
        <f aca="false">IF((V10="X")+(V10="F")&gt;0,"",IF(((V10&lt;&gt;"Xm"))+((V10&lt;&gt;"Xp"))+((V10&lt;&gt;"Xs")*(V10&lt;&gt;"Cs"))+((V10&lt;&gt;"Xn"))=0,"",IF(((V10&lt;&gt;"Xm"))+((V10&lt;&gt;"Xp"))+((V10&lt;&gt;"Xs")*(V10&lt;&gt;"Cs"))+((V10&lt;&gt;"Xn"))=4,V$3&amp;", ",V$3&amp;IF((V10&lt;&gt;"Xm"),"_m","")&amp;IF((V10&lt;&gt;"Xp"),"_p","")&amp;IF((V10&lt;&gt;"Xs")*(V10&lt;&gt;"Cs"),"_s","")&amp;IF((V10&lt;&gt;"Xn"),"_n","")&amp;", ")))</f>
        <v>ALBA, </v>
      </c>
      <c r="AU10" s="10" t="str">
        <f aca="false">IF((W10="X")+(W10="F")&gt;0,"",IF(((W10&lt;&gt;"Xm"))+((W10&lt;&gt;"Xp"))+((W10&lt;&gt;"Xs")*(W10&lt;&gt;"Cs"))+((W10&lt;&gt;"Xn"))=0,"",IF(((W10&lt;&gt;"Xm"))+((W10&lt;&gt;"Xp"))+((W10&lt;&gt;"Xs")*(W10&lt;&gt;"Cs"))+((W10&lt;&gt;"Xn"))=4,W$3&amp;", ",W$3&amp;IF((W10&lt;&gt;"Xm"),"_m","")&amp;IF((W10&lt;&gt;"Xp"),"_p","")&amp;IF((W10&lt;&gt;"Xs")*(W10&lt;&gt;"Cs"),"_s","")&amp;IF((W10&lt;&gt;"Xn"),"_n","")&amp;", ")))</f>
        <v>BRUNO, </v>
      </c>
      <c r="AV10" s="10" t="str">
        <f aca="false">IF((X10="X")+(X10="F")&gt;0,"",IF(((X10&lt;&gt;"Xm"))+((X10&lt;&gt;"Xp"))+((X10&lt;&gt;"Xs")*(X10&lt;&gt;"Cs"))+((X10&lt;&gt;"Xn"))=0,"",IF(((X10&lt;&gt;"Xm"))+((X10&lt;&gt;"Xp"))+((X10&lt;&gt;"Xs")*(X10&lt;&gt;"Cs"))+((X10&lt;&gt;"Xn"))=4,X$3&amp;", ",X$3&amp;IF((X10&lt;&gt;"Xm"),"_m","")&amp;IF((X10&lt;&gt;"Xp"),"_p","")&amp;IF((X10&lt;&gt;"Xs")*(X10&lt;&gt;"Cs"),"_s","")&amp;IF((X10&lt;&gt;"Xn"),"_n","")&amp;", ")))</f>
        <v>CARLA, </v>
      </c>
      <c r="AW10" s="10" t="str">
        <f aca="false">IF((Y10="X")+(Y10="F")&gt;0,"",IF(((Y10&lt;&gt;"Xm"))+((Y10&lt;&gt;"Xp"))+((Y10&lt;&gt;"Xs")*(Y10&lt;&gt;"Cs"))+((Y10&lt;&gt;"Xn"))=0,"",IF(((Y10&lt;&gt;"Xm"))+((Y10&lt;&gt;"Xp"))+((Y10&lt;&gt;"Xs")*(Y10&lt;&gt;"Cs"))+((Y10&lt;&gt;"Xn"))=4,Y$3&amp;", ",Y$3&amp;IF((Y10&lt;&gt;"Xm"),"_m","")&amp;IF((Y10&lt;&gt;"Xp"),"_p","")&amp;IF((Y10&lt;&gt;"Xs")*(Y10&lt;&gt;"Cs"),"_s","")&amp;IF((Y10&lt;&gt;"Xn"),"_n","")&amp;", ")))</f>
        <v>DINO, </v>
      </c>
      <c r="AX10" s="10" t="str">
        <f aca="false">IF((Z10="X")+(Z10="F")&gt;0,"",IF(((Z10&lt;&gt;"Xm"))+((Z10&lt;&gt;"Xp"))+((Z10&lt;&gt;"Xs")*(Z10&lt;&gt;"Cs"))+((Z10&lt;&gt;"Xn"))=0,"",IF(((Z10&lt;&gt;"Xm"))+((Z10&lt;&gt;"Xp"))+((Z10&lt;&gt;"Xs")*(Z10&lt;&gt;"Cs"))+((Z10&lt;&gt;"Xn"))=4,Z$3&amp;", ",Z$3&amp;IF((Z10&lt;&gt;"Xm"),"_m","")&amp;IF((Z10&lt;&gt;"Xp"),"_p","")&amp;IF((Z10&lt;&gt;"Xs")*(Z10&lt;&gt;"Cs"),"_s","")&amp;IF((Z10&lt;&gt;"Xn"),"_n","")&amp;", ")))</f>
        <v>ELSA, </v>
      </c>
      <c r="AY10" s="10" t="str">
        <f aca="false">IF((AA10="X")+(AA10="F")&gt;0,"",IF(((AA10&lt;&gt;"Xm"))+((AA10&lt;&gt;"Xp"))+((AA10&lt;&gt;"Xs")*(AA10&lt;&gt;"Cs"))+((AA10&lt;&gt;"Xn"))=0,"",IF(((AA10&lt;&gt;"Xm"))+((AA10&lt;&gt;"Xp"))+((AA10&lt;&gt;"Xs")*(AA10&lt;&gt;"Cs"))+((AA10&lt;&gt;"Xn"))=4,AA$3&amp;", ",AA$3&amp;IF((AA10&lt;&gt;"Xm"),"_m","")&amp;IF((AA10&lt;&gt;"Xp"),"_p","")&amp;IF((AA10&lt;&gt;"Xs")*(AA10&lt;&gt;"Cs"),"_s","")&amp;IF((AA10&lt;&gt;"Xn"),"_n","")&amp;", ")))</f>
        <v>FABIO, </v>
      </c>
      <c r="AZ10" s="10"/>
      <c r="BA10" s="10" t="str">
        <f aca="false">IF((V10="X")+(V10="F")&gt;0,"",IF(((V10&lt;&gt;"Xm")*(COUNTIFS($C$3:$K$3,"MAT",$C10:$K10,V$3)=0)*(COUNTIFS($C$3:$K$3,"NOTTE",$C10:$K10,V$3)=0))+((V10&lt;&gt;"Xp")*(COUNTIFS($C$3:$K$3,"POM",$C10:$K10,V$3)=0)*(COUNTIFS($C$3:$K$3,"NOTTE",$C10:$K10,V$3)=0))+((V10&lt;&gt;"Xs")*(V10&lt;&gt;"Cs")*(COUNTIFS($C$3:$K$3,"SERA",$C10:$K10,V$3)=0)*(COUNTIFS($C$3:$K$3,"NOTTE",$C10:$K10,V$3)=0))+((V10&lt;&gt;"Xn")*(COUNTIFS($C$3:$K$3,"MAT",$C10:$K10,V$3)=0)*(COUNTIFS($C$3:$K$3,"POM",$C10:$K10,V$3)=0)*(COUNTIFS($C$3:$K$3,"SERA",$C10:$K10,V$3)=0)*(COUNTIFS($C$3:$K$3,"NOTTE",$C10:$K10,V$3)=0))=0,"",IF(((V10&lt;&gt;"Xm")*(COUNTIFS($C$3:$K$3,"MAT",$C10:$K10,V$3)=0)*(COUNTIFS($C$3:$K$3,"NOTTE",$C10:$K10,V$3)=0))+((V10&lt;&gt;"Xp")*(COUNTIFS($C$3:$K$3,"POM",$C10:$K10,V$3)=0)*(COUNTIFS($C$3:$K$3,"NOTTE",$C10:$K10,V$3)=0))+((V10&lt;&gt;"Xs")*(V10&lt;&gt;"Cs")*(COUNTIFS($C$3:$K$3,"SERA",$C10:$K10,V$3)=0)*(COUNTIFS($C$3:$K$3,"NOTTE",$C10:$K10,V$3)=0))+((V10&lt;&gt;"Xn")*(COUNTIFS($C$3:$K$3,"MAT",$C10:$K10,V$3)=0)*(COUNTIFS($C$3:$K$3,"POM",$C10:$K10,V$3)=0)*(COUNTIFS($C$3:$K$3,"SERA",$C10:$K10,V$3)=0)*(COUNTIFS($C$3:$K$3,"NOTTE",$C10:$K10,V$3)=0))=4,V$3&amp;", ",V$3&amp;IF((V10&lt;&gt;"Xm")*(COUNTIFS($C$3:$K$3,"MAT",$C10:$K10,V$3)=0)*(COUNTIFS($C$3:$K$3,"NOTTE",$C10:$K10,V$3)=0),"_m","")&amp;IF((V10&lt;&gt;"Xp")*(COUNTIFS($C$3:$K$3,"POM",$C10:$K10,V$3)=0)*(COUNTIFS($C$3:$K$3,"NOTTE",$C10:$K10,V$3)=0),"_p","")&amp;IF((V10&lt;&gt;"Xs")*(V10&lt;&gt;"Cs")*(COUNTIFS($C$3:$K$3,"SERA",$C10:$K10,V$3)=0)*(COUNTIFS($C$3:$K$3,"NOTTE",$C10:$K10,V$3)=0),"_s","")&amp;IF((V10&lt;&gt;"Xn")*(COUNTIFS($C$3:$K$3,"MAT",$C10:$K10,V$3)=0)*(COUNTIFS($C$3:$K$3,"POM",$C10:$K10,V$3)=0)*(COUNTIFS($C$3:$K$3,"SERA",$C10:$K10,V$3)=0)*(COUNTIFS($C$3:$K$3,"NOTTE",$C10:$K10,V$3)=0),"_n","")&amp;", ")))</f>
        <v>ALBA, </v>
      </c>
      <c r="BB10" s="10" t="str">
        <f aca="false">IF((W10="X")+(W10="F")&gt;0,"",IF(((W10&lt;&gt;"Xm")*(COUNTIFS($C$3:$K$3,"MAT",$C10:$K10,W$3)=0)*(COUNTIFS($C$3:$K$3,"NOTTE",$C10:$K10,W$3)=0))+((W10&lt;&gt;"Xp")*(COUNTIFS($C$3:$K$3,"POM",$C10:$K10,W$3)=0)*(COUNTIFS($C$3:$K$3,"NOTTE",$C10:$K10,W$3)=0))+((W10&lt;&gt;"Xs")*(W10&lt;&gt;"Cs")*(COUNTIFS($C$3:$K$3,"SERA",$C10:$K10,W$3)=0)*(COUNTIFS($C$3:$K$3,"NOTTE",$C10:$K10,W$3)=0))+((W10&lt;&gt;"Xn")*(COUNTIFS($C$3:$K$3,"MAT",$C10:$K10,W$3)=0)*(COUNTIFS($C$3:$K$3,"POM",$C10:$K10,W$3)=0)*(COUNTIFS($C$3:$K$3,"SERA",$C10:$K10,W$3)=0)*(COUNTIFS($C$3:$K$3,"NOTTE",$C10:$K10,W$3)=0))=0,"",IF(((W10&lt;&gt;"Xm")*(COUNTIFS($C$3:$K$3,"MAT",$C10:$K10,W$3)=0)*(COUNTIFS($C$3:$K$3,"NOTTE",$C10:$K10,W$3)=0))+((W10&lt;&gt;"Xp")*(COUNTIFS($C$3:$K$3,"POM",$C10:$K10,W$3)=0)*(COUNTIFS($C$3:$K$3,"NOTTE",$C10:$K10,W$3)=0))+((W10&lt;&gt;"Xs")*(W10&lt;&gt;"Cs")*(COUNTIFS($C$3:$K$3,"SERA",$C10:$K10,W$3)=0)*(COUNTIFS($C$3:$K$3,"NOTTE",$C10:$K10,W$3)=0))+((W10&lt;&gt;"Xn")*(COUNTIFS($C$3:$K$3,"MAT",$C10:$K10,W$3)=0)*(COUNTIFS($C$3:$K$3,"POM",$C10:$K10,W$3)=0)*(COUNTIFS($C$3:$K$3,"SERA",$C10:$K10,W$3)=0)*(COUNTIFS($C$3:$K$3,"NOTTE",$C10:$K10,W$3)=0))=4,W$3&amp;", ",W$3&amp;IF((W10&lt;&gt;"Xm")*(COUNTIFS($C$3:$K$3,"MAT",$C10:$K10,W$3)=0)*(COUNTIFS($C$3:$K$3,"NOTTE",$C10:$K10,W$3)=0),"_m","")&amp;IF((W10&lt;&gt;"Xp")*(COUNTIFS($C$3:$K$3,"POM",$C10:$K10,W$3)=0)*(COUNTIFS($C$3:$K$3,"NOTTE",$C10:$K10,W$3)=0),"_p","")&amp;IF((W10&lt;&gt;"Xs")*(W10&lt;&gt;"Cs")*(COUNTIFS($C$3:$K$3,"SERA",$C10:$K10,W$3)=0)*(COUNTIFS($C$3:$K$3,"NOTTE",$C10:$K10,W$3)=0),"_s","")&amp;IF((W10&lt;&gt;"Xn")*(COUNTIFS($C$3:$K$3,"MAT",$C10:$K10,W$3)=0)*(COUNTIFS($C$3:$K$3,"POM",$C10:$K10,W$3)=0)*(COUNTIFS($C$3:$K$3,"SERA",$C10:$K10,W$3)=0)*(COUNTIFS($C$3:$K$3,"NOTTE",$C10:$K10,W$3)=0),"_n","")&amp;", ")))</f>
        <v>BRUNO, </v>
      </c>
      <c r="BC10" s="10" t="str">
        <f aca="false">IF((X10="X")+(X10="F")&gt;0,"",IF(((X10&lt;&gt;"Xm")*(COUNTIFS($C$3:$K$3,"MAT",$C10:$K10,X$3)=0)*(COUNTIFS($C$3:$K$3,"NOTTE",$C10:$K10,X$3)=0))+((X10&lt;&gt;"Xp")*(COUNTIFS($C$3:$K$3,"POM",$C10:$K10,X$3)=0)*(COUNTIFS($C$3:$K$3,"NOTTE",$C10:$K10,X$3)=0))+((X10&lt;&gt;"Xs")*(X10&lt;&gt;"Cs")*(COUNTIFS($C$3:$K$3,"SERA",$C10:$K10,X$3)=0)*(COUNTIFS($C$3:$K$3,"NOTTE",$C10:$K10,X$3)=0))+((X10&lt;&gt;"Xn")*(COUNTIFS($C$3:$K$3,"MAT",$C10:$K10,X$3)=0)*(COUNTIFS($C$3:$K$3,"POM",$C10:$K10,X$3)=0)*(COUNTIFS($C$3:$K$3,"SERA",$C10:$K10,X$3)=0)*(COUNTIFS($C$3:$K$3,"NOTTE",$C10:$K10,X$3)=0))=0,"",IF(((X10&lt;&gt;"Xm")*(COUNTIFS($C$3:$K$3,"MAT",$C10:$K10,X$3)=0)*(COUNTIFS($C$3:$K$3,"NOTTE",$C10:$K10,X$3)=0))+((X10&lt;&gt;"Xp")*(COUNTIFS($C$3:$K$3,"POM",$C10:$K10,X$3)=0)*(COUNTIFS($C$3:$K$3,"NOTTE",$C10:$K10,X$3)=0))+((X10&lt;&gt;"Xs")*(X10&lt;&gt;"Cs")*(COUNTIFS($C$3:$K$3,"SERA",$C10:$K10,X$3)=0)*(COUNTIFS($C$3:$K$3,"NOTTE",$C10:$K10,X$3)=0))+((X10&lt;&gt;"Xn")*(COUNTIFS($C$3:$K$3,"MAT",$C10:$K10,X$3)=0)*(COUNTIFS($C$3:$K$3,"POM",$C10:$K10,X$3)=0)*(COUNTIFS($C$3:$K$3,"SERA",$C10:$K10,X$3)=0)*(COUNTIFS($C$3:$K$3,"NOTTE",$C10:$K10,X$3)=0))=4,X$3&amp;", ",X$3&amp;IF((X10&lt;&gt;"Xm")*(COUNTIFS($C$3:$K$3,"MAT",$C10:$K10,X$3)=0)*(COUNTIFS($C$3:$K$3,"NOTTE",$C10:$K10,X$3)=0),"_m","")&amp;IF((X10&lt;&gt;"Xp")*(COUNTIFS($C$3:$K$3,"POM",$C10:$K10,X$3)=0)*(COUNTIFS($C$3:$K$3,"NOTTE",$C10:$K10,X$3)=0),"_p","")&amp;IF((X10&lt;&gt;"Xs")*(X10&lt;&gt;"Cs")*(COUNTIFS($C$3:$K$3,"SERA",$C10:$K10,X$3)=0)*(COUNTIFS($C$3:$K$3,"NOTTE",$C10:$K10,X$3)=0),"_s","")&amp;IF((X10&lt;&gt;"Xn")*(COUNTIFS($C$3:$K$3,"MAT",$C10:$K10,X$3)=0)*(COUNTIFS($C$3:$K$3,"POM",$C10:$K10,X$3)=0)*(COUNTIFS($C$3:$K$3,"SERA",$C10:$K10,X$3)=0)*(COUNTIFS($C$3:$K$3,"NOTTE",$C10:$K10,X$3)=0),"_n","")&amp;", ")))</f>
        <v>CARLA, </v>
      </c>
      <c r="BD10" s="10" t="str">
        <f aca="false">IF((Y10="X")+(Y10="F")&gt;0,"",IF(((Y10&lt;&gt;"Xm")*(COUNTIFS($C$3:$K$3,"MAT",$C10:$K10,Y$3)=0)*(COUNTIFS($C$3:$K$3,"NOTTE",$C10:$K10,Y$3)=0))+((Y10&lt;&gt;"Xp")*(COUNTIFS($C$3:$K$3,"POM",$C10:$K10,Y$3)=0)*(COUNTIFS($C$3:$K$3,"NOTTE",$C10:$K10,Y$3)=0))+((Y10&lt;&gt;"Xs")*(Y10&lt;&gt;"Cs")*(COUNTIFS($C$3:$K$3,"SERA",$C10:$K10,Y$3)=0)*(COUNTIFS($C$3:$K$3,"NOTTE",$C10:$K10,Y$3)=0))+((Y10&lt;&gt;"Xn")*(COUNTIFS($C$3:$K$3,"MAT",$C10:$K10,Y$3)=0)*(COUNTIFS($C$3:$K$3,"POM",$C10:$K10,Y$3)=0)*(COUNTIFS($C$3:$K$3,"SERA",$C10:$K10,Y$3)=0)*(COUNTIFS($C$3:$K$3,"NOTTE",$C10:$K10,Y$3)=0))=0,"",IF(((Y10&lt;&gt;"Xm")*(COUNTIFS($C$3:$K$3,"MAT",$C10:$K10,Y$3)=0)*(COUNTIFS($C$3:$K$3,"NOTTE",$C10:$K10,Y$3)=0))+((Y10&lt;&gt;"Xp")*(COUNTIFS($C$3:$K$3,"POM",$C10:$K10,Y$3)=0)*(COUNTIFS($C$3:$K$3,"NOTTE",$C10:$K10,Y$3)=0))+((Y10&lt;&gt;"Xs")*(Y10&lt;&gt;"Cs")*(COUNTIFS($C$3:$K$3,"SERA",$C10:$K10,Y$3)=0)*(COUNTIFS($C$3:$K$3,"NOTTE",$C10:$K10,Y$3)=0))+((Y10&lt;&gt;"Xn")*(COUNTIFS($C$3:$K$3,"MAT",$C10:$K10,Y$3)=0)*(COUNTIFS($C$3:$K$3,"POM",$C10:$K10,Y$3)=0)*(COUNTIFS($C$3:$K$3,"SERA",$C10:$K10,Y$3)=0)*(COUNTIFS($C$3:$K$3,"NOTTE",$C10:$K10,Y$3)=0))=4,Y$3&amp;", ",Y$3&amp;IF((Y10&lt;&gt;"Xm")*(COUNTIFS($C$3:$K$3,"MAT",$C10:$K10,Y$3)=0)*(COUNTIFS($C$3:$K$3,"NOTTE",$C10:$K10,Y$3)=0),"_m","")&amp;IF((Y10&lt;&gt;"Xp")*(COUNTIFS($C$3:$K$3,"POM",$C10:$K10,Y$3)=0)*(COUNTIFS($C$3:$K$3,"NOTTE",$C10:$K10,Y$3)=0),"_p","")&amp;IF((Y10&lt;&gt;"Xs")*(Y10&lt;&gt;"Cs")*(COUNTIFS($C$3:$K$3,"SERA",$C10:$K10,Y$3)=0)*(COUNTIFS($C$3:$K$3,"NOTTE",$C10:$K10,Y$3)=0),"_s","")&amp;IF((Y10&lt;&gt;"Xn")*(COUNTIFS($C$3:$K$3,"MAT",$C10:$K10,Y$3)=0)*(COUNTIFS($C$3:$K$3,"POM",$C10:$K10,Y$3)=0)*(COUNTIFS($C$3:$K$3,"SERA",$C10:$K10,Y$3)=0)*(COUNTIFS($C$3:$K$3,"NOTTE",$C10:$K10,Y$3)=0),"_n","")&amp;", ")))</f>
        <v>DINO, </v>
      </c>
      <c r="BE10" s="10" t="str">
        <f aca="false">IF((Z10="X")+(Z10="F")&gt;0,"",IF(((Z10&lt;&gt;"Xm")*(COUNTIFS($C$3:$K$3,"MAT",$C10:$K10,Z$3)=0)*(COUNTIFS($C$3:$K$3,"NOTTE",$C10:$K10,Z$3)=0))+((Z10&lt;&gt;"Xp")*(COUNTIFS($C$3:$K$3,"POM",$C10:$K10,Z$3)=0)*(COUNTIFS($C$3:$K$3,"NOTTE",$C10:$K10,Z$3)=0))+((Z10&lt;&gt;"Xs")*(Z10&lt;&gt;"Cs")*(COUNTIFS($C$3:$K$3,"SERA",$C10:$K10,Z$3)=0)*(COUNTIFS($C$3:$K$3,"NOTTE",$C10:$K10,Z$3)=0))+((Z10&lt;&gt;"Xn")*(COUNTIFS($C$3:$K$3,"MAT",$C10:$K10,Z$3)=0)*(COUNTIFS($C$3:$K$3,"POM",$C10:$K10,Z$3)=0)*(COUNTIFS($C$3:$K$3,"SERA",$C10:$K10,Z$3)=0)*(COUNTIFS($C$3:$K$3,"NOTTE",$C10:$K10,Z$3)=0))=0,"",IF(((Z10&lt;&gt;"Xm")*(COUNTIFS($C$3:$K$3,"MAT",$C10:$K10,Z$3)=0)*(COUNTIFS($C$3:$K$3,"NOTTE",$C10:$K10,Z$3)=0))+((Z10&lt;&gt;"Xp")*(COUNTIFS($C$3:$K$3,"POM",$C10:$K10,Z$3)=0)*(COUNTIFS($C$3:$K$3,"NOTTE",$C10:$K10,Z$3)=0))+((Z10&lt;&gt;"Xs")*(Z10&lt;&gt;"Cs")*(COUNTIFS($C$3:$K$3,"SERA",$C10:$K10,Z$3)=0)*(COUNTIFS($C$3:$K$3,"NOTTE",$C10:$K10,Z$3)=0))+((Z10&lt;&gt;"Xn")*(COUNTIFS($C$3:$K$3,"MAT",$C10:$K10,Z$3)=0)*(COUNTIFS($C$3:$K$3,"POM",$C10:$K10,Z$3)=0)*(COUNTIFS($C$3:$K$3,"SERA",$C10:$K10,Z$3)=0)*(COUNTIFS($C$3:$K$3,"NOTTE",$C10:$K10,Z$3)=0))=4,Z$3&amp;", ",Z$3&amp;IF((Z10&lt;&gt;"Xm")*(COUNTIFS($C$3:$K$3,"MAT",$C10:$K10,Z$3)=0)*(COUNTIFS($C$3:$K$3,"NOTTE",$C10:$K10,Z$3)=0),"_m","")&amp;IF((Z10&lt;&gt;"Xp")*(COUNTIFS($C$3:$K$3,"POM",$C10:$K10,Z$3)=0)*(COUNTIFS($C$3:$K$3,"NOTTE",$C10:$K10,Z$3)=0),"_p","")&amp;IF((Z10&lt;&gt;"Xs")*(Z10&lt;&gt;"Cs")*(COUNTIFS($C$3:$K$3,"SERA",$C10:$K10,Z$3)=0)*(COUNTIFS($C$3:$K$3,"NOTTE",$C10:$K10,Z$3)=0),"_s","")&amp;IF((Z10&lt;&gt;"Xn")*(COUNTIFS($C$3:$K$3,"MAT",$C10:$K10,Z$3)=0)*(COUNTIFS($C$3:$K$3,"POM",$C10:$K10,Z$3)=0)*(COUNTIFS($C$3:$K$3,"SERA",$C10:$K10,Z$3)=0)*(COUNTIFS($C$3:$K$3,"NOTTE",$C10:$K10,Z$3)=0),"_n","")&amp;", ")))</f>
        <v>ELSA, </v>
      </c>
      <c r="BF10" s="10" t="str">
        <f aca="false">IF((AA10="X")+(AA10="F")&gt;0,"",IF(((AA10&lt;&gt;"Xm")*(COUNTIFS($C$3:$K$3,"MAT",$C10:$K10,AA$3)=0)*(COUNTIFS($C$3:$K$3,"NOTTE",$C10:$K10,AA$3)=0))+((AA10&lt;&gt;"Xp")*(COUNTIFS($C$3:$K$3,"POM",$C10:$K10,AA$3)=0)*(COUNTIFS($C$3:$K$3,"NOTTE",$C10:$K10,AA$3)=0))+((AA10&lt;&gt;"Xs")*(AA10&lt;&gt;"Cs")*(COUNTIFS($C$3:$K$3,"SERA",$C10:$K10,AA$3)=0)*(COUNTIFS($C$3:$K$3,"NOTTE",$C10:$K10,AA$3)=0))+((AA10&lt;&gt;"Xn")*(COUNTIFS($C$3:$K$3,"MAT",$C10:$K10,AA$3)=0)*(COUNTIFS($C$3:$K$3,"POM",$C10:$K10,AA$3)=0)*(COUNTIFS($C$3:$K$3,"SERA",$C10:$K10,AA$3)=0)*(COUNTIFS($C$3:$K$3,"NOTTE",$C10:$K10,AA$3)=0))=0,"",IF(((AA10&lt;&gt;"Xm")*(COUNTIFS($C$3:$K$3,"MAT",$C10:$K10,AA$3)=0)*(COUNTIFS($C$3:$K$3,"NOTTE",$C10:$K10,AA$3)=0))+((AA10&lt;&gt;"Xp")*(COUNTIFS($C$3:$K$3,"POM",$C10:$K10,AA$3)=0)*(COUNTIFS($C$3:$K$3,"NOTTE",$C10:$K10,AA$3)=0))+((AA10&lt;&gt;"Xs")*(AA10&lt;&gt;"Cs")*(COUNTIFS($C$3:$K$3,"SERA",$C10:$K10,AA$3)=0)*(COUNTIFS($C$3:$K$3,"NOTTE",$C10:$K10,AA$3)=0))+((AA10&lt;&gt;"Xn")*(COUNTIFS($C$3:$K$3,"MAT",$C10:$K10,AA$3)=0)*(COUNTIFS($C$3:$K$3,"POM",$C10:$K10,AA$3)=0)*(COUNTIFS($C$3:$K$3,"SERA",$C10:$K10,AA$3)=0)*(COUNTIFS($C$3:$K$3,"NOTTE",$C10:$K10,AA$3)=0))=4,AA$3&amp;", ",AA$3&amp;IF((AA10&lt;&gt;"Xm")*(COUNTIFS($C$3:$K$3,"MAT",$C10:$K10,AA$3)=0)*(COUNTIFS($C$3:$K$3,"NOTTE",$C10:$K10,AA$3)=0),"_m","")&amp;IF((AA10&lt;&gt;"Xp")*(COUNTIFS($C$3:$K$3,"POM",$C10:$K10,AA$3)=0)*(COUNTIFS($C$3:$K$3,"NOTTE",$C10:$K10,AA$3)=0),"_p","")&amp;IF((AA10&lt;&gt;"Xs")*(AA10&lt;&gt;"Cs")*(COUNTIFS($C$3:$K$3,"SERA",$C10:$K10,AA$3)=0)*(COUNTIFS($C$3:$K$3,"NOTTE",$C10:$K10,AA$3)=0),"_s","")&amp;IF((AA10&lt;&gt;"Xn")*(COUNTIFS($C$3:$K$3,"MAT",$C10:$K10,AA$3)=0)*(COUNTIFS($C$3:$K$3,"POM",$C10:$K10,AA$3)=0)*(COUNTIFS($C$3:$K$3,"SERA",$C10:$K10,AA$3)=0)*(COUNTIFS($C$3:$K$3,"NOTTE",$C10:$K10,AA$3)=0),"_n","")&amp;", ")))</f>
        <v>FABIO, </v>
      </c>
    </row>
    <row r="11" customFormat="false" ht="15" hidden="false" customHeight="false" outlineLevel="0" collapsed="false">
      <c r="A11" s="4" t="str">
        <f aca="false">CHOOSE(WEEKDAY(DATE($B$1,$A$2,B11),2),"lunedì","martedì","mercoledì","giovedì","venerdì","sabato","domenica")</f>
        <v>lunedì</v>
      </c>
      <c r="B11" s="4" t="n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tr">
        <f aca="false">IF(SUMPRODUCT(($C$3:$K$3&lt;&gt;"")*($C11:$K11&lt;&gt;"")*(COUNTIFS($C11:$K11,$C11:$K11,$C$3:$K$3,$C$3:$K$3)&gt;1))&gt;0,"X","")</f>
        <v/>
      </c>
      <c r="N11" s="5" t="str">
        <f aca="false">IF(LEN(AT11&amp;AU11&amp;AV11&amp;AW11&amp;AX11&amp;AY11)=0,"",LEFT(AT11&amp;AU11&amp;AV11&amp;AW11&amp;AX11&amp;AY11,LEN(AT11&amp;AU11&amp;AV11&amp;AW11&amp;AX11&amp;AY11)-2))</f>
        <v>ALBA, BRUNO, CARLA, DINO, ELSA, FABIO</v>
      </c>
      <c r="O11" s="5" t="str">
        <f aca="false">IF(LEN(BA11&amp;BB11&amp;BC11&amp;BD11&amp;BE11&amp;BF11)=0,"",LEFT(BA11&amp;BB11&amp;BC11&amp;BD11&amp;BE11&amp;BF11,LEN(BA11&amp;BB11&amp;BC11&amp;BD11&amp;BE11&amp;BF11)-2))</f>
        <v>ALBA, BRUNO, CARLA, DINO, ELSA, FABIO</v>
      </c>
      <c r="T11" s="4" t="str">
        <f aca="false">A11</f>
        <v>lunedì</v>
      </c>
      <c r="U11" s="4" t="n">
        <f aca="false">B11</f>
        <v>8</v>
      </c>
      <c r="V11" s="5"/>
      <c r="W11" s="5"/>
      <c r="X11" s="5"/>
      <c r="Y11" s="5"/>
      <c r="Z11" s="5"/>
      <c r="AA11" s="5"/>
      <c r="AT11" s="10" t="str">
        <f aca="false">IF((V11="X")+(V11="F")&gt;0,"",IF(((V11&lt;&gt;"Xm"))+((V11&lt;&gt;"Xp"))+((V11&lt;&gt;"Xs")*(V11&lt;&gt;"Cs"))+((V11&lt;&gt;"Xn"))=0,"",IF(((V11&lt;&gt;"Xm"))+((V11&lt;&gt;"Xp"))+((V11&lt;&gt;"Xs")*(V11&lt;&gt;"Cs"))+((V11&lt;&gt;"Xn"))=4,V$3&amp;", ",V$3&amp;IF((V11&lt;&gt;"Xm"),"_m","")&amp;IF((V11&lt;&gt;"Xp"),"_p","")&amp;IF((V11&lt;&gt;"Xs")*(V11&lt;&gt;"Cs"),"_s","")&amp;IF((V11&lt;&gt;"Xn"),"_n","")&amp;", ")))</f>
        <v>ALBA, </v>
      </c>
      <c r="AU11" s="10" t="str">
        <f aca="false">IF((W11="X")+(W11="F")&gt;0,"",IF(((W11&lt;&gt;"Xm"))+((W11&lt;&gt;"Xp"))+((W11&lt;&gt;"Xs")*(W11&lt;&gt;"Cs"))+((W11&lt;&gt;"Xn"))=0,"",IF(((W11&lt;&gt;"Xm"))+((W11&lt;&gt;"Xp"))+((W11&lt;&gt;"Xs")*(W11&lt;&gt;"Cs"))+((W11&lt;&gt;"Xn"))=4,W$3&amp;", ",W$3&amp;IF((W11&lt;&gt;"Xm"),"_m","")&amp;IF((W11&lt;&gt;"Xp"),"_p","")&amp;IF((W11&lt;&gt;"Xs")*(W11&lt;&gt;"Cs"),"_s","")&amp;IF((W11&lt;&gt;"Xn"),"_n","")&amp;", ")))</f>
        <v>BRUNO, </v>
      </c>
      <c r="AV11" s="10" t="str">
        <f aca="false">IF((X11="X")+(X11="F")&gt;0,"",IF(((X11&lt;&gt;"Xm"))+((X11&lt;&gt;"Xp"))+((X11&lt;&gt;"Xs")*(X11&lt;&gt;"Cs"))+((X11&lt;&gt;"Xn"))=0,"",IF(((X11&lt;&gt;"Xm"))+((X11&lt;&gt;"Xp"))+((X11&lt;&gt;"Xs")*(X11&lt;&gt;"Cs"))+((X11&lt;&gt;"Xn"))=4,X$3&amp;", ",X$3&amp;IF((X11&lt;&gt;"Xm"),"_m","")&amp;IF((X11&lt;&gt;"Xp"),"_p","")&amp;IF((X11&lt;&gt;"Xs")*(X11&lt;&gt;"Cs"),"_s","")&amp;IF((X11&lt;&gt;"Xn"),"_n","")&amp;", ")))</f>
        <v>CARLA, </v>
      </c>
      <c r="AW11" s="10" t="str">
        <f aca="false">IF((Y11="X")+(Y11="F")&gt;0,"",IF(((Y11&lt;&gt;"Xm"))+((Y11&lt;&gt;"Xp"))+((Y11&lt;&gt;"Xs")*(Y11&lt;&gt;"Cs"))+((Y11&lt;&gt;"Xn"))=0,"",IF(((Y11&lt;&gt;"Xm"))+((Y11&lt;&gt;"Xp"))+((Y11&lt;&gt;"Xs")*(Y11&lt;&gt;"Cs"))+((Y11&lt;&gt;"Xn"))=4,Y$3&amp;", ",Y$3&amp;IF((Y11&lt;&gt;"Xm"),"_m","")&amp;IF((Y11&lt;&gt;"Xp"),"_p","")&amp;IF((Y11&lt;&gt;"Xs")*(Y11&lt;&gt;"Cs"),"_s","")&amp;IF((Y11&lt;&gt;"Xn"),"_n","")&amp;", ")))</f>
        <v>DINO, </v>
      </c>
      <c r="AX11" s="10" t="str">
        <f aca="false">IF((Z11="X")+(Z11="F")&gt;0,"",IF(((Z11&lt;&gt;"Xm"))+((Z11&lt;&gt;"Xp"))+((Z11&lt;&gt;"Xs")*(Z11&lt;&gt;"Cs"))+((Z11&lt;&gt;"Xn"))=0,"",IF(((Z11&lt;&gt;"Xm"))+((Z11&lt;&gt;"Xp"))+((Z11&lt;&gt;"Xs")*(Z11&lt;&gt;"Cs"))+((Z11&lt;&gt;"Xn"))=4,Z$3&amp;", ",Z$3&amp;IF((Z11&lt;&gt;"Xm"),"_m","")&amp;IF((Z11&lt;&gt;"Xp"),"_p","")&amp;IF((Z11&lt;&gt;"Xs")*(Z11&lt;&gt;"Cs"),"_s","")&amp;IF((Z11&lt;&gt;"Xn"),"_n","")&amp;", ")))</f>
        <v>ELSA, </v>
      </c>
      <c r="AY11" s="10" t="str">
        <f aca="false">IF((AA11="X")+(AA11="F")&gt;0,"",IF(((AA11&lt;&gt;"Xm"))+((AA11&lt;&gt;"Xp"))+((AA11&lt;&gt;"Xs")*(AA11&lt;&gt;"Cs"))+((AA11&lt;&gt;"Xn"))=0,"",IF(((AA11&lt;&gt;"Xm"))+((AA11&lt;&gt;"Xp"))+((AA11&lt;&gt;"Xs")*(AA11&lt;&gt;"Cs"))+((AA11&lt;&gt;"Xn"))=4,AA$3&amp;", ",AA$3&amp;IF((AA11&lt;&gt;"Xm"),"_m","")&amp;IF((AA11&lt;&gt;"Xp"),"_p","")&amp;IF((AA11&lt;&gt;"Xs")*(AA11&lt;&gt;"Cs"),"_s","")&amp;IF((AA11&lt;&gt;"Xn"),"_n","")&amp;", ")))</f>
        <v>FABIO, </v>
      </c>
      <c r="AZ11" s="10"/>
      <c r="BA11" s="10" t="str">
        <f aca="false">IF((V11="X")+(V11="F")&gt;0,"",IF(((V11&lt;&gt;"Xm")*(COUNTIFS($C$3:$K$3,"MAT",$C11:$K11,V$3)=0)*(COUNTIFS($C$3:$K$3,"NOTTE",$C11:$K11,V$3)=0))+((V11&lt;&gt;"Xp")*(COUNTIFS($C$3:$K$3,"POM",$C11:$K11,V$3)=0)*(COUNTIFS($C$3:$K$3,"NOTTE",$C11:$K11,V$3)=0))+((V11&lt;&gt;"Xs")*(V11&lt;&gt;"Cs")*(COUNTIFS($C$3:$K$3,"SERA",$C11:$K11,V$3)=0)*(COUNTIFS($C$3:$K$3,"NOTTE",$C11:$K11,V$3)=0))+((V11&lt;&gt;"Xn")*(COUNTIFS($C$3:$K$3,"MAT",$C11:$K11,V$3)=0)*(COUNTIFS($C$3:$K$3,"POM",$C11:$K11,V$3)=0)*(COUNTIFS($C$3:$K$3,"SERA",$C11:$K11,V$3)=0)*(COUNTIFS($C$3:$K$3,"NOTTE",$C11:$K11,V$3)=0))=0,"",IF(((V11&lt;&gt;"Xm")*(COUNTIFS($C$3:$K$3,"MAT",$C11:$K11,V$3)=0)*(COUNTIFS($C$3:$K$3,"NOTTE",$C11:$K11,V$3)=0))+((V11&lt;&gt;"Xp")*(COUNTIFS($C$3:$K$3,"POM",$C11:$K11,V$3)=0)*(COUNTIFS($C$3:$K$3,"NOTTE",$C11:$K11,V$3)=0))+((V11&lt;&gt;"Xs")*(V11&lt;&gt;"Cs")*(COUNTIFS($C$3:$K$3,"SERA",$C11:$K11,V$3)=0)*(COUNTIFS($C$3:$K$3,"NOTTE",$C11:$K11,V$3)=0))+((V11&lt;&gt;"Xn")*(COUNTIFS($C$3:$K$3,"MAT",$C11:$K11,V$3)=0)*(COUNTIFS($C$3:$K$3,"POM",$C11:$K11,V$3)=0)*(COUNTIFS($C$3:$K$3,"SERA",$C11:$K11,V$3)=0)*(COUNTIFS($C$3:$K$3,"NOTTE",$C11:$K11,V$3)=0))=4,V$3&amp;", ",V$3&amp;IF((V11&lt;&gt;"Xm")*(COUNTIFS($C$3:$K$3,"MAT",$C11:$K11,V$3)=0)*(COUNTIFS($C$3:$K$3,"NOTTE",$C11:$K11,V$3)=0),"_m","")&amp;IF((V11&lt;&gt;"Xp")*(COUNTIFS($C$3:$K$3,"POM",$C11:$K11,V$3)=0)*(COUNTIFS($C$3:$K$3,"NOTTE",$C11:$K11,V$3)=0),"_p","")&amp;IF((V11&lt;&gt;"Xs")*(V11&lt;&gt;"Cs")*(COUNTIFS($C$3:$K$3,"SERA",$C11:$K11,V$3)=0)*(COUNTIFS($C$3:$K$3,"NOTTE",$C11:$K11,V$3)=0),"_s","")&amp;IF((V11&lt;&gt;"Xn")*(COUNTIFS($C$3:$K$3,"MAT",$C11:$K11,V$3)=0)*(COUNTIFS($C$3:$K$3,"POM",$C11:$K11,V$3)=0)*(COUNTIFS($C$3:$K$3,"SERA",$C11:$K11,V$3)=0)*(COUNTIFS($C$3:$K$3,"NOTTE",$C11:$K11,V$3)=0),"_n","")&amp;", ")))</f>
        <v>ALBA, </v>
      </c>
      <c r="BB11" s="10" t="str">
        <f aca="false">IF((W11="X")+(W11="F")&gt;0,"",IF(((W11&lt;&gt;"Xm")*(COUNTIFS($C$3:$K$3,"MAT",$C11:$K11,W$3)=0)*(COUNTIFS($C$3:$K$3,"NOTTE",$C11:$K11,W$3)=0))+((W11&lt;&gt;"Xp")*(COUNTIFS($C$3:$K$3,"POM",$C11:$K11,W$3)=0)*(COUNTIFS($C$3:$K$3,"NOTTE",$C11:$K11,W$3)=0))+((W11&lt;&gt;"Xs")*(W11&lt;&gt;"Cs")*(COUNTIFS($C$3:$K$3,"SERA",$C11:$K11,W$3)=0)*(COUNTIFS($C$3:$K$3,"NOTTE",$C11:$K11,W$3)=0))+((W11&lt;&gt;"Xn")*(COUNTIFS($C$3:$K$3,"MAT",$C11:$K11,W$3)=0)*(COUNTIFS($C$3:$K$3,"POM",$C11:$K11,W$3)=0)*(COUNTIFS($C$3:$K$3,"SERA",$C11:$K11,W$3)=0)*(COUNTIFS($C$3:$K$3,"NOTTE",$C11:$K11,W$3)=0))=0,"",IF(((W11&lt;&gt;"Xm")*(COUNTIFS($C$3:$K$3,"MAT",$C11:$K11,W$3)=0)*(COUNTIFS($C$3:$K$3,"NOTTE",$C11:$K11,W$3)=0))+((W11&lt;&gt;"Xp")*(COUNTIFS($C$3:$K$3,"POM",$C11:$K11,W$3)=0)*(COUNTIFS($C$3:$K$3,"NOTTE",$C11:$K11,W$3)=0))+((W11&lt;&gt;"Xs")*(W11&lt;&gt;"Cs")*(COUNTIFS($C$3:$K$3,"SERA",$C11:$K11,W$3)=0)*(COUNTIFS($C$3:$K$3,"NOTTE",$C11:$K11,W$3)=0))+((W11&lt;&gt;"Xn")*(COUNTIFS($C$3:$K$3,"MAT",$C11:$K11,W$3)=0)*(COUNTIFS($C$3:$K$3,"POM",$C11:$K11,W$3)=0)*(COUNTIFS($C$3:$K$3,"SERA",$C11:$K11,W$3)=0)*(COUNTIFS($C$3:$K$3,"NOTTE",$C11:$K11,W$3)=0))=4,W$3&amp;", ",W$3&amp;IF((W11&lt;&gt;"Xm")*(COUNTIFS($C$3:$K$3,"MAT",$C11:$K11,W$3)=0)*(COUNTIFS($C$3:$K$3,"NOTTE",$C11:$K11,W$3)=0),"_m","")&amp;IF((W11&lt;&gt;"Xp")*(COUNTIFS($C$3:$K$3,"POM",$C11:$K11,W$3)=0)*(COUNTIFS($C$3:$K$3,"NOTTE",$C11:$K11,W$3)=0),"_p","")&amp;IF((W11&lt;&gt;"Xs")*(W11&lt;&gt;"Cs")*(COUNTIFS($C$3:$K$3,"SERA",$C11:$K11,W$3)=0)*(COUNTIFS($C$3:$K$3,"NOTTE",$C11:$K11,W$3)=0),"_s","")&amp;IF((W11&lt;&gt;"Xn")*(COUNTIFS($C$3:$K$3,"MAT",$C11:$K11,W$3)=0)*(COUNTIFS($C$3:$K$3,"POM",$C11:$K11,W$3)=0)*(COUNTIFS($C$3:$K$3,"SERA",$C11:$K11,W$3)=0)*(COUNTIFS($C$3:$K$3,"NOTTE",$C11:$K11,W$3)=0),"_n","")&amp;", ")))</f>
        <v>BRUNO, </v>
      </c>
      <c r="BC11" s="10" t="str">
        <f aca="false">IF((X11="X")+(X11="F")&gt;0,"",IF(((X11&lt;&gt;"Xm")*(COUNTIFS($C$3:$K$3,"MAT",$C11:$K11,X$3)=0)*(COUNTIFS($C$3:$K$3,"NOTTE",$C11:$K11,X$3)=0))+((X11&lt;&gt;"Xp")*(COUNTIFS($C$3:$K$3,"POM",$C11:$K11,X$3)=0)*(COUNTIFS($C$3:$K$3,"NOTTE",$C11:$K11,X$3)=0))+((X11&lt;&gt;"Xs")*(X11&lt;&gt;"Cs")*(COUNTIFS($C$3:$K$3,"SERA",$C11:$K11,X$3)=0)*(COUNTIFS($C$3:$K$3,"NOTTE",$C11:$K11,X$3)=0))+((X11&lt;&gt;"Xn")*(COUNTIFS($C$3:$K$3,"MAT",$C11:$K11,X$3)=0)*(COUNTIFS($C$3:$K$3,"POM",$C11:$K11,X$3)=0)*(COUNTIFS($C$3:$K$3,"SERA",$C11:$K11,X$3)=0)*(COUNTIFS($C$3:$K$3,"NOTTE",$C11:$K11,X$3)=0))=0,"",IF(((X11&lt;&gt;"Xm")*(COUNTIFS($C$3:$K$3,"MAT",$C11:$K11,X$3)=0)*(COUNTIFS($C$3:$K$3,"NOTTE",$C11:$K11,X$3)=0))+((X11&lt;&gt;"Xp")*(COUNTIFS($C$3:$K$3,"POM",$C11:$K11,X$3)=0)*(COUNTIFS($C$3:$K$3,"NOTTE",$C11:$K11,X$3)=0))+((X11&lt;&gt;"Xs")*(X11&lt;&gt;"Cs")*(COUNTIFS($C$3:$K$3,"SERA",$C11:$K11,X$3)=0)*(COUNTIFS($C$3:$K$3,"NOTTE",$C11:$K11,X$3)=0))+((X11&lt;&gt;"Xn")*(COUNTIFS($C$3:$K$3,"MAT",$C11:$K11,X$3)=0)*(COUNTIFS($C$3:$K$3,"POM",$C11:$K11,X$3)=0)*(COUNTIFS($C$3:$K$3,"SERA",$C11:$K11,X$3)=0)*(COUNTIFS($C$3:$K$3,"NOTTE",$C11:$K11,X$3)=0))=4,X$3&amp;", ",X$3&amp;IF((X11&lt;&gt;"Xm")*(COUNTIFS($C$3:$K$3,"MAT",$C11:$K11,X$3)=0)*(COUNTIFS($C$3:$K$3,"NOTTE",$C11:$K11,X$3)=0),"_m","")&amp;IF((X11&lt;&gt;"Xp")*(COUNTIFS($C$3:$K$3,"POM",$C11:$K11,X$3)=0)*(COUNTIFS($C$3:$K$3,"NOTTE",$C11:$K11,X$3)=0),"_p","")&amp;IF((X11&lt;&gt;"Xs")*(X11&lt;&gt;"Cs")*(COUNTIFS($C$3:$K$3,"SERA",$C11:$K11,X$3)=0)*(COUNTIFS($C$3:$K$3,"NOTTE",$C11:$K11,X$3)=0),"_s","")&amp;IF((X11&lt;&gt;"Xn")*(COUNTIFS($C$3:$K$3,"MAT",$C11:$K11,X$3)=0)*(COUNTIFS($C$3:$K$3,"POM",$C11:$K11,X$3)=0)*(COUNTIFS($C$3:$K$3,"SERA",$C11:$K11,X$3)=0)*(COUNTIFS($C$3:$K$3,"NOTTE",$C11:$K11,X$3)=0),"_n","")&amp;", ")))</f>
        <v>CARLA, </v>
      </c>
      <c r="BD11" s="10" t="str">
        <f aca="false">IF((Y11="X")+(Y11="F")&gt;0,"",IF(((Y11&lt;&gt;"Xm")*(COUNTIFS($C$3:$K$3,"MAT",$C11:$K11,Y$3)=0)*(COUNTIFS($C$3:$K$3,"NOTTE",$C11:$K11,Y$3)=0))+((Y11&lt;&gt;"Xp")*(COUNTIFS($C$3:$K$3,"POM",$C11:$K11,Y$3)=0)*(COUNTIFS($C$3:$K$3,"NOTTE",$C11:$K11,Y$3)=0))+((Y11&lt;&gt;"Xs")*(Y11&lt;&gt;"Cs")*(COUNTIFS($C$3:$K$3,"SERA",$C11:$K11,Y$3)=0)*(COUNTIFS($C$3:$K$3,"NOTTE",$C11:$K11,Y$3)=0))+((Y11&lt;&gt;"Xn")*(COUNTIFS($C$3:$K$3,"MAT",$C11:$K11,Y$3)=0)*(COUNTIFS($C$3:$K$3,"POM",$C11:$K11,Y$3)=0)*(COUNTIFS($C$3:$K$3,"SERA",$C11:$K11,Y$3)=0)*(COUNTIFS($C$3:$K$3,"NOTTE",$C11:$K11,Y$3)=0))=0,"",IF(((Y11&lt;&gt;"Xm")*(COUNTIFS($C$3:$K$3,"MAT",$C11:$K11,Y$3)=0)*(COUNTIFS($C$3:$K$3,"NOTTE",$C11:$K11,Y$3)=0))+((Y11&lt;&gt;"Xp")*(COUNTIFS($C$3:$K$3,"POM",$C11:$K11,Y$3)=0)*(COUNTIFS($C$3:$K$3,"NOTTE",$C11:$K11,Y$3)=0))+((Y11&lt;&gt;"Xs")*(Y11&lt;&gt;"Cs")*(COUNTIFS($C$3:$K$3,"SERA",$C11:$K11,Y$3)=0)*(COUNTIFS($C$3:$K$3,"NOTTE",$C11:$K11,Y$3)=0))+((Y11&lt;&gt;"Xn")*(COUNTIFS($C$3:$K$3,"MAT",$C11:$K11,Y$3)=0)*(COUNTIFS($C$3:$K$3,"POM",$C11:$K11,Y$3)=0)*(COUNTIFS($C$3:$K$3,"SERA",$C11:$K11,Y$3)=0)*(COUNTIFS($C$3:$K$3,"NOTTE",$C11:$K11,Y$3)=0))=4,Y$3&amp;", ",Y$3&amp;IF((Y11&lt;&gt;"Xm")*(COUNTIFS($C$3:$K$3,"MAT",$C11:$K11,Y$3)=0)*(COUNTIFS($C$3:$K$3,"NOTTE",$C11:$K11,Y$3)=0),"_m","")&amp;IF((Y11&lt;&gt;"Xp")*(COUNTIFS($C$3:$K$3,"POM",$C11:$K11,Y$3)=0)*(COUNTIFS($C$3:$K$3,"NOTTE",$C11:$K11,Y$3)=0),"_p","")&amp;IF((Y11&lt;&gt;"Xs")*(Y11&lt;&gt;"Cs")*(COUNTIFS($C$3:$K$3,"SERA",$C11:$K11,Y$3)=0)*(COUNTIFS($C$3:$K$3,"NOTTE",$C11:$K11,Y$3)=0),"_s","")&amp;IF((Y11&lt;&gt;"Xn")*(COUNTIFS($C$3:$K$3,"MAT",$C11:$K11,Y$3)=0)*(COUNTIFS($C$3:$K$3,"POM",$C11:$K11,Y$3)=0)*(COUNTIFS($C$3:$K$3,"SERA",$C11:$K11,Y$3)=0)*(COUNTIFS($C$3:$K$3,"NOTTE",$C11:$K11,Y$3)=0),"_n","")&amp;", ")))</f>
        <v>DINO, </v>
      </c>
      <c r="BE11" s="10" t="str">
        <f aca="false">IF((Z11="X")+(Z11="F")&gt;0,"",IF(((Z11&lt;&gt;"Xm")*(COUNTIFS($C$3:$K$3,"MAT",$C11:$K11,Z$3)=0)*(COUNTIFS($C$3:$K$3,"NOTTE",$C11:$K11,Z$3)=0))+((Z11&lt;&gt;"Xp")*(COUNTIFS($C$3:$K$3,"POM",$C11:$K11,Z$3)=0)*(COUNTIFS($C$3:$K$3,"NOTTE",$C11:$K11,Z$3)=0))+((Z11&lt;&gt;"Xs")*(Z11&lt;&gt;"Cs")*(COUNTIFS($C$3:$K$3,"SERA",$C11:$K11,Z$3)=0)*(COUNTIFS($C$3:$K$3,"NOTTE",$C11:$K11,Z$3)=0))+((Z11&lt;&gt;"Xn")*(COUNTIFS($C$3:$K$3,"MAT",$C11:$K11,Z$3)=0)*(COUNTIFS($C$3:$K$3,"POM",$C11:$K11,Z$3)=0)*(COUNTIFS($C$3:$K$3,"SERA",$C11:$K11,Z$3)=0)*(COUNTIFS($C$3:$K$3,"NOTTE",$C11:$K11,Z$3)=0))=0,"",IF(((Z11&lt;&gt;"Xm")*(COUNTIFS($C$3:$K$3,"MAT",$C11:$K11,Z$3)=0)*(COUNTIFS($C$3:$K$3,"NOTTE",$C11:$K11,Z$3)=0))+((Z11&lt;&gt;"Xp")*(COUNTIFS($C$3:$K$3,"POM",$C11:$K11,Z$3)=0)*(COUNTIFS($C$3:$K$3,"NOTTE",$C11:$K11,Z$3)=0))+((Z11&lt;&gt;"Xs")*(Z11&lt;&gt;"Cs")*(COUNTIFS($C$3:$K$3,"SERA",$C11:$K11,Z$3)=0)*(COUNTIFS($C$3:$K$3,"NOTTE",$C11:$K11,Z$3)=0))+((Z11&lt;&gt;"Xn")*(COUNTIFS($C$3:$K$3,"MAT",$C11:$K11,Z$3)=0)*(COUNTIFS($C$3:$K$3,"POM",$C11:$K11,Z$3)=0)*(COUNTIFS($C$3:$K$3,"SERA",$C11:$K11,Z$3)=0)*(COUNTIFS($C$3:$K$3,"NOTTE",$C11:$K11,Z$3)=0))=4,Z$3&amp;", ",Z$3&amp;IF((Z11&lt;&gt;"Xm")*(COUNTIFS($C$3:$K$3,"MAT",$C11:$K11,Z$3)=0)*(COUNTIFS($C$3:$K$3,"NOTTE",$C11:$K11,Z$3)=0),"_m","")&amp;IF((Z11&lt;&gt;"Xp")*(COUNTIFS($C$3:$K$3,"POM",$C11:$K11,Z$3)=0)*(COUNTIFS($C$3:$K$3,"NOTTE",$C11:$K11,Z$3)=0),"_p","")&amp;IF((Z11&lt;&gt;"Xs")*(Z11&lt;&gt;"Cs")*(COUNTIFS($C$3:$K$3,"SERA",$C11:$K11,Z$3)=0)*(COUNTIFS($C$3:$K$3,"NOTTE",$C11:$K11,Z$3)=0),"_s","")&amp;IF((Z11&lt;&gt;"Xn")*(COUNTIFS($C$3:$K$3,"MAT",$C11:$K11,Z$3)=0)*(COUNTIFS($C$3:$K$3,"POM",$C11:$K11,Z$3)=0)*(COUNTIFS($C$3:$K$3,"SERA",$C11:$K11,Z$3)=0)*(COUNTIFS($C$3:$K$3,"NOTTE",$C11:$K11,Z$3)=0),"_n","")&amp;", ")))</f>
        <v>ELSA, </v>
      </c>
      <c r="BF11" s="10" t="str">
        <f aca="false">IF((AA11="X")+(AA11="F")&gt;0,"",IF(((AA11&lt;&gt;"Xm")*(COUNTIFS($C$3:$K$3,"MAT",$C11:$K11,AA$3)=0)*(COUNTIFS($C$3:$K$3,"NOTTE",$C11:$K11,AA$3)=0))+((AA11&lt;&gt;"Xp")*(COUNTIFS($C$3:$K$3,"POM",$C11:$K11,AA$3)=0)*(COUNTIFS($C$3:$K$3,"NOTTE",$C11:$K11,AA$3)=0))+((AA11&lt;&gt;"Xs")*(AA11&lt;&gt;"Cs")*(COUNTIFS($C$3:$K$3,"SERA",$C11:$K11,AA$3)=0)*(COUNTIFS($C$3:$K$3,"NOTTE",$C11:$K11,AA$3)=0))+((AA11&lt;&gt;"Xn")*(COUNTIFS($C$3:$K$3,"MAT",$C11:$K11,AA$3)=0)*(COUNTIFS($C$3:$K$3,"POM",$C11:$K11,AA$3)=0)*(COUNTIFS($C$3:$K$3,"SERA",$C11:$K11,AA$3)=0)*(COUNTIFS($C$3:$K$3,"NOTTE",$C11:$K11,AA$3)=0))=0,"",IF(((AA11&lt;&gt;"Xm")*(COUNTIFS($C$3:$K$3,"MAT",$C11:$K11,AA$3)=0)*(COUNTIFS($C$3:$K$3,"NOTTE",$C11:$K11,AA$3)=0))+((AA11&lt;&gt;"Xp")*(COUNTIFS($C$3:$K$3,"POM",$C11:$K11,AA$3)=0)*(COUNTIFS($C$3:$K$3,"NOTTE",$C11:$K11,AA$3)=0))+((AA11&lt;&gt;"Xs")*(AA11&lt;&gt;"Cs")*(COUNTIFS($C$3:$K$3,"SERA",$C11:$K11,AA$3)=0)*(COUNTIFS($C$3:$K$3,"NOTTE",$C11:$K11,AA$3)=0))+((AA11&lt;&gt;"Xn")*(COUNTIFS($C$3:$K$3,"MAT",$C11:$K11,AA$3)=0)*(COUNTIFS($C$3:$K$3,"POM",$C11:$K11,AA$3)=0)*(COUNTIFS($C$3:$K$3,"SERA",$C11:$K11,AA$3)=0)*(COUNTIFS($C$3:$K$3,"NOTTE",$C11:$K11,AA$3)=0))=4,AA$3&amp;", ",AA$3&amp;IF((AA11&lt;&gt;"Xm")*(COUNTIFS($C$3:$K$3,"MAT",$C11:$K11,AA$3)=0)*(COUNTIFS($C$3:$K$3,"NOTTE",$C11:$K11,AA$3)=0),"_m","")&amp;IF((AA11&lt;&gt;"Xp")*(COUNTIFS($C$3:$K$3,"POM",$C11:$K11,AA$3)=0)*(COUNTIFS($C$3:$K$3,"NOTTE",$C11:$K11,AA$3)=0),"_p","")&amp;IF((AA11&lt;&gt;"Xs")*(AA11&lt;&gt;"Cs")*(COUNTIFS($C$3:$K$3,"SERA",$C11:$K11,AA$3)=0)*(COUNTIFS($C$3:$K$3,"NOTTE",$C11:$K11,AA$3)=0),"_s","")&amp;IF((AA11&lt;&gt;"Xn")*(COUNTIFS($C$3:$K$3,"MAT",$C11:$K11,AA$3)=0)*(COUNTIFS($C$3:$K$3,"POM",$C11:$K11,AA$3)=0)*(COUNTIFS($C$3:$K$3,"SERA",$C11:$K11,AA$3)=0)*(COUNTIFS($C$3:$K$3,"NOTTE",$C11:$K11,AA$3)=0),"_n","")&amp;", ")))</f>
        <v>FABIO, </v>
      </c>
    </row>
    <row r="12" customFormat="false" ht="15" hidden="false" customHeight="false" outlineLevel="0" collapsed="false">
      <c r="A12" s="4" t="str">
        <f aca="false">CHOOSE(WEEKDAY(DATE($B$1,$A$2,B12),2),"lunedì","martedì","mercoledì","giovedì","venerdì","sabato","domenica")</f>
        <v>martedì</v>
      </c>
      <c r="B12" s="4" t="n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 t="str">
        <f aca="false">IF(SUMPRODUCT(($C$3:$K$3&lt;&gt;"")*($C12:$K12&lt;&gt;"")*(COUNTIFS($C12:$K12,$C12:$K12,$C$3:$K$3,$C$3:$K$3)&gt;1))&gt;0,"X","")</f>
        <v/>
      </c>
      <c r="N12" s="5" t="str">
        <f aca="false">IF(LEN(AT12&amp;AU12&amp;AV12&amp;AW12&amp;AX12&amp;AY12)=0,"",LEFT(AT12&amp;AU12&amp;AV12&amp;AW12&amp;AX12&amp;AY12,LEN(AT12&amp;AU12&amp;AV12&amp;AW12&amp;AX12&amp;AY12)-2))</f>
        <v>ALBA, BRUNO, CARLA, DINO, ELSA, FABIO</v>
      </c>
      <c r="O12" s="5" t="str">
        <f aca="false">IF(LEN(BA12&amp;BB12&amp;BC12&amp;BD12&amp;BE12&amp;BF12)=0,"",LEFT(BA12&amp;BB12&amp;BC12&amp;BD12&amp;BE12&amp;BF12,LEN(BA12&amp;BB12&amp;BC12&amp;BD12&amp;BE12&amp;BF12)-2))</f>
        <v>ALBA, BRUNO, CARLA, DINO, ELSA, FABIO</v>
      </c>
      <c r="T12" s="4" t="str">
        <f aca="false">A12</f>
        <v>martedì</v>
      </c>
      <c r="U12" s="4" t="n">
        <f aca="false">B12</f>
        <v>9</v>
      </c>
      <c r="V12" s="5"/>
      <c r="W12" s="5"/>
      <c r="X12" s="5"/>
      <c r="Y12" s="5"/>
      <c r="Z12" s="5"/>
      <c r="AA12" s="5"/>
      <c r="AM12" s="12" t="s">
        <v>45</v>
      </c>
      <c r="AT12" s="10" t="str">
        <f aca="false">IF((V12="X")+(V12="F")&gt;0,"",IF(((V12&lt;&gt;"Xm"))+((V12&lt;&gt;"Xp"))+((V12&lt;&gt;"Xs")*(V12&lt;&gt;"Cs"))+((V12&lt;&gt;"Xn"))=0,"",IF(((V12&lt;&gt;"Xm"))+((V12&lt;&gt;"Xp"))+((V12&lt;&gt;"Xs")*(V12&lt;&gt;"Cs"))+((V12&lt;&gt;"Xn"))=4,V$3&amp;", ",V$3&amp;IF((V12&lt;&gt;"Xm"),"_m","")&amp;IF((V12&lt;&gt;"Xp"),"_p","")&amp;IF((V12&lt;&gt;"Xs")*(V12&lt;&gt;"Cs"),"_s","")&amp;IF((V12&lt;&gt;"Xn"),"_n","")&amp;", ")))</f>
        <v>ALBA, </v>
      </c>
      <c r="AU12" s="10" t="str">
        <f aca="false">IF((W12="X")+(W12="F")&gt;0,"",IF(((W12&lt;&gt;"Xm"))+((W12&lt;&gt;"Xp"))+((W12&lt;&gt;"Xs")*(W12&lt;&gt;"Cs"))+((W12&lt;&gt;"Xn"))=0,"",IF(((W12&lt;&gt;"Xm"))+((W12&lt;&gt;"Xp"))+((W12&lt;&gt;"Xs")*(W12&lt;&gt;"Cs"))+((W12&lt;&gt;"Xn"))=4,W$3&amp;", ",W$3&amp;IF((W12&lt;&gt;"Xm"),"_m","")&amp;IF((W12&lt;&gt;"Xp"),"_p","")&amp;IF((W12&lt;&gt;"Xs")*(W12&lt;&gt;"Cs"),"_s","")&amp;IF((W12&lt;&gt;"Xn"),"_n","")&amp;", ")))</f>
        <v>BRUNO, </v>
      </c>
      <c r="AV12" s="10" t="str">
        <f aca="false">IF((X12="X")+(X12="F")&gt;0,"",IF(((X12&lt;&gt;"Xm"))+((X12&lt;&gt;"Xp"))+((X12&lt;&gt;"Xs")*(X12&lt;&gt;"Cs"))+((X12&lt;&gt;"Xn"))=0,"",IF(((X12&lt;&gt;"Xm"))+((X12&lt;&gt;"Xp"))+((X12&lt;&gt;"Xs")*(X12&lt;&gt;"Cs"))+((X12&lt;&gt;"Xn"))=4,X$3&amp;", ",X$3&amp;IF((X12&lt;&gt;"Xm"),"_m","")&amp;IF((X12&lt;&gt;"Xp"),"_p","")&amp;IF((X12&lt;&gt;"Xs")*(X12&lt;&gt;"Cs"),"_s","")&amp;IF((X12&lt;&gt;"Xn"),"_n","")&amp;", ")))</f>
        <v>CARLA, </v>
      </c>
      <c r="AW12" s="10" t="str">
        <f aca="false">IF((Y12="X")+(Y12="F")&gt;0,"",IF(((Y12&lt;&gt;"Xm"))+((Y12&lt;&gt;"Xp"))+((Y12&lt;&gt;"Xs")*(Y12&lt;&gt;"Cs"))+((Y12&lt;&gt;"Xn"))=0,"",IF(((Y12&lt;&gt;"Xm"))+((Y12&lt;&gt;"Xp"))+((Y12&lt;&gt;"Xs")*(Y12&lt;&gt;"Cs"))+((Y12&lt;&gt;"Xn"))=4,Y$3&amp;", ",Y$3&amp;IF((Y12&lt;&gt;"Xm"),"_m","")&amp;IF((Y12&lt;&gt;"Xp"),"_p","")&amp;IF((Y12&lt;&gt;"Xs")*(Y12&lt;&gt;"Cs"),"_s","")&amp;IF((Y12&lt;&gt;"Xn"),"_n","")&amp;", ")))</f>
        <v>DINO, </v>
      </c>
      <c r="AX12" s="10" t="str">
        <f aca="false">IF((Z12="X")+(Z12="F")&gt;0,"",IF(((Z12&lt;&gt;"Xm"))+((Z12&lt;&gt;"Xp"))+((Z12&lt;&gt;"Xs")*(Z12&lt;&gt;"Cs"))+((Z12&lt;&gt;"Xn"))=0,"",IF(((Z12&lt;&gt;"Xm"))+((Z12&lt;&gt;"Xp"))+((Z12&lt;&gt;"Xs")*(Z12&lt;&gt;"Cs"))+((Z12&lt;&gt;"Xn"))=4,Z$3&amp;", ",Z$3&amp;IF((Z12&lt;&gt;"Xm"),"_m","")&amp;IF((Z12&lt;&gt;"Xp"),"_p","")&amp;IF((Z12&lt;&gt;"Xs")*(Z12&lt;&gt;"Cs"),"_s","")&amp;IF((Z12&lt;&gt;"Xn"),"_n","")&amp;", ")))</f>
        <v>ELSA, </v>
      </c>
      <c r="AY12" s="10" t="str">
        <f aca="false">IF((AA12="X")+(AA12="F")&gt;0,"",IF(((AA12&lt;&gt;"Xm"))+((AA12&lt;&gt;"Xp"))+((AA12&lt;&gt;"Xs")*(AA12&lt;&gt;"Cs"))+((AA12&lt;&gt;"Xn"))=0,"",IF(((AA12&lt;&gt;"Xm"))+((AA12&lt;&gt;"Xp"))+((AA12&lt;&gt;"Xs")*(AA12&lt;&gt;"Cs"))+((AA12&lt;&gt;"Xn"))=4,AA$3&amp;", ",AA$3&amp;IF((AA12&lt;&gt;"Xm"),"_m","")&amp;IF((AA12&lt;&gt;"Xp"),"_p","")&amp;IF((AA12&lt;&gt;"Xs")*(AA12&lt;&gt;"Cs"),"_s","")&amp;IF((AA12&lt;&gt;"Xn"),"_n","")&amp;", ")))</f>
        <v>FABIO, </v>
      </c>
      <c r="AZ12" s="10"/>
      <c r="BA12" s="10" t="str">
        <f aca="false">IF((V12="X")+(V12="F")&gt;0,"",IF(((V12&lt;&gt;"Xm")*(COUNTIFS($C$3:$K$3,"MAT",$C12:$K12,V$3)=0)*(COUNTIFS($C$3:$K$3,"NOTTE",$C12:$K12,V$3)=0))+((V12&lt;&gt;"Xp")*(COUNTIFS($C$3:$K$3,"POM",$C12:$K12,V$3)=0)*(COUNTIFS($C$3:$K$3,"NOTTE",$C12:$K12,V$3)=0))+((V12&lt;&gt;"Xs")*(V12&lt;&gt;"Cs")*(COUNTIFS($C$3:$K$3,"SERA",$C12:$K12,V$3)=0)*(COUNTIFS($C$3:$K$3,"NOTTE",$C12:$K12,V$3)=0))+((V12&lt;&gt;"Xn")*(COUNTIFS($C$3:$K$3,"MAT",$C12:$K12,V$3)=0)*(COUNTIFS($C$3:$K$3,"POM",$C12:$K12,V$3)=0)*(COUNTIFS($C$3:$K$3,"SERA",$C12:$K12,V$3)=0)*(COUNTIFS($C$3:$K$3,"NOTTE",$C12:$K12,V$3)=0))=0,"",IF(((V12&lt;&gt;"Xm")*(COUNTIFS($C$3:$K$3,"MAT",$C12:$K12,V$3)=0)*(COUNTIFS($C$3:$K$3,"NOTTE",$C12:$K12,V$3)=0))+((V12&lt;&gt;"Xp")*(COUNTIFS($C$3:$K$3,"POM",$C12:$K12,V$3)=0)*(COUNTIFS($C$3:$K$3,"NOTTE",$C12:$K12,V$3)=0))+((V12&lt;&gt;"Xs")*(V12&lt;&gt;"Cs")*(COUNTIFS($C$3:$K$3,"SERA",$C12:$K12,V$3)=0)*(COUNTIFS($C$3:$K$3,"NOTTE",$C12:$K12,V$3)=0))+((V12&lt;&gt;"Xn")*(COUNTIFS($C$3:$K$3,"MAT",$C12:$K12,V$3)=0)*(COUNTIFS($C$3:$K$3,"POM",$C12:$K12,V$3)=0)*(COUNTIFS($C$3:$K$3,"SERA",$C12:$K12,V$3)=0)*(COUNTIFS($C$3:$K$3,"NOTTE",$C12:$K12,V$3)=0))=4,V$3&amp;", ",V$3&amp;IF((V12&lt;&gt;"Xm")*(COUNTIFS($C$3:$K$3,"MAT",$C12:$K12,V$3)=0)*(COUNTIFS($C$3:$K$3,"NOTTE",$C12:$K12,V$3)=0),"_m","")&amp;IF((V12&lt;&gt;"Xp")*(COUNTIFS($C$3:$K$3,"POM",$C12:$K12,V$3)=0)*(COUNTIFS($C$3:$K$3,"NOTTE",$C12:$K12,V$3)=0),"_p","")&amp;IF((V12&lt;&gt;"Xs")*(V12&lt;&gt;"Cs")*(COUNTIFS($C$3:$K$3,"SERA",$C12:$K12,V$3)=0)*(COUNTIFS($C$3:$K$3,"NOTTE",$C12:$K12,V$3)=0),"_s","")&amp;IF((V12&lt;&gt;"Xn")*(COUNTIFS($C$3:$K$3,"MAT",$C12:$K12,V$3)=0)*(COUNTIFS($C$3:$K$3,"POM",$C12:$K12,V$3)=0)*(COUNTIFS($C$3:$K$3,"SERA",$C12:$K12,V$3)=0)*(COUNTIFS($C$3:$K$3,"NOTTE",$C12:$K12,V$3)=0),"_n","")&amp;", ")))</f>
        <v>ALBA, </v>
      </c>
      <c r="BB12" s="10" t="str">
        <f aca="false">IF((W12="X")+(W12="F")&gt;0,"",IF(((W12&lt;&gt;"Xm")*(COUNTIFS($C$3:$K$3,"MAT",$C12:$K12,W$3)=0)*(COUNTIFS($C$3:$K$3,"NOTTE",$C12:$K12,W$3)=0))+((W12&lt;&gt;"Xp")*(COUNTIFS($C$3:$K$3,"POM",$C12:$K12,W$3)=0)*(COUNTIFS($C$3:$K$3,"NOTTE",$C12:$K12,W$3)=0))+((W12&lt;&gt;"Xs")*(W12&lt;&gt;"Cs")*(COUNTIFS($C$3:$K$3,"SERA",$C12:$K12,W$3)=0)*(COUNTIFS($C$3:$K$3,"NOTTE",$C12:$K12,W$3)=0))+((W12&lt;&gt;"Xn")*(COUNTIFS($C$3:$K$3,"MAT",$C12:$K12,W$3)=0)*(COUNTIFS($C$3:$K$3,"POM",$C12:$K12,W$3)=0)*(COUNTIFS($C$3:$K$3,"SERA",$C12:$K12,W$3)=0)*(COUNTIFS($C$3:$K$3,"NOTTE",$C12:$K12,W$3)=0))=0,"",IF(((W12&lt;&gt;"Xm")*(COUNTIFS($C$3:$K$3,"MAT",$C12:$K12,W$3)=0)*(COUNTIFS($C$3:$K$3,"NOTTE",$C12:$K12,W$3)=0))+((W12&lt;&gt;"Xp")*(COUNTIFS($C$3:$K$3,"POM",$C12:$K12,W$3)=0)*(COUNTIFS($C$3:$K$3,"NOTTE",$C12:$K12,W$3)=0))+((W12&lt;&gt;"Xs")*(W12&lt;&gt;"Cs")*(COUNTIFS($C$3:$K$3,"SERA",$C12:$K12,W$3)=0)*(COUNTIFS($C$3:$K$3,"NOTTE",$C12:$K12,W$3)=0))+((W12&lt;&gt;"Xn")*(COUNTIFS($C$3:$K$3,"MAT",$C12:$K12,W$3)=0)*(COUNTIFS($C$3:$K$3,"POM",$C12:$K12,W$3)=0)*(COUNTIFS($C$3:$K$3,"SERA",$C12:$K12,W$3)=0)*(COUNTIFS($C$3:$K$3,"NOTTE",$C12:$K12,W$3)=0))=4,W$3&amp;", ",W$3&amp;IF((W12&lt;&gt;"Xm")*(COUNTIFS($C$3:$K$3,"MAT",$C12:$K12,W$3)=0)*(COUNTIFS($C$3:$K$3,"NOTTE",$C12:$K12,W$3)=0),"_m","")&amp;IF((W12&lt;&gt;"Xp")*(COUNTIFS($C$3:$K$3,"POM",$C12:$K12,W$3)=0)*(COUNTIFS($C$3:$K$3,"NOTTE",$C12:$K12,W$3)=0),"_p","")&amp;IF((W12&lt;&gt;"Xs")*(W12&lt;&gt;"Cs")*(COUNTIFS($C$3:$K$3,"SERA",$C12:$K12,W$3)=0)*(COUNTIFS($C$3:$K$3,"NOTTE",$C12:$K12,W$3)=0),"_s","")&amp;IF((W12&lt;&gt;"Xn")*(COUNTIFS($C$3:$K$3,"MAT",$C12:$K12,W$3)=0)*(COUNTIFS($C$3:$K$3,"POM",$C12:$K12,W$3)=0)*(COUNTIFS($C$3:$K$3,"SERA",$C12:$K12,W$3)=0)*(COUNTIFS($C$3:$K$3,"NOTTE",$C12:$K12,W$3)=0),"_n","")&amp;", ")))</f>
        <v>BRUNO, </v>
      </c>
      <c r="BC12" s="10" t="str">
        <f aca="false">IF((X12="X")+(X12="F")&gt;0,"",IF(((X12&lt;&gt;"Xm")*(COUNTIFS($C$3:$K$3,"MAT",$C12:$K12,X$3)=0)*(COUNTIFS($C$3:$K$3,"NOTTE",$C12:$K12,X$3)=0))+((X12&lt;&gt;"Xp")*(COUNTIFS($C$3:$K$3,"POM",$C12:$K12,X$3)=0)*(COUNTIFS($C$3:$K$3,"NOTTE",$C12:$K12,X$3)=0))+((X12&lt;&gt;"Xs")*(X12&lt;&gt;"Cs")*(COUNTIFS($C$3:$K$3,"SERA",$C12:$K12,X$3)=0)*(COUNTIFS($C$3:$K$3,"NOTTE",$C12:$K12,X$3)=0))+((X12&lt;&gt;"Xn")*(COUNTIFS($C$3:$K$3,"MAT",$C12:$K12,X$3)=0)*(COUNTIFS($C$3:$K$3,"POM",$C12:$K12,X$3)=0)*(COUNTIFS($C$3:$K$3,"SERA",$C12:$K12,X$3)=0)*(COUNTIFS($C$3:$K$3,"NOTTE",$C12:$K12,X$3)=0))=0,"",IF(((X12&lt;&gt;"Xm")*(COUNTIFS($C$3:$K$3,"MAT",$C12:$K12,X$3)=0)*(COUNTIFS($C$3:$K$3,"NOTTE",$C12:$K12,X$3)=0))+((X12&lt;&gt;"Xp")*(COUNTIFS($C$3:$K$3,"POM",$C12:$K12,X$3)=0)*(COUNTIFS($C$3:$K$3,"NOTTE",$C12:$K12,X$3)=0))+((X12&lt;&gt;"Xs")*(X12&lt;&gt;"Cs")*(COUNTIFS($C$3:$K$3,"SERA",$C12:$K12,X$3)=0)*(COUNTIFS($C$3:$K$3,"NOTTE",$C12:$K12,X$3)=0))+((X12&lt;&gt;"Xn")*(COUNTIFS($C$3:$K$3,"MAT",$C12:$K12,X$3)=0)*(COUNTIFS($C$3:$K$3,"POM",$C12:$K12,X$3)=0)*(COUNTIFS($C$3:$K$3,"SERA",$C12:$K12,X$3)=0)*(COUNTIFS($C$3:$K$3,"NOTTE",$C12:$K12,X$3)=0))=4,X$3&amp;", ",X$3&amp;IF((X12&lt;&gt;"Xm")*(COUNTIFS($C$3:$K$3,"MAT",$C12:$K12,X$3)=0)*(COUNTIFS($C$3:$K$3,"NOTTE",$C12:$K12,X$3)=0),"_m","")&amp;IF((X12&lt;&gt;"Xp")*(COUNTIFS($C$3:$K$3,"POM",$C12:$K12,X$3)=0)*(COUNTIFS($C$3:$K$3,"NOTTE",$C12:$K12,X$3)=0),"_p","")&amp;IF((X12&lt;&gt;"Xs")*(X12&lt;&gt;"Cs")*(COUNTIFS($C$3:$K$3,"SERA",$C12:$K12,X$3)=0)*(COUNTIFS($C$3:$K$3,"NOTTE",$C12:$K12,X$3)=0),"_s","")&amp;IF((X12&lt;&gt;"Xn")*(COUNTIFS($C$3:$K$3,"MAT",$C12:$K12,X$3)=0)*(COUNTIFS($C$3:$K$3,"POM",$C12:$K12,X$3)=0)*(COUNTIFS($C$3:$K$3,"SERA",$C12:$K12,X$3)=0)*(COUNTIFS($C$3:$K$3,"NOTTE",$C12:$K12,X$3)=0),"_n","")&amp;", ")))</f>
        <v>CARLA, </v>
      </c>
      <c r="BD12" s="10" t="str">
        <f aca="false">IF((Y12="X")+(Y12="F")&gt;0,"",IF(((Y12&lt;&gt;"Xm")*(COUNTIFS($C$3:$K$3,"MAT",$C12:$K12,Y$3)=0)*(COUNTIFS($C$3:$K$3,"NOTTE",$C12:$K12,Y$3)=0))+((Y12&lt;&gt;"Xp")*(COUNTIFS($C$3:$K$3,"POM",$C12:$K12,Y$3)=0)*(COUNTIFS($C$3:$K$3,"NOTTE",$C12:$K12,Y$3)=0))+((Y12&lt;&gt;"Xs")*(Y12&lt;&gt;"Cs")*(COUNTIFS($C$3:$K$3,"SERA",$C12:$K12,Y$3)=0)*(COUNTIFS($C$3:$K$3,"NOTTE",$C12:$K12,Y$3)=0))+((Y12&lt;&gt;"Xn")*(COUNTIFS($C$3:$K$3,"MAT",$C12:$K12,Y$3)=0)*(COUNTIFS($C$3:$K$3,"POM",$C12:$K12,Y$3)=0)*(COUNTIFS($C$3:$K$3,"SERA",$C12:$K12,Y$3)=0)*(COUNTIFS($C$3:$K$3,"NOTTE",$C12:$K12,Y$3)=0))=0,"",IF(((Y12&lt;&gt;"Xm")*(COUNTIFS($C$3:$K$3,"MAT",$C12:$K12,Y$3)=0)*(COUNTIFS($C$3:$K$3,"NOTTE",$C12:$K12,Y$3)=0))+((Y12&lt;&gt;"Xp")*(COUNTIFS($C$3:$K$3,"POM",$C12:$K12,Y$3)=0)*(COUNTIFS($C$3:$K$3,"NOTTE",$C12:$K12,Y$3)=0))+((Y12&lt;&gt;"Xs")*(Y12&lt;&gt;"Cs")*(COUNTIFS($C$3:$K$3,"SERA",$C12:$K12,Y$3)=0)*(COUNTIFS($C$3:$K$3,"NOTTE",$C12:$K12,Y$3)=0))+((Y12&lt;&gt;"Xn")*(COUNTIFS($C$3:$K$3,"MAT",$C12:$K12,Y$3)=0)*(COUNTIFS($C$3:$K$3,"POM",$C12:$K12,Y$3)=0)*(COUNTIFS($C$3:$K$3,"SERA",$C12:$K12,Y$3)=0)*(COUNTIFS($C$3:$K$3,"NOTTE",$C12:$K12,Y$3)=0))=4,Y$3&amp;", ",Y$3&amp;IF((Y12&lt;&gt;"Xm")*(COUNTIFS($C$3:$K$3,"MAT",$C12:$K12,Y$3)=0)*(COUNTIFS($C$3:$K$3,"NOTTE",$C12:$K12,Y$3)=0),"_m","")&amp;IF((Y12&lt;&gt;"Xp")*(COUNTIFS($C$3:$K$3,"POM",$C12:$K12,Y$3)=0)*(COUNTIFS($C$3:$K$3,"NOTTE",$C12:$K12,Y$3)=0),"_p","")&amp;IF((Y12&lt;&gt;"Xs")*(Y12&lt;&gt;"Cs")*(COUNTIFS($C$3:$K$3,"SERA",$C12:$K12,Y$3)=0)*(COUNTIFS($C$3:$K$3,"NOTTE",$C12:$K12,Y$3)=0),"_s","")&amp;IF((Y12&lt;&gt;"Xn")*(COUNTIFS($C$3:$K$3,"MAT",$C12:$K12,Y$3)=0)*(COUNTIFS($C$3:$K$3,"POM",$C12:$K12,Y$3)=0)*(COUNTIFS($C$3:$K$3,"SERA",$C12:$K12,Y$3)=0)*(COUNTIFS($C$3:$K$3,"NOTTE",$C12:$K12,Y$3)=0),"_n","")&amp;", ")))</f>
        <v>DINO, </v>
      </c>
      <c r="BE12" s="10" t="str">
        <f aca="false">IF((Z12="X")+(Z12="F")&gt;0,"",IF(((Z12&lt;&gt;"Xm")*(COUNTIFS($C$3:$K$3,"MAT",$C12:$K12,Z$3)=0)*(COUNTIFS($C$3:$K$3,"NOTTE",$C12:$K12,Z$3)=0))+((Z12&lt;&gt;"Xp")*(COUNTIFS($C$3:$K$3,"POM",$C12:$K12,Z$3)=0)*(COUNTIFS($C$3:$K$3,"NOTTE",$C12:$K12,Z$3)=0))+((Z12&lt;&gt;"Xs")*(Z12&lt;&gt;"Cs")*(COUNTIFS($C$3:$K$3,"SERA",$C12:$K12,Z$3)=0)*(COUNTIFS($C$3:$K$3,"NOTTE",$C12:$K12,Z$3)=0))+((Z12&lt;&gt;"Xn")*(COUNTIFS($C$3:$K$3,"MAT",$C12:$K12,Z$3)=0)*(COUNTIFS($C$3:$K$3,"POM",$C12:$K12,Z$3)=0)*(COUNTIFS($C$3:$K$3,"SERA",$C12:$K12,Z$3)=0)*(COUNTIFS($C$3:$K$3,"NOTTE",$C12:$K12,Z$3)=0))=0,"",IF(((Z12&lt;&gt;"Xm")*(COUNTIFS($C$3:$K$3,"MAT",$C12:$K12,Z$3)=0)*(COUNTIFS($C$3:$K$3,"NOTTE",$C12:$K12,Z$3)=0))+((Z12&lt;&gt;"Xp")*(COUNTIFS($C$3:$K$3,"POM",$C12:$K12,Z$3)=0)*(COUNTIFS($C$3:$K$3,"NOTTE",$C12:$K12,Z$3)=0))+((Z12&lt;&gt;"Xs")*(Z12&lt;&gt;"Cs")*(COUNTIFS($C$3:$K$3,"SERA",$C12:$K12,Z$3)=0)*(COUNTIFS($C$3:$K$3,"NOTTE",$C12:$K12,Z$3)=0))+((Z12&lt;&gt;"Xn")*(COUNTIFS($C$3:$K$3,"MAT",$C12:$K12,Z$3)=0)*(COUNTIFS($C$3:$K$3,"POM",$C12:$K12,Z$3)=0)*(COUNTIFS($C$3:$K$3,"SERA",$C12:$K12,Z$3)=0)*(COUNTIFS($C$3:$K$3,"NOTTE",$C12:$K12,Z$3)=0))=4,Z$3&amp;", ",Z$3&amp;IF((Z12&lt;&gt;"Xm")*(COUNTIFS($C$3:$K$3,"MAT",$C12:$K12,Z$3)=0)*(COUNTIFS($C$3:$K$3,"NOTTE",$C12:$K12,Z$3)=0),"_m","")&amp;IF((Z12&lt;&gt;"Xp")*(COUNTIFS($C$3:$K$3,"POM",$C12:$K12,Z$3)=0)*(COUNTIFS($C$3:$K$3,"NOTTE",$C12:$K12,Z$3)=0),"_p","")&amp;IF((Z12&lt;&gt;"Xs")*(Z12&lt;&gt;"Cs")*(COUNTIFS($C$3:$K$3,"SERA",$C12:$K12,Z$3)=0)*(COUNTIFS($C$3:$K$3,"NOTTE",$C12:$K12,Z$3)=0),"_s","")&amp;IF((Z12&lt;&gt;"Xn")*(COUNTIFS($C$3:$K$3,"MAT",$C12:$K12,Z$3)=0)*(COUNTIFS($C$3:$K$3,"POM",$C12:$K12,Z$3)=0)*(COUNTIFS($C$3:$K$3,"SERA",$C12:$K12,Z$3)=0)*(COUNTIFS($C$3:$K$3,"NOTTE",$C12:$K12,Z$3)=0),"_n","")&amp;", ")))</f>
        <v>ELSA, </v>
      </c>
      <c r="BF12" s="10" t="str">
        <f aca="false">IF((AA12="X")+(AA12="F")&gt;0,"",IF(((AA12&lt;&gt;"Xm")*(COUNTIFS($C$3:$K$3,"MAT",$C12:$K12,AA$3)=0)*(COUNTIFS($C$3:$K$3,"NOTTE",$C12:$K12,AA$3)=0))+((AA12&lt;&gt;"Xp")*(COUNTIFS($C$3:$K$3,"POM",$C12:$K12,AA$3)=0)*(COUNTIFS($C$3:$K$3,"NOTTE",$C12:$K12,AA$3)=0))+((AA12&lt;&gt;"Xs")*(AA12&lt;&gt;"Cs")*(COUNTIFS($C$3:$K$3,"SERA",$C12:$K12,AA$3)=0)*(COUNTIFS($C$3:$K$3,"NOTTE",$C12:$K12,AA$3)=0))+((AA12&lt;&gt;"Xn")*(COUNTIFS($C$3:$K$3,"MAT",$C12:$K12,AA$3)=0)*(COUNTIFS($C$3:$K$3,"POM",$C12:$K12,AA$3)=0)*(COUNTIFS($C$3:$K$3,"SERA",$C12:$K12,AA$3)=0)*(COUNTIFS($C$3:$K$3,"NOTTE",$C12:$K12,AA$3)=0))=0,"",IF(((AA12&lt;&gt;"Xm")*(COUNTIFS($C$3:$K$3,"MAT",$C12:$K12,AA$3)=0)*(COUNTIFS($C$3:$K$3,"NOTTE",$C12:$K12,AA$3)=0))+((AA12&lt;&gt;"Xp")*(COUNTIFS($C$3:$K$3,"POM",$C12:$K12,AA$3)=0)*(COUNTIFS($C$3:$K$3,"NOTTE",$C12:$K12,AA$3)=0))+((AA12&lt;&gt;"Xs")*(AA12&lt;&gt;"Cs")*(COUNTIFS($C$3:$K$3,"SERA",$C12:$K12,AA$3)=0)*(COUNTIFS($C$3:$K$3,"NOTTE",$C12:$K12,AA$3)=0))+((AA12&lt;&gt;"Xn")*(COUNTIFS($C$3:$K$3,"MAT",$C12:$K12,AA$3)=0)*(COUNTIFS($C$3:$K$3,"POM",$C12:$K12,AA$3)=0)*(COUNTIFS($C$3:$K$3,"SERA",$C12:$K12,AA$3)=0)*(COUNTIFS($C$3:$K$3,"NOTTE",$C12:$K12,AA$3)=0))=4,AA$3&amp;", ",AA$3&amp;IF((AA12&lt;&gt;"Xm")*(COUNTIFS($C$3:$K$3,"MAT",$C12:$K12,AA$3)=0)*(COUNTIFS($C$3:$K$3,"NOTTE",$C12:$K12,AA$3)=0),"_m","")&amp;IF((AA12&lt;&gt;"Xp")*(COUNTIFS($C$3:$K$3,"POM",$C12:$K12,AA$3)=0)*(COUNTIFS($C$3:$K$3,"NOTTE",$C12:$K12,AA$3)=0),"_p","")&amp;IF((AA12&lt;&gt;"Xs")*(AA12&lt;&gt;"Cs")*(COUNTIFS($C$3:$K$3,"SERA",$C12:$K12,AA$3)=0)*(COUNTIFS($C$3:$K$3,"NOTTE",$C12:$K12,AA$3)=0),"_s","")&amp;IF((AA12&lt;&gt;"Xn")*(COUNTIFS($C$3:$K$3,"MAT",$C12:$K12,AA$3)=0)*(COUNTIFS($C$3:$K$3,"POM",$C12:$K12,AA$3)=0)*(COUNTIFS($C$3:$K$3,"SERA",$C12:$K12,AA$3)=0)*(COUNTIFS($C$3:$K$3,"NOTTE",$C12:$K12,AA$3)=0),"_n","")&amp;", ")))</f>
        <v>FABIO, </v>
      </c>
    </row>
    <row r="13" customFormat="false" ht="15" hidden="false" customHeight="false" outlineLevel="0" collapsed="false">
      <c r="A13" s="4" t="str">
        <f aca="false">CHOOSE(WEEKDAY(DATE($B$1,$A$2,B13),2),"lunedì","martedì","mercoledì","giovedì","venerdì","sabato","domenica")</f>
        <v>mercoledì</v>
      </c>
      <c r="B13" s="4" t="n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 t="str">
        <f aca="false">IF(SUMPRODUCT(($C$3:$K$3&lt;&gt;"")*($C13:$K13&lt;&gt;"")*(COUNTIFS($C13:$K13,$C13:$K13,$C$3:$K$3,$C$3:$K$3)&gt;1))&gt;0,"X","")</f>
        <v/>
      </c>
      <c r="N13" s="5" t="str">
        <f aca="false">IF(LEN(AT13&amp;AU13&amp;AV13&amp;AW13&amp;AX13&amp;AY13)=0,"",LEFT(AT13&amp;AU13&amp;AV13&amp;AW13&amp;AX13&amp;AY13,LEN(AT13&amp;AU13&amp;AV13&amp;AW13&amp;AX13&amp;AY13)-2))</f>
        <v>ALBA, BRUNO, CARLA, DINO, ELSA, FABIO</v>
      </c>
      <c r="O13" s="5" t="str">
        <f aca="false">IF(LEN(BA13&amp;BB13&amp;BC13&amp;BD13&amp;BE13&amp;BF13)=0,"",LEFT(BA13&amp;BB13&amp;BC13&amp;BD13&amp;BE13&amp;BF13,LEN(BA13&amp;BB13&amp;BC13&amp;BD13&amp;BE13&amp;BF13)-2))</f>
        <v>ALBA, BRUNO, CARLA, DINO, ELSA, FABIO</v>
      </c>
      <c r="T13" s="4" t="str">
        <f aca="false">A13</f>
        <v>mercoledì</v>
      </c>
      <c r="U13" s="4" t="n">
        <f aca="false">B13</f>
        <v>10</v>
      </c>
      <c r="V13" s="5"/>
      <c r="W13" s="5"/>
      <c r="X13" s="5"/>
      <c r="Y13" s="5"/>
      <c r="Z13" s="5"/>
      <c r="AA13" s="5"/>
      <c r="AT13" s="10" t="str">
        <f aca="false">IF((V13="X")+(V13="F")&gt;0,"",IF(((V13&lt;&gt;"Xm"))+((V13&lt;&gt;"Xp"))+((V13&lt;&gt;"Xs")*(V13&lt;&gt;"Cs"))+((V13&lt;&gt;"Xn"))=0,"",IF(((V13&lt;&gt;"Xm"))+((V13&lt;&gt;"Xp"))+((V13&lt;&gt;"Xs")*(V13&lt;&gt;"Cs"))+((V13&lt;&gt;"Xn"))=4,V$3&amp;", ",V$3&amp;IF((V13&lt;&gt;"Xm"),"_m","")&amp;IF((V13&lt;&gt;"Xp"),"_p","")&amp;IF((V13&lt;&gt;"Xs")*(V13&lt;&gt;"Cs"),"_s","")&amp;IF((V13&lt;&gt;"Xn"),"_n","")&amp;", ")))</f>
        <v>ALBA, </v>
      </c>
      <c r="AU13" s="10" t="str">
        <f aca="false">IF((W13="X")+(W13="F")&gt;0,"",IF(((W13&lt;&gt;"Xm"))+((W13&lt;&gt;"Xp"))+((W13&lt;&gt;"Xs")*(W13&lt;&gt;"Cs"))+((W13&lt;&gt;"Xn"))=0,"",IF(((W13&lt;&gt;"Xm"))+((W13&lt;&gt;"Xp"))+((W13&lt;&gt;"Xs")*(W13&lt;&gt;"Cs"))+((W13&lt;&gt;"Xn"))=4,W$3&amp;", ",W$3&amp;IF((W13&lt;&gt;"Xm"),"_m","")&amp;IF((W13&lt;&gt;"Xp"),"_p","")&amp;IF((W13&lt;&gt;"Xs")*(W13&lt;&gt;"Cs"),"_s","")&amp;IF((W13&lt;&gt;"Xn"),"_n","")&amp;", ")))</f>
        <v>BRUNO, </v>
      </c>
      <c r="AV13" s="10" t="str">
        <f aca="false">IF((X13="X")+(X13="F")&gt;0,"",IF(((X13&lt;&gt;"Xm"))+((X13&lt;&gt;"Xp"))+((X13&lt;&gt;"Xs")*(X13&lt;&gt;"Cs"))+((X13&lt;&gt;"Xn"))=0,"",IF(((X13&lt;&gt;"Xm"))+((X13&lt;&gt;"Xp"))+((X13&lt;&gt;"Xs")*(X13&lt;&gt;"Cs"))+((X13&lt;&gt;"Xn"))=4,X$3&amp;", ",X$3&amp;IF((X13&lt;&gt;"Xm"),"_m","")&amp;IF((X13&lt;&gt;"Xp"),"_p","")&amp;IF((X13&lt;&gt;"Xs")*(X13&lt;&gt;"Cs"),"_s","")&amp;IF((X13&lt;&gt;"Xn"),"_n","")&amp;", ")))</f>
        <v>CARLA, </v>
      </c>
      <c r="AW13" s="10" t="str">
        <f aca="false">IF((Y13="X")+(Y13="F")&gt;0,"",IF(((Y13&lt;&gt;"Xm"))+((Y13&lt;&gt;"Xp"))+((Y13&lt;&gt;"Xs")*(Y13&lt;&gt;"Cs"))+((Y13&lt;&gt;"Xn"))=0,"",IF(((Y13&lt;&gt;"Xm"))+((Y13&lt;&gt;"Xp"))+((Y13&lt;&gt;"Xs")*(Y13&lt;&gt;"Cs"))+((Y13&lt;&gt;"Xn"))=4,Y$3&amp;", ",Y$3&amp;IF((Y13&lt;&gt;"Xm"),"_m","")&amp;IF((Y13&lt;&gt;"Xp"),"_p","")&amp;IF((Y13&lt;&gt;"Xs")*(Y13&lt;&gt;"Cs"),"_s","")&amp;IF((Y13&lt;&gt;"Xn"),"_n","")&amp;", ")))</f>
        <v>DINO, </v>
      </c>
      <c r="AX13" s="10" t="str">
        <f aca="false">IF((Z13="X")+(Z13="F")&gt;0,"",IF(((Z13&lt;&gt;"Xm"))+((Z13&lt;&gt;"Xp"))+((Z13&lt;&gt;"Xs")*(Z13&lt;&gt;"Cs"))+((Z13&lt;&gt;"Xn"))=0,"",IF(((Z13&lt;&gt;"Xm"))+((Z13&lt;&gt;"Xp"))+((Z13&lt;&gt;"Xs")*(Z13&lt;&gt;"Cs"))+((Z13&lt;&gt;"Xn"))=4,Z$3&amp;", ",Z$3&amp;IF((Z13&lt;&gt;"Xm"),"_m","")&amp;IF((Z13&lt;&gt;"Xp"),"_p","")&amp;IF((Z13&lt;&gt;"Xs")*(Z13&lt;&gt;"Cs"),"_s","")&amp;IF((Z13&lt;&gt;"Xn"),"_n","")&amp;", ")))</f>
        <v>ELSA, </v>
      </c>
      <c r="AY13" s="10" t="str">
        <f aca="false">IF((AA13="X")+(AA13="F")&gt;0,"",IF(((AA13&lt;&gt;"Xm"))+((AA13&lt;&gt;"Xp"))+((AA13&lt;&gt;"Xs")*(AA13&lt;&gt;"Cs"))+((AA13&lt;&gt;"Xn"))=0,"",IF(((AA13&lt;&gt;"Xm"))+((AA13&lt;&gt;"Xp"))+((AA13&lt;&gt;"Xs")*(AA13&lt;&gt;"Cs"))+((AA13&lt;&gt;"Xn"))=4,AA$3&amp;", ",AA$3&amp;IF((AA13&lt;&gt;"Xm"),"_m","")&amp;IF((AA13&lt;&gt;"Xp"),"_p","")&amp;IF((AA13&lt;&gt;"Xs")*(AA13&lt;&gt;"Cs"),"_s","")&amp;IF((AA13&lt;&gt;"Xn"),"_n","")&amp;", ")))</f>
        <v>FABIO, </v>
      </c>
      <c r="AZ13" s="10"/>
      <c r="BA13" s="10" t="str">
        <f aca="false">IF((V13="X")+(V13="F")&gt;0,"",IF(((V13&lt;&gt;"Xm")*(COUNTIFS($C$3:$K$3,"MAT",$C13:$K13,V$3)=0)*(COUNTIFS($C$3:$K$3,"NOTTE",$C13:$K13,V$3)=0))+((V13&lt;&gt;"Xp")*(COUNTIFS($C$3:$K$3,"POM",$C13:$K13,V$3)=0)*(COUNTIFS($C$3:$K$3,"NOTTE",$C13:$K13,V$3)=0))+((V13&lt;&gt;"Xs")*(V13&lt;&gt;"Cs")*(COUNTIFS($C$3:$K$3,"SERA",$C13:$K13,V$3)=0)*(COUNTIFS($C$3:$K$3,"NOTTE",$C13:$K13,V$3)=0))+((V13&lt;&gt;"Xn")*(COUNTIFS($C$3:$K$3,"MAT",$C13:$K13,V$3)=0)*(COUNTIFS($C$3:$K$3,"POM",$C13:$K13,V$3)=0)*(COUNTIFS($C$3:$K$3,"SERA",$C13:$K13,V$3)=0)*(COUNTIFS($C$3:$K$3,"NOTTE",$C13:$K13,V$3)=0))=0,"",IF(((V13&lt;&gt;"Xm")*(COUNTIFS($C$3:$K$3,"MAT",$C13:$K13,V$3)=0)*(COUNTIFS($C$3:$K$3,"NOTTE",$C13:$K13,V$3)=0))+((V13&lt;&gt;"Xp")*(COUNTIFS($C$3:$K$3,"POM",$C13:$K13,V$3)=0)*(COUNTIFS($C$3:$K$3,"NOTTE",$C13:$K13,V$3)=0))+((V13&lt;&gt;"Xs")*(V13&lt;&gt;"Cs")*(COUNTIFS($C$3:$K$3,"SERA",$C13:$K13,V$3)=0)*(COUNTIFS($C$3:$K$3,"NOTTE",$C13:$K13,V$3)=0))+((V13&lt;&gt;"Xn")*(COUNTIFS($C$3:$K$3,"MAT",$C13:$K13,V$3)=0)*(COUNTIFS($C$3:$K$3,"POM",$C13:$K13,V$3)=0)*(COUNTIFS($C$3:$K$3,"SERA",$C13:$K13,V$3)=0)*(COUNTIFS($C$3:$K$3,"NOTTE",$C13:$K13,V$3)=0))=4,V$3&amp;", ",V$3&amp;IF((V13&lt;&gt;"Xm")*(COUNTIFS($C$3:$K$3,"MAT",$C13:$K13,V$3)=0)*(COUNTIFS($C$3:$K$3,"NOTTE",$C13:$K13,V$3)=0),"_m","")&amp;IF((V13&lt;&gt;"Xp")*(COUNTIFS($C$3:$K$3,"POM",$C13:$K13,V$3)=0)*(COUNTIFS($C$3:$K$3,"NOTTE",$C13:$K13,V$3)=0),"_p","")&amp;IF((V13&lt;&gt;"Xs")*(V13&lt;&gt;"Cs")*(COUNTIFS($C$3:$K$3,"SERA",$C13:$K13,V$3)=0)*(COUNTIFS($C$3:$K$3,"NOTTE",$C13:$K13,V$3)=0),"_s","")&amp;IF((V13&lt;&gt;"Xn")*(COUNTIFS($C$3:$K$3,"MAT",$C13:$K13,V$3)=0)*(COUNTIFS($C$3:$K$3,"POM",$C13:$K13,V$3)=0)*(COUNTIFS($C$3:$K$3,"SERA",$C13:$K13,V$3)=0)*(COUNTIFS($C$3:$K$3,"NOTTE",$C13:$K13,V$3)=0),"_n","")&amp;", ")))</f>
        <v>ALBA, </v>
      </c>
      <c r="BB13" s="10" t="str">
        <f aca="false">IF((W13="X")+(W13="F")&gt;0,"",IF(((W13&lt;&gt;"Xm")*(COUNTIFS($C$3:$K$3,"MAT",$C13:$K13,W$3)=0)*(COUNTIFS($C$3:$K$3,"NOTTE",$C13:$K13,W$3)=0))+((W13&lt;&gt;"Xp")*(COUNTIFS($C$3:$K$3,"POM",$C13:$K13,W$3)=0)*(COUNTIFS($C$3:$K$3,"NOTTE",$C13:$K13,W$3)=0))+((W13&lt;&gt;"Xs")*(W13&lt;&gt;"Cs")*(COUNTIFS($C$3:$K$3,"SERA",$C13:$K13,W$3)=0)*(COUNTIFS($C$3:$K$3,"NOTTE",$C13:$K13,W$3)=0))+((W13&lt;&gt;"Xn")*(COUNTIFS($C$3:$K$3,"MAT",$C13:$K13,W$3)=0)*(COUNTIFS($C$3:$K$3,"POM",$C13:$K13,W$3)=0)*(COUNTIFS($C$3:$K$3,"SERA",$C13:$K13,W$3)=0)*(COUNTIFS($C$3:$K$3,"NOTTE",$C13:$K13,W$3)=0))=0,"",IF(((W13&lt;&gt;"Xm")*(COUNTIFS($C$3:$K$3,"MAT",$C13:$K13,W$3)=0)*(COUNTIFS($C$3:$K$3,"NOTTE",$C13:$K13,W$3)=0))+((W13&lt;&gt;"Xp")*(COUNTIFS($C$3:$K$3,"POM",$C13:$K13,W$3)=0)*(COUNTIFS($C$3:$K$3,"NOTTE",$C13:$K13,W$3)=0))+((W13&lt;&gt;"Xs")*(W13&lt;&gt;"Cs")*(COUNTIFS($C$3:$K$3,"SERA",$C13:$K13,W$3)=0)*(COUNTIFS($C$3:$K$3,"NOTTE",$C13:$K13,W$3)=0))+((W13&lt;&gt;"Xn")*(COUNTIFS($C$3:$K$3,"MAT",$C13:$K13,W$3)=0)*(COUNTIFS($C$3:$K$3,"POM",$C13:$K13,W$3)=0)*(COUNTIFS($C$3:$K$3,"SERA",$C13:$K13,W$3)=0)*(COUNTIFS($C$3:$K$3,"NOTTE",$C13:$K13,W$3)=0))=4,W$3&amp;", ",W$3&amp;IF((W13&lt;&gt;"Xm")*(COUNTIFS($C$3:$K$3,"MAT",$C13:$K13,W$3)=0)*(COUNTIFS($C$3:$K$3,"NOTTE",$C13:$K13,W$3)=0),"_m","")&amp;IF((W13&lt;&gt;"Xp")*(COUNTIFS($C$3:$K$3,"POM",$C13:$K13,W$3)=0)*(COUNTIFS($C$3:$K$3,"NOTTE",$C13:$K13,W$3)=0),"_p","")&amp;IF((W13&lt;&gt;"Xs")*(W13&lt;&gt;"Cs")*(COUNTIFS($C$3:$K$3,"SERA",$C13:$K13,W$3)=0)*(COUNTIFS($C$3:$K$3,"NOTTE",$C13:$K13,W$3)=0),"_s","")&amp;IF((W13&lt;&gt;"Xn")*(COUNTIFS($C$3:$K$3,"MAT",$C13:$K13,W$3)=0)*(COUNTIFS($C$3:$K$3,"POM",$C13:$K13,W$3)=0)*(COUNTIFS($C$3:$K$3,"SERA",$C13:$K13,W$3)=0)*(COUNTIFS($C$3:$K$3,"NOTTE",$C13:$K13,W$3)=0),"_n","")&amp;", ")))</f>
        <v>BRUNO, </v>
      </c>
      <c r="BC13" s="10" t="str">
        <f aca="false">IF((X13="X")+(X13="F")&gt;0,"",IF(((X13&lt;&gt;"Xm")*(COUNTIFS($C$3:$K$3,"MAT",$C13:$K13,X$3)=0)*(COUNTIFS($C$3:$K$3,"NOTTE",$C13:$K13,X$3)=0))+((X13&lt;&gt;"Xp")*(COUNTIFS($C$3:$K$3,"POM",$C13:$K13,X$3)=0)*(COUNTIFS($C$3:$K$3,"NOTTE",$C13:$K13,X$3)=0))+((X13&lt;&gt;"Xs")*(X13&lt;&gt;"Cs")*(COUNTIFS($C$3:$K$3,"SERA",$C13:$K13,X$3)=0)*(COUNTIFS($C$3:$K$3,"NOTTE",$C13:$K13,X$3)=0))+((X13&lt;&gt;"Xn")*(COUNTIFS($C$3:$K$3,"MAT",$C13:$K13,X$3)=0)*(COUNTIFS($C$3:$K$3,"POM",$C13:$K13,X$3)=0)*(COUNTIFS($C$3:$K$3,"SERA",$C13:$K13,X$3)=0)*(COUNTIFS($C$3:$K$3,"NOTTE",$C13:$K13,X$3)=0))=0,"",IF(((X13&lt;&gt;"Xm")*(COUNTIFS($C$3:$K$3,"MAT",$C13:$K13,X$3)=0)*(COUNTIFS($C$3:$K$3,"NOTTE",$C13:$K13,X$3)=0))+((X13&lt;&gt;"Xp")*(COUNTIFS($C$3:$K$3,"POM",$C13:$K13,X$3)=0)*(COUNTIFS($C$3:$K$3,"NOTTE",$C13:$K13,X$3)=0))+((X13&lt;&gt;"Xs")*(X13&lt;&gt;"Cs")*(COUNTIFS($C$3:$K$3,"SERA",$C13:$K13,X$3)=0)*(COUNTIFS($C$3:$K$3,"NOTTE",$C13:$K13,X$3)=0))+((X13&lt;&gt;"Xn")*(COUNTIFS($C$3:$K$3,"MAT",$C13:$K13,X$3)=0)*(COUNTIFS($C$3:$K$3,"POM",$C13:$K13,X$3)=0)*(COUNTIFS($C$3:$K$3,"SERA",$C13:$K13,X$3)=0)*(COUNTIFS($C$3:$K$3,"NOTTE",$C13:$K13,X$3)=0))=4,X$3&amp;", ",X$3&amp;IF((X13&lt;&gt;"Xm")*(COUNTIFS($C$3:$K$3,"MAT",$C13:$K13,X$3)=0)*(COUNTIFS($C$3:$K$3,"NOTTE",$C13:$K13,X$3)=0),"_m","")&amp;IF((X13&lt;&gt;"Xp")*(COUNTIFS($C$3:$K$3,"POM",$C13:$K13,X$3)=0)*(COUNTIFS($C$3:$K$3,"NOTTE",$C13:$K13,X$3)=0),"_p","")&amp;IF((X13&lt;&gt;"Xs")*(X13&lt;&gt;"Cs")*(COUNTIFS($C$3:$K$3,"SERA",$C13:$K13,X$3)=0)*(COUNTIFS($C$3:$K$3,"NOTTE",$C13:$K13,X$3)=0),"_s","")&amp;IF((X13&lt;&gt;"Xn")*(COUNTIFS($C$3:$K$3,"MAT",$C13:$K13,X$3)=0)*(COUNTIFS($C$3:$K$3,"POM",$C13:$K13,X$3)=0)*(COUNTIFS($C$3:$K$3,"SERA",$C13:$K13,X$3)=0)*(COUNTIFS($C$3:$K$3,"NOTTE",$C13:$K13,X$3)=0),"_n","")&amp;", ")))</f>
        <v>CARLA, </v>
      </c>
      <c r="BD13" s="10" t="str">
        <f aca="false">IF((Y13="X")+(Y13="F")&gt;0,"",IF(((Y13&lt;&gt;"Xm")*(COUNTIFS($C$3:$K$3,"MAT",$C13:$K13,Y$3)=0)*(COUNTIFS($C$3:$K$3,"NOTTE",$C13:$K13,Y$3)=0))+((Y13&lt;&gt;"Xp")*(COUNTIFS($C$3:$K$3,"POM",$C13:$K13,Y$3)=0)*(COUNTIFS($C$3:$K$3,"NOTTE",$C13:$K13,Y$3)=0))+((Y13&lt;&gt;"Xs")*(Y13&lt;&gt;"Cs")*(COUNTIFS($C$3:$K$3,"SERA",$C13:$K13,Y$3)=0)*(COUNTIFS($C$3:$K$3,"NOTTE",$C13:$K13,Y$3)=0))+((Y13&lt;&gt;"Xn")*(COUNTIFS($C$3:$K$3,"MAT",$C13:$K13,Y$3)=0)*(COUNTIFS($C$3:$K$3,"POM",$C13:$K13,Y$3)=0)*(COUNTIFS($C$3:$K$3,"SERA",$C13:$K13,Y$3)=0)*(COUNTIFS($C$3:$K$3,"NOTTE",$C13:$K13,Y$3)=0))=0,"",IF(((Y13&lt;&gt;"Xm")*(COUNTIFS($C$3:$K$3,"MAT",$C13:$K13,Y$3)=0)*(COUNTIFS($C$3:$K$3,"NOTTE",$C13:$K13,Y$3)=0))+((Y13&lt;&gt;"Xp")*(COUNTIFS($C$3:$K$3,"POM",$C13:$K13,Y$3)=0)*(COUNTIFS($C$3:$K$3,"NOTTE",$C13:$K13,Y$3)=0))+((Y13&lt;&gt;"Xs")*(Y13&lt;&gt;"Cs")*(COUNTIFS($C$3:$K$3,"SERA",$C13:$K13,Y$3)=0)*(COUNTIFS($C$3:$K$3,"NOTTE",$C13:$K13,Y$3)=0))+((Y13&lt;&gt;"Xn")*(COUNTIFS($C$3:$K$3,"MAT",$C13:$K13,Y$3)=0)*(COUNTIFS($C$3:$K$3,"POM",$C13:$K13,Y$3)=0)*(COUNTIFS($C$3:$K$3,"SERA",$C13:$K13,Y$3)=0)*(COUNTIFS($C$3:$K$3,"NOTTE",$C13:$K13,Y$3)=0))=4,Y$3&amp;", ",Y$3&amp;IF((Y13&lt;&gt;"Xm")*(COUNTIFS($C$3:$K$3,"MAT",$C13:$K13,Y$3)=0)*(COUNTIFS($C$3:$K$3,"NOTTE",$C13:$K13,Y$3)=0),"_m","")&amp;IF((Y13&lt;&gt;"Xp")*(COUNTIFS($C$3:$K$3,"POM",$C13:$K13,Y$3)=0)*(COUNTIFS($C$3:$K$3,"NOTTE",$C13:$K13,Y$3)=0),"_p","")&amp;IF((Y13&lt;&gt;"Xs")*(Y13&lt;&gt;"Cs")*(COUNTIFS($C$3:$K$3,"SERA",$C13:$K13,Y$3)=0)*(COUNTIFS($C$3:$K$3,"NOTTE",$C13:$K13,Y$3)=0),"_s","")&amp;IF((Y13&lt;&gt;"Xn")*(COUNTIFS($C$3:$K$3,"MAT",$C13:$K13,Y$3)=0)*(COUNTIFS($C$3:$K$3,"POM",$C13:$K13,Y$3)=0)*(COUNTIFS($C$3:$K$3,"SERA",$C13:$K13,Y$3)=0)*(COUNTIFS($C$3:$K$3,"NOTTE",$C13:$K13,Y$3)=0),"_n","")&amp;", ")))</f>
        <v>DINO, </v>
      </c>
      <c r="BE13" s="10" t="str">
        <f aca="false">IF((Z13="X")+(Z13="F")&gt;0,"",IF(((Z13&lt;&gt;"Xm")*(COUNTIFS($C$3:$K$3,"MAT",$C13:$K13,Z$3)=0)*(COUNTIFS($C$3:$K$3,"NOTTE",$C13:$K13,Z$3)=0))+((Z13&lt;&gt;"Xp")*(COUNTIFS($C$3:$K$3,"POM",$C13:$K13,Z$3)=0)*(COUNTIFS($C$3:$K$3,"NOTTE",$C13:$K13,Z$3)=0))+((Z13&lt;&gt;"Xs")*(Z13&lt;&gt;"Cs")*(COUNTIFS($C$3:$K$3,"SERA",$C13:$K13,Z$3)=0)*(COUNTIFS($C$3:$K$3,"NOTTE",$C13:$K13,Z$3)=0))+((Z13&lt;&gt;"Xn")*(COUNTIFS($C$3:$K$3,"MAT",$C13:$K13,Z$3)=0)*(COUNTIFS($C$3:$K$3,"POM",$C13:$K13,Z$3)=0)*(COUNTIFS($C$3:$K$3,"SERA",$C13:$K13,Z$3)=0)*(COUNTIFS($C$3:$K$3,"NOTTE",$C13:$K13,Z$3)=0))=0,"",IF(((Z13&lt;&gt;"Xm")*(COUNTIFS($C$3:$K$3,"MAT",$C13:$K13,Z$3)=0)*(COUNTIFS($C$3:$K$3,"NOTTE",$C13:$K13,Z$3)=0))+((Z13&lt;&gt;"Xp")*(COUNTIFS($C$3:$K$3,"POM",$C13:$K13,Z$3)=0)*(COUNTIFS($C$3:$K$3,"NOTTE",$C13:$K13,Z$3)=0))+((Z13&lt;&gt;"Xs")*(Z13&lt;&gt;"Cs")*(COUNTIFS($C$3:$K$3,"SERA",$C13:$K13,Z$3)=0)*(COUNTIFS($C$3:$K$3,"NOTTE",$C13:$K13,Z$3)=0))+((Z13&lt;&gt;"Xn")*(COUNTIFS($C$3:$K$3,"MAT",$C13:$K13,Z$3)=0)*(COUNTIFS($C$3:$K$3,"POM",$C13:$K13,Z$3)=0)*(COUNTIFS($C$3:$K$3,"SERA",$C13:$K13,Z$3)=0)*(COUNTIFS($C$3:$K$3,"NOTTE",$C13:$K13,Z$3)=0))=4,Z$3&amp;", ",Z$3&amp;IF((Z13&lt;&gt;"Xm")*(COUNTIFS($C$3:$K$3,"MAT",$C13:$K13,Z$3)=0)*(COUNTIFS($C$3:$K$3,"NOTTE",$C13:$K13,Z$3)=0),"_m","")&amp;IF((Z13&lt;&gt;"Xp")*(COUNTIFS($C$3:$K$3,"POM",$C13:$K13,Z$3)=0)*(COUNTIFS($C$3:$K$3,"NOTTE",$C13:$K13,Z$3)=0),"_p","")&amp;IF((Z13&lt;&gt;"Xs")*(Z13&lt;&gt;"Cs")*(COUNTIFS($C$3:$K$3,"SERA",$C13:$K13,Z$3)=0)*(COUNTIFS($C$3:$K$3,"NOTTE",$C13:$K13,Z$3)=0),"_s","")&amp;IF((Z13&lt;&gt;"Xn")*(COUNTIFS($C$3:$K$3,"MAT",$C13:$K13,Z$3)=0)*(COUNTIFS($C$3:$K$3,"POM",$C13:$K13,Z$3)=0)*(COUNTIFS($C$3:$K$3,"SERA",$C13:$K13,Z$3)=0)*(COUNTIFS($C$3:$K$3,"NOTTE",$C13:$K13,Z$3)=0),"_n","")&amp;", ")))</f>
        <v>ELSA, </v>
      </c>
      <c r="BF13" s="10" t="str">
        <f aca="false">IF((AA13="X")+(AA13="F")&gt;0,"",IF(((AA13&lt;&gt;"Xm")*(COUNTIFS($C$3:$K$3,"MAT",$C13:$K13,AA$3)=0)*(COUNTIFS($C$3:$K$3,"NOTTE",$C13:$K13,AA$3)=0))+((AA13&lt;&gt;"Xp")*(COUNTIFS($C$3:$K$3,"POM",$C13:$K13,AA$3)=0)*(COUNTIFS($C$3:$K$3,"NOTTE",$C13:$K13,AA$3)=0))+((AA13&lt;&gt;"Xs")*(AA13&lt;&gt;"Cs")*(COUNTIFS($C$3:$K$3,"SERA",$C13:$K13,AA$3)=0)*(COUNTIFS($C$3:$K$3,"NOTTE",$C13:$K13,AA$3)=0))+((AA13&lt;&gt;"Xn")*(COUNTIFS($C$3:$K$3,"MAT",$C13:$K13,AA$3)=0)*(COUNTIFS($C$3:$K$3,"POM",$C13:$K13,AA$3)=0)*(COUNTIFS($C$3:$K$3,"SERA",$C13:$K13,AA$3)=0)*(COUNTIFS($C$3:$K$3,"NOTTE",$C13:$K13,AA$3)=0))=0,"",IF(((AA13&lt;&gt;"Xm")*(COUNTIFS($C$3:$K$3,"MAT",$C13:$K13,AA$3)=0)*(COUNTIFS($C$3:$K$3,"NOTTE",$C13:$K13,AA$3)=0))+((AA13&lt;&gt;"Xp")*(COUNTIFS($C$3:$K$3,"POM",$C13:$K13,AA$3)=0)*(COUNTIFS($C$3:$K$3,"NOTTE",$C13:$K13,AA$3)=0))+((AA13&lt;&gt;"Xs")*(AA13&lt;&gt;"Cs")*(COUNTIFS($C$3:$K$3,"SERA",$C13:$K13,AA$3)=0)*(COUNTIFS($C$3:$K$3,"NOTTE",$C13:$K13,AA$3)=0))+((AA13&lt;&gt;"Xn")*(COUNTIFS($C$3:$K$3,"MAT",$C13:$K13,AA$3)=0)*(COUNTIFS($C$3:$K$3,"POM",$C13:$K13,AA$3)=0)*(COUNTIFS($C$3:$K$3,"SERA",$C13:$K13,AA$3)=0)*(COUNTIFS($C$3:$K$3,"NOTTE",$C13:$K13,AA$3)=0))=4,AA$3&amp;", ",AA$3&amp;IF((AA13&lt;&gt;"Xm")*(COUNTIFS($C$3:$K$3,"MAT",$C13:$K13,AA$3)=0)*(COUNTIFS($C$3:$K$3,"NOTTE",$C13:$K13,AA$3)=0),"_m","")&amp;IF((AA13&lt;&gt;"Xp")*(COUNTIFS($C$3:$K$3,"POM",$C13:$K13,AA$3)=0)*(COUNTIFS($C$3:$K$3,"NOTTE",$C13:$K13,AA$3)=0),"_p","")&amp;IF((AA13&lt;&gt;"Xs")*(AA13&lt;&gt;"Cs")*(COUNTIFS($C$3:$K$3,"SERA",$C13:$K13,AA$3)=0)*(COUNTIFS($C$3:$K$3,"NOTTE",$C13:$K13,AA$3)=0),"_s","")&amp;IF((AA13&lt;&gt;"Xn")*(COUNTIFS($C$3:$K$3,"MAT",$C13:$K13,AA$3)=0)*(COUNTIFS($C$3:$K$3,"POM",$C13:$K13,AA$3)=0)*(COUNTIFS($C$3:$K$3,"SERA",$C13:$K13,AA$3)=0)*(COUNTIFS($C$3:$K$3,"NOTTE",$C13:$K13,AA$3)=0),"_n","")&amp;", ")))</f>
        <v>FABIO, </v>
      </c>
    </row>
    <row r="14" customFormat="false" ht="15" hidden="false" customHeight="false" outlineLevel="0" collapsed="false">
      <c r="A14" s="4" t="str">
        <f aca="false">CHOOSE(WEEKDAY(DATE($B$1,$A$2,B14),2),"lunedì","martedì","mercoledì","giovedì","venerdì","sabato","domenica")</f>
        <v>giovedì</v>
      </c>
      <c r="B14" s="4" t="n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 t="str">
        <f aca="false">IF(SUMPRODUCT(($C$3:$K$3&lt;&gt;"")*($C14:$K14&lt;&gt;"")*(COUNTIFS($C14:$K14,$C14:$K14,$C$3:$K$3,$C$3:$K$3)&gt;1))&gt;0,"X","")</f>
        <v/>
      </c>
      <c r="N14" s="5" t="str">
        <f aca="false">IF(LEN(AT14&amp;AU14&amp;AV14&amp;AW14&amp;AX14&amp;AY14)=0,"",LEFT(AT14&amp;AU14&amp;AV14&amp;AW14&amp;AX14&amp;AY14,LEN(AT14&amp;AU14&amp;AV14&amp;AW14&amp;AX14&amp;AY14)-2))</f>
        <v>ALBA, BRUNO, CARLA, DINO, ELSA, FABIO</v>
      </c>
      <c r="O14" s="5" t="str">
        <f aca="false">IF(LEN(BA14&amp;BB14&amp;BC14&amp;BD14&amp;BE14&amp;BF14)=0,"",LEFT(BA14&amp;BB14&amp;BC14&amp;BD14&amp;BE14&amp;BF14,LEN(BA14&amp;BB14&amp;BC14&amp;BD14&amp;BE14&amp;BF14)-2))</f>
        <v>ALBA, BRUNO, CARLA, DINO, ELSA, FABIO</v>
      </c>
      <c r="T14" s="4" t="str">
        <f aca="false">A14</f>
        <v>giovedì</v>
      </c>
      <c r="U14" s="4" t="n">
        <f aca="false">B14</f>
        <v>11</v>
      </c>
      <c r="V14" s="5"/>
      <c r="W14" s="5"/>
      <c r="X14" s="5"/>
      <c r="Y14" s="5"/>
      <c r="Z14" s="5"/>
      <c r="AA14" s="5"/>
      <c r="AT14" s="10" t="str">
        <f aca="false">IF((V14="X")+(V14="F")&gt;0,"",IF(((V14&lt;&gt;"Xm"))+((V14&lt;&gt;"Xp"))+((V14&lt;&gt;"Xs")*(V14&lt;&gt;"Cs"))+((V14&lt;&gt;"Xn"))=0,"",IF(((V14&lt;&gt;"Xm"))+((V14&lt;&gt;"Xp"))+((V14&lt;&gt;"Xs")*(V14&lt;&gt;"Cs"))+((V14&lt;&gt;"Xn"))=4,V$3&amp;", ",V$3&amp;IF((V14&lt;&gt;"Xm"),"_m","")&amp;IF((V14&lt;&gt;"Xp"),"_p","")&amp;IF((V14&lt;&gt;"Xs")*(V14&lt;&gt;"Cs"),"_s","")&amp;IF((V14&lt;&gt;"Xn"),"_n","")&amp;", ")))</f>
        <v>ALBA, </v>
      </c>
      <c r="AU14" s="10" t="str">
        <f aca="false">IF((W14="X")+(W14="F")&gt;0,"",IF(((W14&lt;&gt;"Xm"))+((W14&lt;&gt;"Xp"))+((W14&lt;&gt;"Xs")*(W14&lt;&gt;"Cs"))+((W14&lt;&gt;"Xn"))=0,"",IF(((W14&lt;&gt;"Xm"))+((W14&lt;&gt;"Xp"))+((W14&lt;&gt;"Xs")*(W14&lt;&gt;"Cs"))+((W14&lt;&gt;"Xn"))=4,W$3&amp;", ",W$3&amp;IF((W14&lt;&gt;"Xm"),"_m","")&amp;IF((W14&lt;&gt;"Xp"),"_p","")&amp;IF((W14&lt;&gt;"Xs")*(W14&lt;&gt;"Cs"),"_s","")&amp;IF((W14&lt;&gt;"Xn"),"_n","")&amp;", ")))</f>
        <v>BRUNO, </v>
      </c>
      <c r="AV14" s="10" t="str">
        <f aca="false">IF((X14="X")+(X14="F")&gt;0,"",IF(((X14&lt;&gt;"Xm"))+((X14&lt;&gt;"Xp"))+((X14&lt;&gt;"Xs")*(X14&lt;&gt;"Cs"))+((X14&lt;&gt;"Xn"))=0,"",IF(((X14&lt;&gt;"Xm"))+((X14&lt;&gt;"Xp"))+((X14&lt;&gt;"Xs")*(X14&lt;&gt;"Cs"))+((X14&lt;&gt;"Xn"))=4,X$3&amp;", ",X$3&amp;IF((X14&lt;&gt;"Xm"),"_m","")&amp;IF((X14&lt;&gt;"Xp"),"_p","")&amp;IF((X14&lt;&gt;"Xs")*(X14&lt;&gt;"Cs"),"_s","")&amp;IF((X14&lt;&gt;"Xn"),"_n","")&amp;", ")))</f>
        <v>CARLA, </v>
      </c>
      <c r="AW14" s="10" t="str">
        <f aca="false">IF((Y14="X")+(Y14="F")&gt;0,"",IF(((Y14&lt;&gt;"Xm"))+((Y14&lt;&gt;"Xp"))+((Y14&lt;&gt;"Xs")*(Y14&lt;&gt;"Cs"))+((Y14&lt;&gt;"Xn"))=0,"",IF(((Y14&lt;&gt;"Xm"))+((Y14&lt;&gt;"Xp"))+((Y14&lt;&gt;"Xs")*(Y14&lt;&gt;"Cs"))+((Y14&lt;&gt;"Xn"))=4,Y$3&amp;", ",Y$3&amp;IF((Y14&lt;&gt;"Xm"),"_m","")&amp;IF((Y14&lt;&gt;"Xp"),"_p","")&amp;IF((Y14&lt;&gt;"Xs")*(Y14&lt;&gt;"Cs"),"_s","")&amp;IF((Y14&lt;&gt;"Xn"),"_n","")&amp;", ")))</f>
        <v>DINO, </v>
      </c>
      <c r="AX14" s="10" t="str">
        <f aca="false">IF((Z14="X")+(Z14="F")&gt;0,"",IF(((Z14&lt;&gt;"Xm"))+((Z14&lt;&gt;"Xp"))+((Z14&lt;&gt;"Xs")*(Z14&lt;&gt;"Cs"))+((Z14&lt;&gt;"Xn"))=0,"",IF(((Z14&lt;&gt;"Xm"))+((Z14&lt;&gt;"Xp"))+((Z14&lt;&gt;"Xs")*(Z14&lt;&gt;"Cs"))+((Z14&lt;&gt;"Xn"))=4,Z$3&amp;", ",Z$3&amp;IF((Z14&lt;&gt;"Xm"),"_m","")&amp;IF((Z14&lt;&gt;"Xp"),"_p","")&amp;IF((Z14&lt;&gt;"Xs")*(Z14&lt;&gt;"Cs"),"_s","")&amp;IF((Z14&lt;&gt;"Xn"),"_n","")&amp;", ")))</f>
        <v>ELSA, </v>
      </c>
      <c r="AY14" s="10" t="str">
        <f aca="false">IF((AA14="X")+(AA14="F")&gt;0,"",IF(((AA14&lt;&gt;"Xm"))+((AA14&lt;&gt;"Xp"))+((AA14&lt;&gt;"Xs")*(AA14&lt;&gt;"Cs"))+((AA14&lt;&gt;"Xn"))=0,"",IF(((AA14&lt;&gt;"Xm"))+((AA14&lt;&gt;"Xp"))+((AA14&lt;&gt;"Xs")*(AA14&lt;&gt;"Cs"))+((AA14&lt;&gt;"Xn"))=4,AA$3&amp;", ",AA$3&amp;IF((AA14&lt;&gt;"Xm"),"_m","")&amp;IF((AA14&lt;&gt;"Xp"),"_p","")&amp;IF((AA14&lt;&gt;"Xs")*(AA14&lt;&gt;"Cs"),"_s","")&amp;IF((AA14&lt;&gt;"Xn"),"_n","")&amp;", ")))</f>
        <v>FABIO, </v>
      </c>
      <c r="AZ14" s="10"/>
      <c r="BA14" s="10" t="str">
        <f aca="false">IF((V14="X")+(V14="F")&gt;0,"",IF(((V14&lt;&gt;"Xm")*(COUNTIFS($C$3:$K$3,"MAT",$C14:$K14,V$3)=0)*(COUNTIFS($C$3:$K$3,"NOTTE",$C14:$K14,V$3)=0))+((V14&lt;&gt;"Xp")*(COUNTIFS($C$3:$K$3,"POM",$C14:$K14,V$3)=0)*(COUNTIFS($C$3:$K$3,"NOTTE",$C14:$K14,V$3)=0))+((V14&lt;&gt;"Xs")*(V14&lt;&gt;"Cs")*(COUNTIFS($C$3:$K$3,"SERA",$C14:$K14,V$3)=0)*(COUNTIFS($C$3:$K$3,"NOTTE",$C14:$K14,V$3)=0))+((V14&lt;&gt;"Xn")*(COUNTIFS($C$3:$K$3,"MAT",$C14:$K14,V$3)=0)*(COUNTIFS($C$3:$K$3,"POM",$C14:$K14,V$3)=0)*(COUNTIFS($C$3:$K$3,"SERA",$C14:$K14,V$3)=0)*(COUNTIFS($C$3:$K$3,"NOTTE",$C14:$K14,V$3)=0))=0,"",IF(((V14&lt;&gt;"Xm")*(COUNTIFS($C$3:$K$3,"MAT",$C14:$K14,V$3)=0)*(COUNTIFS($C$3:$K$3,"NOTTE",$C14:$K14,V$3)=0))+((V14&lt;&gt;"Xp")*(COUNTIFS($C$3:$K$3,"POM",$C14:$K14,V$3)=0)*(COUNTIFS($C$3:$K$3,"NOTTE",$C14:$K14,V$3)=0))+((V14&lt;&gt;"Xs")*(V14&lt;&gt;"Cs")*(COUNTIFS($C$3:$K$3,"SERA",$C14:$K14,V$3)=0)*(COUNTIFS($C$3:$K$3,"NOTTE",$C14:$K14,V$3)=0))+((V14&lt;&gt;"Xn")*(COUNTIFS($C$3:$K$3,"MAT",$C14:$K14,V$3)=0)*(COUNTIFS($C$3:$K$3,"POM",$C14:$K14,V$3)=0)*(COUNTIFS($C$3:$K$3,"SERA",$C14:$K14,V$3)=0)*(COUNTIFS($C$3:$K$3,"NOTTE",$C14:$K14,V$3)=0))=4,V$3&amp;", ",V$3&amp;IF((V14&lt;&gt;"Xm")*(COUNTIFS($C$3:$K$3,"MAT",$C14:$K14,V$3)=0)*(COUNTIFS($C$3:$K$3,"NOTTE",$C14:$K14,V$3)=0),"_m","")&amp;IF((V14&lt;&gt;"Xp")*(COUNTIFS($C$3:$K$3,"POM",$C14:$K14,V$3)=0)*(COUNTIFS($C$3:$K$3,"NOTTE",$C14:$K14,V$3)=0),"_p","")&amp;IF((V14&lt;&gt;"Xs")*(V14&lt;&gt;"Cs")*(COUNTIFS($C$3:$K$3,"SERA",$C14:$K14,V$3)=0)*(COUNTIFS($C$3:$K$3,"NOTTE",$C14:$K14,V$3)=0),"_s","")&amp;IF((V14&lt;&gt;"Xn")*(COUNTIFS($C$3:$K$3,"MAT",$C14:$K14,V$3)=0)*(COUNTIFS($C$3:$K$3,"POM",$C14:$K14,V$3)=0)*(COUNTIFS($C$3:$K$3,"SERA",$C14:$K14,V$3)=0)*(COUNTIFS($C$3:$K$3,"NOTTE",$C14:$K14,V$3)=0),"_n","")&amp;", ")))</f>
        <v>ALBA, </v>
      </c>
      <c r="BB14" s="10" t="str">
        <f aca="false">IF((W14="X")+(W14="F")&gt;0,"",IF(((W14&lt;&gt;"Xm")*(COUNTIFS($C$3:$K$3,"MAT",$C14:$K14,W$3)=0)*(COUNTIFS($C$3:$K$3,"NOTTE",$C14:$K14,W$3)=0))+((W14&lt;&gt;"Xp")*(COUNTIFS($C$3:$K$3,"POM",$C14:$K14,W$3)=0)*(COUNTIFS($C$3:$K$3,"NOTTE",$C14:$K14,W$3)=0))+((W14&lt;&gt;"Xs")*(W14&lt;&gt;"Cs")*(COUNTIFS($C$3:$K$3,"SERA",$C14:$K14,W$3)=0)*(COUNTIFS($C$3:$K$3,"NOTTE",$C14:$K14,W$3)=0))+((W14&lt;&gt;"Xn")*(COUNTIFS($C$3:$K$3,"MAT",$C14:$K14,W$3)=0)*(COUNTIFS($C$3:$K$3,"POM",$C14:$K14,W$3)=0)*(COUNTIFS($C$3:$K$3,"SERA",$C14:$K14,W$3)=0)*(COUNTIFS($C$3:$K$3,"NOTTE",$C14:$K14,W$3)=0))=0,"",IF(((W14&lt;&gt;"Xm")*(COUNTIFS($C$3:$K$3,"MAT",$C14:$K14,W$3)=0)*(COUNTIFS($C$3:$K$3,"NOTTE",$C14:$K14,W$3)=0))+((W14&lt;&gt;"Xp")*(COUNTIFS($C$3:$K$3,"POM",$C14:$K14,W$3)=0)*(COUNTIFS($C$3:$K$3,"NOTTE",$C14:$K14,W$3)=0))+((W14&lt;&gt;"Xs")*(W14&lt;&gt;"Cs")*(COUNTIFS($C$3:$K$3,"SERA",$C14:$K14,W$3)=0)*(COUNTIFS($C$3:$K$3,"NOTTE",$C14:$K14,W$3)=0))+((W14&lt;&gt;"Xn")*(COUNTIFS($C$3:$K$3,"MAT",$C14:$K14,W$3)=0)*(COUNTIFS($C$3:$K$3,"POM",$C14:$K14,W$3)=0)*(COUNTIFS($C$3:$K$3,"SERA",$C14:$K14,W$3)=0)*(COUNTIFS($C$3:$K$3,"NOTTE",$C14:$K14,W$3)=0))=4,W$3&amp;", ",W$3&amp;IF((W14&lt;&gt;"Xm")*(COUNTIFS($C$3:$K$3,"MAT",$C14:$K14,W$3)=0)*(COUNTIFS($C$3:$K$3,"NOTTE",$C14:$K14,W$3)=0),"_m","")&amp;IF((W14&lt;&gt;"Xp")*(COUNTIFS($C$3:$K$3,"POM",$C14:$K14,W$3)=0)*(COUNTIFS($C$3:$K$3,"NOTTE",$C14:$K14,W$3)=0),"_p","")&amp;IF((W14&lt;&gt;"Xs")*(W14&lt;&gt;"Cs")*(COUNTIFS($C$3:$K$3,"SERA",$C14:$K14,W$3)=0)*(COUNTIFS($C$3:$K$3,"NOTTE",$C14:$K14,W$3)=0),"_s","")&amp;IF((W14&lt;&gt;"Xn")*(COUNTIFS($C$3:$K$3,"MAT",$C14:$K14,W$3)=0)*(COUNTIFS($C$3:$K$3,"POM",$C14:$K14,W$3)=0)*(COUNTIFS($C$3:$K$3,"SERA",$C14:$K14,W$3)=0)*(COUNTIFS($C$3:$K$3,"NOTTE",$C14:$K14,W$3)=0),"_n","")&amp;", ")))</f>
        <v>BRUNO, </v>
      </c>
      <c r="BC14" s="10" t="str">
        <f aca="false">IF((X14="X")+(X14="F")&gt;0,"",IF(((X14&lt;&gt;"Xm")*(COUNTIFS($C$3:$K$3,"MAT",$C14:$K14,X$3)=0)*(COUNTIFS($C$3:$K$3,"NOTTE",$C14:$K14,X$3)=0))+((X14&lt;&gt;"Xp")*(COUNTIFS($C$3:$K$3,"POM",$C14:$K14,X$3)=0)*(COUNTIFS($C$3:$K$3,"NOTTE",$C14:$K14,X$3)=0))+((X14&lt;&gt;"Xs")*(X14&lt;&gt;"Cs")*(COUNTIFS($C$3:$K$3,"SERA",$C14:$K14,X$3)=0)*(COUNTIFS($C$3:$K$3,"NOTTE",$C14:$K14,X$3)=0))+((X14&lt;&gt;"Xn")*(COUNTIFS($C$3:$K$3,"MAT",$C14:$K14,X$3)=0)*(COUNTIFS($C$3:$K$3,"POM",$C14:$K14,X$3)=0)*(COUNTIFS($C$3:$K$3,"SERA",$C14:$K14,X$3)=0)*(COUNTIFS($C$3:$K$3,"NOTTE",$C14:$K14,X$3)=0))=0,"",IF(((X14&lt;&gt;"Xm")*(COUNTIFS($C$3:$K$3,"MAT",$C14:$K14,X$3)=0)*(COUNTIFS($C$3:$K$3,"NOTTE",$C14:$K14,X$3)=0))+((X14&lt;&gt;"Xp")*(COUNTIFS($C$3:$K$3,"POM",$C14:$K14,X$3)=0)*(COUNTIFS($C$3:$K$3,"NOTTE",$C14:$K14,X$3)=0))+((X14&lt;&gt;"Xs")*(X14&lt;&gt;"Cs")*(COUNTIFS($C$3:$K$3,"SERA",$C14:$K14,X$3)=0)*(COUNTIFS($C$3:$K$3,"NOTTE",$C14:$K14,X$3)=0))+((X14&lt;&gt;"Xn")*(COUNTIFS($C$3:$K$3,"MAT",$C14:$K14,X$3)=0)*(COUNTIFS($C$3:$K$3,"POM",$C14:$K14,X$3)=0)*(COUNTIFS($C$3:$K$3,"SERA",$C14:$K14,X$3)=0)*(COUNTIFS($C$3:$K$3,"NOTTE",$C14:$K14,X$3)=0))=4,X$3&amp;", ",X$3&amp;IF((X14&lt;&gt;"Xm")*(COUNTIFS($C$3:$K$3,"MAT",$C14:$K14,X$3)=0)*(COUNTIFS($C$3:$K$3,"NOTTE",$C14:$K14,X$3)=0),"_m","")&amp;IF((X14&lt;&gt;"Xp")*(COUNTIFS($C$3:$K$3,"POM",$C14:$K14,X$3)=0)*(COUNTIFS($C$3:$K$3,"NOTTE",$C14:$K14,X$3)=0),"_p","")&amp;IF((X14&lt;&gt;"Xs")*(X14&lt;&gt;"Cs")*(COUNTIFS($C$3:$K$3,"SERA",$C14:$K14,X$3)=0)*(COUNTIFS($C$3:$K$3,"NOTTE",$C14:$K14,X$3)=0),"_s","")&amp;IF((X14&lt;&gt;"Xn")*(COUNTIFS($C$3:$K$3,"MAT",$C14:$K14,X$3)=0)*(COUNTIFS($C$3:$K$3,"POM",$C14:$K14,X$3)=0)*(COUNTIFS($C$3:$K$3,"SERA",$C14:$K14,X$3)=0)*(COUNTIFS($C$3:$K$3,"NOTTE",$C14:$K14,X$3)=0),"_n","")&amp;", ")))</f>
        <v>CARLA, </v>
      </c>
      <c r="BD14" s="10" t="str">
        <f aca="false">IF((Y14="X")+(Y14="F")&gt;0,"",IF(((Y14&lt;&gt;"Xm")*(COUNTIFS($C$3:$K$3,"MAT",$C14:$K14,Y$3)=0)*(COUNTIFS($C$3:$K$3,"NOTTE",$C14:$K14,Y$3)=0))+((Y14&lt;&gt;"Xp")*(COUNTIFS($C$3:$K$3,"POM",$C14:$K14,Y$3)=0)*(COUNTIFS($C$3:$K$3,"NOTTE",$C14:$K14,Y$3)=0))+((Y14&lt;&gt;"Xs")*(Y14&lt;&gt;"Cs")*(COUNTIFS($C$3:$K$3,"SERA",$C14:$K14,Y$3)=0)*(COUNTIFS($C$3:$K$3,"NOTTE",$C14:$K14,Y$3)=0))+((Y14&lt;&gt;"Xn")*(COUNTIFS($C$3:$K$3,"MAT",$C14:$K14,Y$3)=0)*(COUNTIFS($C$3:$K$3,"POM",$C14:$K14,Y$3)=0)*(COUNTIFS($C$3:$K$3,"SERA",$C14:$K14,Y$3)=0)*(COUNTIFS($C$3:$K$3,"NOTTE",$C14:$K14,Y$3)=0))=0,"",IF(((Y14&lt;&gt;"Xm")*(COUNTIFS($C$3:$K$3,"MAT",$C14:$K14,Y$3)=0)*(COUNTIFS($C$3:$K$3,"NOTTE",$C14:$K14,Y$3)=0))+((Y14&lt;&gt;"Xp")*(COUNTIFS($C$3:$K$3,"POM",$C14:$K14,Y$3)=0)*(COUNTIFS($C$3:$K$3,"NOTTE",$C14:$K14,Y$3)=0))+((Y14&lt;&gt;"Xs")*(Y14&lt;&gt;"Cs")*(COUNTIFS($C$3:$K$3,"SERA",$C14:$K14,Y$3)=0)*(COUNTIFS($C$3:$K$3,"NOTTE",$C14:$K14,Y$3)=0))+((Y14&lt;&gt;"Xn")*(COUNTIFS($C$3:$K$3,"MAT",$C14:$K14,Y$3)=0)*(COUNTIFS($C$3:$K$3,"POM",$C14:$K14,Y$3)=0)*(COUNTIFS($C$3:$K$3,"SERA",$C14:$K14,Y$3)=0)*(COUNTIFS($C$3:$K$3,"NOTTE",$C14:$K14,Y$3)=0))=4,Y$3&amp;", ",Y$3&amp;IF((Y14&lt;&gt;"Xm")*(COUNTIFS($C$3:$K$3,"MAT",$C14:$K14,Y$3)=0)*(COUNTIFS($C$3:$K$3,"NOTTE",$C14:$K14,Y$3)=0),"_m","")&amp;IF((Y14&lt;&gt;"Xp")*(COUNTIFS($C$3:$K$3,"POM",$C14:$K14,Y$3)=0)*(COUNTIFS($C$3:$K$3,"NOTTE",$C14:$K14,Y$3)=0),"_p","")&amp;IF((Y14&lt;&gt;"Xs")*(Y14&lt;&gt;"Cs")*(COUNTIFS($C$3:$K$3,"SERA",$C14:$K14,Y$3)=0)*(COUNTIFS($C$3:$K$3,"NOTTE",$C14:$K14,Y$3)=0),"_s","")&amp;IF((Y14&lt;&gt;"Xn")*(COUNTIFS($C$3:$K$3,"MAT",$C14:$K14,Y$3)=0)*(COUNTIFS($C$3:$K$3,"POM",$C14:$K14,Y$3)=0)*(COUNTIFS($C$3:$K$3,"SERA",$C14:$K14,Y$3)=0)*(COUNTIFS($C$3:$K$3,"NOTTE",$C14:$K14,Y$3)=0),"_n","")&amp;", ")))</f>
        <v>DINO, </v>
      </c>
      <c r="BE14" s="10" t="str">
        <f aca="false">IF((Z14="X")+(Z14="F")&gt;0,"",IF(((Z14&lt;&gt;"Xm")*(COUNTIFS($C$3:$K$3,"MAT",$C14:$K14,Z$3)=0)*(COUNTIFS($C$3:$K$3,"NOTTE",$C14:$K14,Z$3)=0))+((Z14&lt;&gt;"Xp")*(COUNTIFS($C$3:$K$3,"POM",$C14:$K14,Z$3)=0)*(COUNTIFS($C$3:$K$3,"NOTTE",$C14:$K14,Z$3)=0))+((Z14&lt;&gt;"Xs")*(Z14&lt;&gt;"Cs")*(COUNTIFS($C$3:$K$3,"SERA",$C14:$K14,Z$3)=0)*(COUNTIFS($C$3:$K$3,"NOTTE",$C14:$K14,Z$3)=0))+((Z14&lt;&gt;"Xn")*(COUNTIFS($C$3:$K$3,"MAT",$C14:$K14,Z$3)=0)*(COUNTIFS($C$3:$K$3,"POM",$C14:$K14,Z$3)=0)*(COUNTIFS($C$3:$K$3,"SERA",$C14:$K14,Z$3)=0)*(COUNTIFS($C$3:$K$3,"NOTTE",$C14:$K14,Z$3)=0))=0,"",IF(((Z14&lt;&gt;"Xm")*(COUNTIFS($C$3:$K$3,"MAT",$C14:$K14,Z$3)=0)*(COUNTIFS($C$3:$K$3,"NOTTE",$C14:$K14,Z$3)=0))+((Z14&lt;&gt;"Xp")*(COUNTIFS($C$3:$K$3,"POM",$C14:$K14,Z$3)=0)*(COUNTIFS($C$3:$K$3,"NOTTE",$C14:$K14,Z$3)=0))+((Z14&lt;&gt;"Xs")*(Z14&lt;&gt;"Cs")*(COUNTIFS($C$3:$K$3,"SERA",$C14:$K14,Z$3)=0)*(COUNTIFS($C$3:$K$3,"NOTTE",$C14:$K14,Z$3)=0))+((Z14&lt;&gt;"Xn")*(COUNTIFS($C$3:$K$3,"MAT",$C14:$K14,Z$3)=0)*(COUNTIFS($C$3:$K$3,"POM",$C14:$K14,Z$3)=0)*(COUNTIFS($C$3:$K$3,"SERA",$C14:$K14,Z$3)=0)*(COUNTIFS($C$3:$K$3,"NOTTE",$C14:$K14,Z$3)=0))=4,Z$3&amp;", ",Z$3&amp;IF((Z14&lt;&gt;"Xm")*(COUNTIFS($C$3:$K$3,"MAT",$C14:$K14,Z$3)=0)*(COUNTIFS($C$3:$K$3,"NOTTE",$C14:$K14,Z$3)=0),"_m","")&amp;IF((Z14&lt;&gt;"Xp")*(COUNTIFS($C$3:$K$3,"POM",$C14:$K14,Z$3)=0)*(COUNTIFS($C$3:$K$3,"NOTTE",$C14:$K14,Z$3)=0),"_p","")&amp;IF((Z14&lt;&gt;"Xs")*(Z14&lt;&gt;"Cs")*(COUNTIFS($C$3:$K$3,"SERA",$C14:$K14,Z$3)=0)*(COUNTIFS($C$3:$K$3,"NOTTE",$C14:$K14,Z$3)=0),"_s","")&amp;IF((Z14&lt;&gt;"Xn")*(COUNTIFS($C$3:$K$3,"MAT",$C14:$K14,Z$3)=0)*(COUNTIFS($C$3:$K$3,"POM",$C14:$K14,Z$3)=0)*(COUNTIFS($C$3:$K$3,"SERA",$C14:$K14,Z$3)=0)*(COUNTIFS($C$3:$K$3,"NOTTE",$C14:$K14,Z$3)=0),"_n","")&amp;", ")))</f>
        <v>ELSA, </v>
      </c>
      <c r="BF14" s="10" t="str">
        <f aca="false">IF((AA14="X")+(AA14="F")&gt;0,"",IF(((AA14&lt;&gt;"Xm")*(COUNTIFS($C$3:$K$3,"MAT",$C14:$K14,AA$3)=0)*(COUNTIFS($C$3:$K$3,"NOTTE",$C14:$K14,AA$3)=0))+((AA14&lt;&gt;"Xp")*(COUNTIFS($C$3:$K$3,"POM",$C14:$K14,AA$3)=0)*(COUNTIFS($C$3:$K$3,"NOTTE",$C14:$K14,AA$3)=0))+((AA14&lt;&gt;"Xs")*(AA14&lt;&gt;"Cs")*(COUNTIFS($C$3:$K$3,"SERA",$C14:$K14,AA$3)=0)*(COUNTIFS($C$3:$K$3,"NOTTE",$C14:$K14,AA$3)=0))+((AA14&lt;&gt;"Xn")*(COUNTIFS($C$3:$K$3,"MAT",$C14:$K14,AA$3)=0)*(COUNTIFS($C$3:$K$3,"POM",$C14:$K14,AA$3)=0)*(COUNTIFS($C$3:$K$3,"SERA",$C14:$K14,AA$3)=0)*(COUNTIFS($C$3:$K$3,"NOTTE",$C14:$K14,AA$3)=0))=0,"",IF(((AA14&lt;&gt;"Xm")*(COUNTIFS($C$3:$K$3,"MAT",$C14:$K14,AA$3)=0)*(COUNTIFS($C$3:$K$3,"NOTTE",$C14:$K14,AA$3)=0))+((AA14&lt;&gt;"Xp")*(COUNTIFS($C$3:$K$3,"POM",$C14:$K14,AA$3)=0)*(COUNTIFS($C$3:$K$3,"NOTTE",$C14:$K14,AA$3)=0))+((AA14&lt;&gt;"Xs")*(AA14&lt;&gt;"Cs")*(COUNTIFS($C$3:$K$3,"SERA",$C14:$K14,AA$3)=0)*(COUNTIFS($C$3:$K$3,"NOTTE",$C14:$K14,AA$3)=0))+((AA14&lt;&gt;"Xn")*(COUNTIFS($C$3:$K$3,"MAT",$C14:$K14,AA$3)=0)*(COUNTIFS($C$3:$K$3,"POM",$C14:$K14,AA$3)=0)*(COUNTIFS($C$3:$K$3,"SERA",$C14:$K14,AA$3)=0)*(COUNTIFS($C$3:$K$3,"NOTTE",$C14:$K14,AA$3)=0))=4,AA$3&amp;", ",AA$3&amp;IF((AA14&lt;&gt;"Xm")*(COUNTIFS($C$3:$K$3,"MAT",$C14:$K14,AA$3)=0)*(COUNTIFS($C$3:$K$3,"NOTTE",$C14:$K14,AA$3)=0),"_m","")&amp;IF((AA14&lt;&gt;"Xp")*(COUNTIFS($C$3:$K$3,"POM",$C14:$K14,AA$3)=0)*(COUNTIFS($C$3:$K$3,"NOTTE",$C14:$K14,AA$3)=0),"_p","")&amp;IF((AA14&lt;&gt;"Xs")*(AA14&lt;&gt;"Cs")*(COUNTIFS($C$3:$K$3,"SERA",$C14:$K14,AA$3)=0)*(COUNTIFS($C$3:$K$3,"NOTTE",$C14:$K14,AA$3)=0),"_s","")&amp;IF((AA14&lt;&gt;"Xn")*(COUNTIFS($C$3:$K$3,"MAT",$C14:$K14,AA$3)=0)*(COUNTIFS($C$3:$K$3,"POM",$C14:$K14,AA$3)=0)*(COUNTIFS($C$3:$K$3,"SERA",$C14:$K14,AA$3)=0)*(COUNTIFS($C$3:$K$3,"NOTTE",$C14:$K14,AA$3)=0),"_n","")&amp;", ")))</f>
        <v>FABIO, </v>
      </c>
    </row>
    <row r="15" customFormat="false" ht="15" hidden="false" customHeight="false" outlineLevel="0" collapsed="false">
      <c r="A15" s="4" t="str">
        <f aca="false">CHOOSE(WEEKDAY(DATE($B$1,$A$2,B15),2),"lunedì","martedì","mercoledì","giovedì","venerdì","sabato","domenica")</f>
        <v>venerdì</v>
      </c>
      <c r="B15" s="4" t="n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 t="str">
        <f aca="false">IF(SUMPRODUCT(($C$3:$K$3&lt;&gt;"")*($C15:$K15&lt;&gt;"")*(COUNTIFS($C15:$K15,$C15:$K15,$C$3:$K$3,$C$3:$K$3)&gt;1))&gt;0,"X","")</f>
        <v/>
      </c>
      <c r="N15" s="5" t="str">
        <f aca="false">IF(LEN(AT15&amp;AU15&amp;AV15&amp;AW15&amp;AX15&amp;AY15)=0,"",LEFT(AT15&amp;AU15&amp;AV15&amp;AW15&amp;AX15&amp;AY15,LEN(AT15&amp;AU15&amp;AV15&amp;AW15&amp;AX15&amp;AY15)-2))</f>
        <v>ALBA, BRUNO, CARLA, DINO, ELSA, FABIO</v>
      </c>
      <c r="O15" s="5" t="str">
        <f aca="false">IF(LEN(BA15&amp;BB15&amp;BC15&amp;BD15&amp;BE15&amp;BF15)=0,"",LEFT(BA15&amp;BB15&amp;BC15&amp;BD15&amp;BE15&amp;BF15,LEN(BA15&amp;BB15&amp;BC15&amp;BD15&amp;BE15&amp;BF15)-2))</f>
        <v>ALBA, BRUNO, CARLA, DINO, ELSA, FABIO</v>
      </c>
      <c r="T15" s="4" t="str">
        <f aca="false">A15</f>
        <v>venerdì</v>
      </c>
      <c r="U15" s="4" t="n">
        <f aca="false">B15</f>
        <v>12</v>
      </c>
      <c r="V15" s="5"/>
      <c r="W15" s="5"/>
      <c r="X15" s="5"/>
      <c r="Y15" s="5"/>
      <c r="Z15" s="5"/>
      <c r="AA15" s="5"/>
      <c r="AT15" s="10" t="str">
        <f aca="false">IF((V15="X")+(V15="F")&gt;0,"",IF(((V15&lt;&gt;"Xm"))+((V15&lt;&gt;"Xp"))+((V15&lt;&gt;"Xs")*(V15&lt;&gt;"Cs"))+((V15&lt;&gt;"Xn"))=0,"",IF(((V15&lt;&gt;"Xm"))+((V15&lt;&gt;"Xp"))+((V15&lt;&gt;"Xs")*(V15&lt;&gt;"Cs"))+((V15&lt;&gt;"Xn"))=4,V$3&amp;", ",V$3&amp;IF((V15&lt;&gt;"Xm"),"_m","")&amp;IF((V15&lt;&gt;"Xp"),"_p","")&amp;IF((V15&lt;&gt;"Xs")*(V15&lt;&gt;"Cs"),"_s","")&amp;IF((V15&lt;&gt;"Xn"),"_n","")&amp;", ")))</f>
        <v>ALBA, </v>
      </c>
      <c r="AU15" s="10" t="str">
        <f aca="false">IF((W15="X")+(W15="F")&gt;0,"",IF(((W15&lt;&gt;"Xm"))+((W15&lt;&gt;"Xp"))+((W15&lt;&gt;"Xs")*(W15&lt;&gt;"Cs"))+((W15&lt;&gt;"Xn"))=0,"",IF(((W15&lt;&gt;"Xm"))+((W15&lt;&gt;"Xp"))+((W15&lt;&gt;"Xs")*(W15&lt;&gt;"Cs"))+((W15&lt;&gt;"Xn"))=4,W$3&amp;", ",W$3&amp;IF((W15&lt;&gt;"Xm"),"_m","")&amp;IF((W15&lt;&gt;"Xp"),"_p","")&amp;IF((W15&lt;&gt;"Xs")*(W15&lt;&gt;"Cs"),"_s","")&amp;IF((W15&lt;&gt;"Xn"),"_n","")&amp;", ")))</f>
        <v>BRUNO, </v>
      </c>
      <c r="AV15" s="10" t="str">
        <f aca="false">IF((X15="X")+(X15="F")&gt;0,"",IF(((X15&lt;&gt;"Xm"))+((X15&lt;&gt;"Xp"))+((X15&lt;&gt;"Xs")*(X15&lt;&gt;"Cs"))+((X15&lt;&gt;"Xn"))=0,"",IF(((X15&lt;&gt;"Xm"))+((X15&lt;&gt;"Xp"))+((X15&lt;&gt;"Xs")*(X15&lt;&gt;"Cs"))+((X15&lt;&gt;"Xn"))=4,X$3&amp;", ",X$3&amp;IF((X15&lt;&gt;"Xm"),"_m","")&amp;IF((X15&lt;&gt;"Xp"),"_p","")&amp;IF((X15&lt;&gt;"Xs")*(X15&lt;&gt;"Cs"),"_s","")&amp;IF((X15&lt;&gt;"Xn"),"_n","")&amp;", ")))</f>
        <v>CARLA, </v>
      </c>
      <c r="AW15" s="10" t="str">
        <f aca="false">IF((Y15="X")+(Y15="F")&gt;0,"",IF(((Y15&lt;&gt;"Xm"))+((Y15&lt;&gt;"Xp"))+((Y15&lt;&gt;"Xs")*(Y15&lt;&gt;"Cs"))+((Y15&lt;&gt;"Xn"))=0,"",IF(((Y15&lt;&gt;"Xm"))+((Y15&lt;&gt;"Xp"))+((Y15&lt;&gt;"Xs")*(Y15&lt;&gt;"Cs"))+((Y15&lt;&gt;"Xn"))=4,Y$3&amp;", ",Y$3&amp;IF((Y15&lt;&gt;"Xm"),"_m","")&amp;IF((Y15&lt;&gt;"Xp"),"_p","")&amp;IF((Y15&lt;&gt;"Xs")*(Y15&lt;&gt;"Cs"),"_s","")&amp;IF((Y15&lt;&gt;"Xn"),"_n","")&amp;", ")))</f>
        <v>DINO, </v>
      </c>
      <c r="AX15" s="10" t="str">
        <f aca="false">IF((Z15="X")+(Z15="F")&gt;0,"",IF(((Z15&lt;&gt;"Xm"))+((Z15&lt;&gt;"Xp"))+((Z15&lt;&gt;"Xs")*(Z15&lt;&gt;"Cs"))+((Z15&lt;&gt;"Xn"))=0,"",IF(((Z15&lt;&gt;"Xm"))+((Z15&lt;&gt;"Xp"))+((Z15&lt;&gt;"Xs")*(Z15&lt;&gt;"Cs"))+((Z15&lt;&gt;"Xn"))=4,Z$3&amp;", ",Z$3&amp;IF((Z15&lt;&gt;"Xm"),"_m","")&amp;IF((Z15&lt;&gt;"Xp"),"_p","")&amp;IF((Z15&lt;&gt;"Xs")*(Z15&lt;&gt;"Cs"),"_s","")&amp;IF((Z15&lt;&gt;"Xn"),"_n","")&amp;", ")))</f>
        <v>ELSA, </v>
      </c>
      <c r="AY15" s="10" t="str">
        <f aca="false">IF((AA15="X")+(AA15="F")&gt;0,"",IF(((AA15&lt;&gt;"Xm"))+((AA15&lt;&gt;"Xp"))+((AA15&lt;&gt;"Xs")*(AA15&lt;&gt;"Cs"))+((AA15&lt;&gt;"Xn"))=0,"",IF(((AA15&lt;&gt;"Xm"))+((AA15&lt;&gt;"Xp"))+((AA15&lt;&gt;"Xs")*(AA15&lt;&gt;"Cs"))+((AA15&lt;&gt;"Xn"))=4,AA$3&amp;", ",AA$3&amp;IF((AA15&lt;&gt;"Xm"),"_m","")&amp;IF((AA15&lt;&gt;"Xp"),"_p","")&amp;IF((AA15&lt;&gt;"Xs")*(AA15&lt;&gt;"Cs"),"_s","")&amp;IF((AA15&lt;&gt;"Xn"),"_n","")&amp;", ")))</f>
        <v>FABIO, </v>
      </c>
      <c r="AZ15" s="10"/>
      <c r="BA15" s="10" t="str">
        <f aca="false">IF((V15="X")+(V15="F")&gt;0,"",IF(((V15&lt;&gt;"Xm")*(COUNTIFS($C$3:$K$3,"MAT",$C15:$K15,V$3)=0)*(COUNTIFS($C$3:$K$3,"NOTTE",$C15:$K15,V$3)=0))+((V15&lt;&gt;"Xp")*(COUNTIFS($C$3:$K$3,"POM",$C15:$K15,V$3)=0)*(COUNTIFS($C$3:$K$3,"NOTTE",$C15:$K15,V$3)=0))+((V15&lt;&gt;"Xs")*(V15&lt;&gt;"Cs")*(COUNTIFS($C$3:$K$3,"SERA",$C15:$K15,V$3)=0)*(COUNTIFS($C$3:$K$3,"NOTTE",$C15:$K15,V$3)=0))+((V15&lt;&gt;"Xn")*(COUNTIFS($C$3:$K$3,"MAT",$C15:$K15,V$3)=0)*(COUNTIFS($C$3:$K$3,"POM",$C15:$K15,V$3)=0)*(COUNTIFS($C$3:$K$3,"SERA",$C15:$K15,V$3)=0)*(COUNTIFS($C$3:$K$3,"NOTTE",$C15:$K15,V$3)=0))=0,"",IF(((V15&lt;&gt;"Xm")*(COUNTIFS($C$3:$K$3,"MAT",$C15:$K15,V$3)=0)*(COUNTIFS($C$3:$K$3,"NOTTE",$C15:$K15,V$3)=0))+((V15&lt;&gt;"Xp")*(COUNTIFS($C$3:$K$3,"POM",$C15:$K15,V$3)=0)*(COUNTIFS($C$3:$K$3,"NOTTE",$C15:$K15,V$3)=0))+((V15&lt;&gt;"Xs")*(V15&lt;&gt;"Cs")*(COUNTIFS($C$3:$K$3,"SERA",$C15:$K15,V$3)=0)*(COUNTIFS($C$3:$K$3,"NOTTE",$C15:$K15,V$3)=0))+((V15&lt;&gt;"Xn")*(COUNTIFS($C$3:$K$3,"MAT",$C15:$K15,V$3)=0)*(COUNTIFS($C$3:$K$3,"POM",$C15:$K15,V$3)=0)*(COUNTIFS($C$3:$K$3,"SERA",$C15:$K15,V$3)=0)*(COUNTIFS($C$3:$K$3,"NOTTE",$C15:$K15,V$3)=0))=4,V$3&amp;", ",V$3&amp;IF((V15&lt;&gt;"Xm")*(COUNTIFS($C$3:$K$3,"MAT",$C15:$K15,V$3)=0)*(COUNTIFS($C$3:$K$3,"NOTTE",$C15:$K15,V$3)=0),"_m","")&amp;IF((V15&lt;&gt;"Xp")*(COUNTIFS($C$3:$K$3,"POM",$C15:$K15,V$3)=0)*(COUNTIFS($C$3:$K$3,"NOTTE",$C15:$K15,V$3)=0),"_p","")&amp;IF((V15&lt;&gt;"Xs")*(V15&lt;&gt;"Cs")*(COUNTIFS($C$3:$K$3,"SERA",$C15:$K15,V$3)=0)*(COUNTIFS($C$3:$K$3,"NOTTE",$C15:$K15,V$3)=0),"_s","")&amp;IF((V15&lt;&gt;"Xn")*(COUNTIFS($C$3:$K$3,"MAT",$C15:$K15,V$3)=0)*(COUNTIFS($C$3:$K$3,"POM",$C15:$K15,V$3)=0)*(COUNTIFS($C$3:$K$3,"SERA",$C15:$K15,V$3)=0)*(COUNTIFS($C$3:$K$3,"NOTTE",$C15:$K15,V$3)=0),"_n","")&amp;", ")))</f>
        <v>ALBA, </v>
      </c>
      <c r="BB15" s="10" t="str">
        <f aca="false">IF((W15="X")+(W15="F")&gt;0,"",IF(((W15&lt;&gt;"Xm")*(COUNTIFS($C$3:$K$3,"MAT",$C15:$K15,W$3)=0)*(COUNTIFS($C$3:$K$3,"NOTTE",$C15:$K15,W$3)=0))+((W15&lt;&gt;"Xp")*(COUNTIFS($C$3:$K$3,"POM",$C15:$K15,W$3)=0)*(COUNTIFS($C$3:$K$3,"NOTTE",$C15:$K15,W$3)=0))+((W15&lt;&gt;"Xs")*(W15&lt;&gt;"Cs")*(COUNTIFS($C$3:$K$3,"SERA",$C15:$K15,W$3)=0)*(COUNTIFS($C$3:$K$3,"NOTTE",$C15:$K15,W$3)=0))+((W15&lt;&gt;"Xn")*(COUNTIFS($C$3:$K$3,"MAT",$C15:$K15,W$3)=0)*(COUNTIFS($C$3:$K$3,"POM",$C15:$K15,W$3)=0)*(COUNTIFS($C$3:$K$3,"SERA",$C15:$K15,W$3)=0)*(COUNTIFS($C$3:$K$3,"NOTTE",$C15:$K15,W$3)=0))=0,"",IF(((W15&lt;&gt;"Xm")*(COUNTIFS($C$3:$K$3,"MAT",$C15:$K15,W$3)=0)*(COUNTIFS($C$3:$K$3,"NOTTE",$C15:$K15,W$3)=0))+((W15&lt;&gt;"Xp")*(COUNTIFS($C$3:$K$3,"POM",$C15:$K15,W$3)=0)*(COUNTIFS($C$3:$K$3,"NOTTE",$C15:$K15,W$3)=0))+((W15&lt;&gt;"Xs")*(W15&lt;&gt;"Cs")*(COUNTIFS($C$3:$K$3,"SERA",$C15:$K15,W$3)=0)*(COUNTIFS($C$3:$K$3,"NOTTE",$C15:$K15,W$3)=0))+((W15&lt;&gt;"Xn")*(COUNTIFS($C$3:$K$3,"MAT",$C15:$K15,W$3)=0)*(COUNTIFS($C$3:$K$3,"POM",$C15:$K15,W$3)=0)*(COUNTIFS($C$3:$K$3,"SERA",$C15:$K15,W$3)=0)*(COUNTIFS($C$3:$K$3,"NOTTE",$C15:$K15,W$3)=0))=4,W$3&amp;", ",W$3&amp;IF((W15&lt;&gt;"Xm")*(COUNTIFS($C$3:$K$3,"MAT",$C15:$K15,W$3)=0)*(COUNTIFS($C$3:$K$3,"NOTTE",$C15:$K15,W$3)=0),"_m","")&amp;IF((W15&lt;&gt;"Xp")*(COUNTIFS($C$3:$K$3,"POM",$C15:$K15,W$3)=0)*(COUNTIFS($C$3:$K$3,"NOTTE",$C15:$K15,W$3)=0),"_p","")&amp;IF((W15&lt;&gt;"Xs")*(W15&lt;&gt;"Cs")*(COUNTIFS($C$3:$K$3,"SERA",$C15:$K15,W$3)=0)*(COUNTIFS($C$3:$K$3,"NOTTE",$C15:$K15,W$3)=0),"_s","")&amp;IF((W15&lt;&gt;"Xn")*(COUNTIFS($C$3:$K$3,"MAT",$C15:$K15,W$3)=0)*(COUNTIFS($C$3:$K$3,"POM",$C15:$K15,W$3)=0)*(COUNTIFS($C$3:$K$3,"SERA",$C15:$K15,W$3)=0)*(COUNTIFS($C$3:$K$3,"NOTTE",$C15:$K15,W$3)=0),"_n","")&amp;", ")))</f>
        <v>BRUNO, </v>
      </c>
      <c r="BC15" s="10" t="str">
        <f aca="false">IF((X15="X")+(X15="F")&gt;0,"",IF(((X15&lt;&gt;"Xm")*(COUNTIFS($C$3:$K$3,"MAT",$C15:$K15,X$3)=0)*(COUNTIFS($C$3:$K$3,"NOTTE",$C15:$K15,X$3)=0))+((X15&lt;&gt;"Xp")*(COUNTIFS($C$3:$K$3,"POM",$C15:$K15,X$3)=0)*(COUNTIFS($C$3:$K$3,"NOTTE",$C15:$K15,X$3)=0))+((X15&lt;&gt;"Xs")*(X15&lt;&gt;"Cs")*(COUNTIFS($C$3:$K$3,"SERA",$C15:$K15,X$3)=0)*(COUNTIFS($C$3:$K$3,"NOTTE",$C15:$K15,X$3)=0))+((X15&lt;&gt;"Xn")*(COUNTIFS($C$3:$K$3,"MAT",$C15:$K15,X$3)=0)*(COUNTIFS($C$3:$K$3,"POM",$C15:$K15,X$3)=0)*(COUNTIFS($C$3:$K$3,"SERA",$C15:$K15,X$3)=0)*(COUNTIFS($C$3:$K$3,"NOTTE",$C15:$K15,X$3)=0))=0,"",IF(((X15&lt;&gt;"Xm")*(COUNTIFS($C$3:$K$3,"MAT",$C15:$K15,X$3)=0)*(COUNTIFS($C$3:$K$3,"NOTTE",$C15:$K15,X$3)=0))+((X15&lt;&gt;"Xp")*(COUNTIFS($C$3:$K$3,"POM",$C15:$K15,X$3)=0)*(COUNTIFS($C$3:$K$3,"NOTTE",$C15:$K15,X$3)=0))+((X15&lt;&gt;"Xs")*(X15&lt;&gt;"Cs")*(COUNTIFS($C$3:$K$3,"SERA",$C15:$K15,X$3)=0)*(COUNTIFS($C$3:$K$3,"NOTTE",$C15:$K15,X$3)=0))+((X15&lt;&gt;"Xn")*(COUNTIFS($C$3:$K$3,"MAT",$C15:$K15,X$3)=0)*(COUNTIFS($C$3:$K$3,"POM",$C15:$K15,X$3)=0)*(COUNTIFS($C$3:$K$3,"SERA",$C15:$K15,X$3)=0)*(COUNTIFS($C$3:$K$3,"NOTTE",$C15:$K15,X$3)=0))=4,X$3&amp;", ",X$3&amp;IF((X15&lt;&gt;"Xm")*(COUNTIFS($C$3:$K$3,"MAT",$C15:$K15,X$3)=0)*(COUNTIFS($C$3:$K$3,"NOTTE",$C15:$K15,X$3)=0),"_m","")&amp;IF((X15&lt;&gt;"Xp")*(COUNTIFS($C$3:$K$3,"POM",$C15:$K15,X$3)=0)*(COUNTIFS($C$3:$K$3,"NOTTE",$C15:$K15,X$3)=0),"_p","")&amp;IF((X15&lt;&gt;"Xs")*(X15&lt;&gt;"Cs")*(COUNTIFS($C$3:$K$3,"SERA",$C15:$K15,X$3)=0)*(COUNTIFS($C$3:$K$3,"NOTTE",$C15:$K15,X$3)=0),"_s","")&amp;IF((X15&lt;&gt;"Xn")*(COUNTIFS($C$3:$K$3,"MAT",$C15:$K15,X$3)=0)*(COUNTIFS($C$3:$K$3,"POM",$C15:$K15,X$3)=0)*(COUNTIFS($C$3:$K$3,"SERA",$C15:$K15,X$3)=0)*(COUNTIFS($C$3:$K$3,"NOTTE",$C15:$K15,X$3)=0),"_n","")&amp;", ")))</f>
        <v>CARLA, </v>
      </c>
      <c r="BD15" s="10" t="str">
        <f aca="false">IF((Y15="X")+(Y15="F")&gt;0,"",IF(((Y15&lt;&gt;"Xm")*(COUNTIFS($C$3:$K$3,"MAT",$C15:$K15,Y$3)=0)*(COUNTIFS($C$3:$K$3,"NOTTE",$C15:$K15,Y$3)=0))+((Y15&lt;&gt;"Xp")*(COUNTIFS($C$3:$K$3,"POM",$C15:$K15,Y$3)=0)*(COUNTIFS($C$3:$K$3,"NOTTE",$C15:$K15,Y$3)=0))+((Y15&lt;&gt;"Xs")*(Y15&lt;&gt;"Cs")*(COUNTIFS($C$3:$K$3,"SERA",$C15:$K15,Y$3)=0)*(COUNTIFS($C$3:$K$3,"NOTTE",$C15:$K15,Y$3)=0))+((Y15&lt;&gt;"Xn")*(COUNTIFS($C$3:$K$3,"MAT",$C15:$K15,Y$3)=0)*(COUNTIFS($C$3:$K$3,"POM",$C15:$K15,Y$3)=0)*(COUNTIFS($C$3:$K$3,"SERA",$C15:$K15,Y$3)=0)*(COUNTIFS($C$3:$K$3,"NOTTE",$C15:$K15,Y$3)=0))=0,"",IF(((Y15&lt;&gt;"Xm")*(COUNTIFS($C$3:$K$3,"MAT",$C15:$K15,Y$3)=0)*(COUNTIFS($C$3:$K$3,"NOTTE",$C15:$K15,Y$3)=0))+((Y15&lt;&gt;"Xp")*(COUNTIFS($C$3:$K$3,"POM",$C15:$K15,Y$3)=0)*(COUNTIFS($C$3:$K$3,"NOTTE",$C15:$K15,Y$3)=0))+((Y15&lt;&gt;"Xs")*(Y15&lt;&gt;"Cs")*(COUNTIFS($C$3:$K$3,"SERA",$C15:$K15,Y$3)=0)*(COUNTIFS($C$3:$K$3,"NOTTE",$C15:$K15,Y$3)=0))+((Y15&lt;&gt;"Xn")*(COUNTIFS($C$3:$K$3,"MAT",$C15:$K15,Y$3)=0)*(COUNTIFS($C$3:$K$3,"POM",$C15:$K15,Y$3)=0)*(COUNTIFS($C$3:$K$3,"SERA",$C15:$K15,Y$3)=0)*(COUNTIFS($C$3:$K$3,"NOTTE",$C15:$K15,Y$3)=0))=4,Y$3&amp;", ",Y$3&amp;IF((Y15&lt;&gt;"Xm")*(COUNTIFS($C$3:$K$3,"MAT",$C15:$K15,Y$3)=0)*(COUNTIFS($C$3:$K$3,"NOTTE",$C15:$K15,Y$3)=0),"_m","")&amp;IF((Y15&lt;&gt;"Xp")*(COUNTIFS($C$3:$K$3,"POM",$C15:$K15,Y$3)=0)*(COUNTIFS($C$3:$K$3,"NOTTE",$C15:$K15,Y$3)=0),"_p","")&amp;IF((Y15&lt;&gt;"Xs")*(Y15&lt;&gt;"Cs")*(COUNTIFS($C$3:$K$3,"SERA",$C15:$K15,Y$3)=0)*(COUNTIFS($C$3:$K$3,"NOTTE",$C15:$K15,Y$3)=0),"_s","")&amp;IF((Y15&lt;&gt;"Xn")*(COUNTIFS($C$3:$K$3,"MAT",$C15:$K15,Y$3)=0)*(COUNTIFS($C$3:$K$3,"POM",$C15:$K15,Y$3)=0)*(COUNTIFS($C$3:$K$3,"SERA",$C15:$K15,Y$3)=0)*(COUNTIFS($C$3:$K$3,"NOTTE",$C15:$K15,Y$3)=0),"_n","")&amp;", ")))</f>
        <v>DINO, </v>
      </c>
      <c r="BE15" s="10" t="str">
        <f aca="false">IF((Z15="X")+(Z15="F")&gt;0,"",IF(((Z15&lt;&gt;"Xm")*(COUNTIFS($C$3:$K$3,"MAT",$C15:$K15,Z$3)=0)*(COUNTIFS($C$3:$K$3,"NOTTE",$C15:$K15,Z$3)=0))+((Z15&lt;&gt;"Xp")*(COUNTIFS($C$3:$K$3,"POM",$C15:$K15,Z$3)=0)*(COUNTIFS($C$3:$K$3,"NOTTE",$C15:$K15,Z$3)=0))+((Z15&lt;&gt;"Xs")*(Z15&lt;&gt;"Cs")*(COUNTIFS($C$3:$K$3,"SERA",$C15:$K15,Z$3)=0)*(COUNTIFS($C$3:$K$3,"NOTTE",$C15:$K15,Z$3)=0))+((Z15&lt;&gt;"Xn")*(COUNTIFS($C$3:$K$3,"MAT",$C15:$K15,Z$3)=0)*(COUNTIFS($C$3:$K$3,"POM",$C15:$K15,Z$3)=0)*(COUNTIFS($C$3:$K$3,"SERA",$C15:$K15,Z$3)=0)*(COUNTIFS($C$3:$K$3,"NOTTE",$C15:$K15,Z$3)=0))=0,"",IF(((Z15&lt;&gt;"Xm")*(COUNTIFS($C$3:$K$3,"MAT",$C15:$K15,Z$3)=0)*(COUNTIFS($C$3:$K$3,"NOTTE",$C15:$K15,Z$3)=0))+((Z15&lt;&gt;"Xp")*(COUNTIFS($C$3:$K$3,"POM",$C15:$K15,Z$3)=0)*(COUNTIFS($C$3:$K$3,"NOTTE",$C15:$K15,Z$3)=0))+((Z15&lt;&gt;"Xs")*(Z15&lt;&gt;"Cs")*(COUNTIFS($C$3:$K$3,"SERA",$C15:$K15,Z$3)=0)*(COUNTIFS($C$3:$K$3,"NOTTE",$C15:$K15,Z$3)=0))+((Z15&lt;&gt;"Xn")*(COUNTIFS($C$3:$K$3,"MAT",$C15:$K15,Z$3)=0)*(COUNTIFS($C$3:$K$3,"POM",$C15:$K15,Z$3)=0)*(COUNTIFS($C$3:$K$3,"SERA",$C15:$K15,Z$3)=0)*(COUNTIFS($C$3:$K$3,"NOTTE",$C15:$K15,Z$3)=0))=4,Z$3&amp;", ",Z$3&amp;IF((Z15&lt;&gt;"Xm")*(COUNTIFS($C$3:$K$3,"MAT",$C15:$K15,Z$3)=0)*(COUNTIFS($C$3:$K$3,"NOTTE",$C15:$K15,Z$3)=0),"_m","")&amp;IF((Z15&lt;&gt;"Xp")*(COUNTIFS($C$3:$K$3,"POM",$C15:$K15,Z$3)=0)*(COUNTIFS($C$3:$K$3,"NOTTE",$C15:$K15,Z$3)=0),"_p","")&amp;IF((Z15&lt;&gt;"Xs")*(Z15&lt;&gt;"Cs")*(COUNTIFS($C$3:$K$3,"SERA",$C15:$K15,Z$3)=0)*(COUNTIFS($C$3:$K$3,"NOTTE",$C15:$K15,Z$3)=0),"_s","")&amp;IF((Z15&lt;&gt;"Xn")*(COUNTIFS($C$3:$K$3,"MAT",$C15:$K15,Z$3)=0)*(COUNTIFS($C$3:$K$3,"POM",$C15:$K15,Z$3)=0)*(COUNTIFS($C$3:$K$3,"SERA",$C15:$K15,Z$3)=0)*(COUNTIFS($C$3:$K$3,"NOTTE",$C15:$K15,Z$3)=0),"_n","")&amp;", ")))</f>
        <v>ELSA, </v>
      </c>
      <c r="BF15" s="10" t="str">
        <f aca="false">IF((AA15="X")+(AA15="F")&gt;0,"",IF(((AA15&lt;&gt;"Xm")*(COUNTIFS($C$3:$K$3,"MAT",$C15:$K15,AA$3)=0)*(COUNTIFS($C$3:$K$3,"NOTTE",$C15:$K15,AA$3)=0))+((AA15&lt;&gt;"Xp")*(COUNTIFS($C$3:$K$3,"POM",$C15:$K15,AA$3)=0)*(COUNTIFS($C$3:$K$3,"NOTTE",$C15:$K15,AA$3)=0))+((AA15&lt;&gt;"Xs")*(AA15&lt;&gt;"Cs")*(COUNTIFS($C$3:$K$3,"SERA",$C15:$K15,AA$3)=0)*(COUNTIFS($C$3:$K$3,"NOTTE",$C15:$K15,AA$3)=0))+((AA15&lt;&gt;"Xn")*(COUNTIFS($C$3:$K$3,"MAT",$C15:$K15,AA$3)=0)*(COUNTIFS($C$3:$K$3,"POM",$C15:$K15,AA$3)=0)*(COUNTIFS($C$3:$K$3,"SERA",$C15:$K15,AA$3)=0)*(COUNTIFS($C$3:$K$3,"NOTTE",$C15:$K15,AA$3)=0))=0,"",IF(((AA15&lt;&gt;"Xm")*(COUNTIFS($C$3:$K$3,"MAT",$C15:$K15,AA$3)=0)*(COUNTIFS($C$3:$K$3,"NOTTE",$C15:$K15,AA$3)=0))+((AA15&lt;&gt;"Xp")*(COUNTIFS($C$3:$K$3,"POM",$C15:$K15,AA$3)=0)*(COUNTIFS($C$3:$K$3,"NOTTE",$C15:$K15,AA$3)=0))+((AA15&lt;&gt;"Xs")*(AA15&lt;&gt;"Cs")*(COUNTIFS($C$3:$K$3,"SERA",$C15:$K15,AA$3)=0)*(COUNTIFS($C$3:$K$3,"NOTTE",$C15:$K15,AA$3)=0))+((AA15&lt;&gt;"Xn")*(COUNTIFS($C$3:$K$3,"MAT",$C15:$K15,AA$3)=0)*(COUNTIFS($C$3:$K$3,"POM",$C15:$K15,AA$3)=0)*(COUNTIFS($C$3:$K$3,"SERA",$C15:$K15,AA$3)=0)*(COUNTIFS($C$3:$K$3,"NOTTE",$C15:$K15,AA$3)=0))=4,AA$3&amp;", ",AA$3&amp;IF((AA15&lt;&gt;"Xm")*(COUNTIFS($C$3:$K$3,"MAT",$C15:$K15,AA$3)=0)*(COUNTIFS($C$3:$K$3,"NOTTE",$C15:$K15,AA$3)=0),"_m","")&amp;IF((AA15&lt;&gt;"Xp")*(COUNTIFS($C$3:$K$3,"POM",$C15:$K15,AA$3)=0)*(COUNTIFS($C$3:$K$3,"NOTTE",$C15:$K15,AA$3)=0),"_p","")&amp;IF((AA15&lt;&gt;"Xs")*(AA15&lt;&gt;"Cs")*(COUNTIFS($C$3:$K$3,"SERA",$C15:$K15,AA$3)=0)*(COUNTIFS($C$3:$K$3,"NOTTE",$C15:$K15,AA$3)=0),"_s","")&amp;IF((AA15&lt;&gt;"Xn")*(COUNTIFS($C$3:$K$3,"MAT",$C15:$K15,AA$3)=0)*(COUNTIFS($C$3:$K$3,"POM",$C15:$K15,AA$3)=0)*(COUNTIFS($C$3:$K$3,"SERA",$C15:$K15,AA$3)=0)*(COUNTIFS($C$3:$K$3,"NOTTE",$C15:$K15,AA$3)=0),"_n","")&amp;", ")))</f>
        <v>FABIO, </v>
      </c>
    </row>
    <row r="16" customFormat="false" ht="15" hidden="false" customHeight="false" outlineLevel="0" collapsed="false">
      <c r="A16" s="11" t="str">
        <f aca="false">CHOOSE(WEEKDAY(DATE($B$1,$A$2,B16),2),"lunedì","martedì","mercoledì","giovedì","venerdì","sabato","domenica")</f>
        <v>sabato</v>
      </c>
      <c r="B16" s="11" t="n">
        <v>13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tr">
        <f aca="false">IF(SUMPRODUCT(($C$3:$K$3&lt;&gt;"")*($C16:$K16&lt;&gt;"")*(COUNTIFS($C16:$K16,$C16:$K16,$C$3:$K$3,$C$3:$K$3)&gt;1))&gt;0,"X","")</f>
        <v/>
      </c>
      <c r="N16" s="11" t="str">
        <f aca="false">IF(LEN(AT16&amp;AU16&amp;AV16&amp;AW16&amp;AX16&amp;AY16)=0,"",LEFT(AT16&amp;AU16&amp;AV16&amp;AW16&amp;AX16&amp;AY16,LEN(AT16&amp;AU16&amp;AV16&amp;AW16&amp;AX16&amp;AY16)-2))</f>
        <v>ALBA, BRUNO, CARLA, DINO, ELSA, FABIO</v>
      </c>
      <c r="O16" s="11" t="str">
        <f aca="false">IF(LEN(BA16&amp;BB16&amp;BC16&amp;BD16&amp;BE16&amp;BF16)=0,"",LEFT(BA16&amp;BB16&amp;BC16&amp;BD16&amp;BE16&amp;BF16,LEN(BA16&amp;BB16&amp;BC16&amp;BD16&amp;BE16&amp;BF16)-2))</f>
        <v>ALBA, BRUNO, CARLA, DINO, ELSA, FABIO</v>
      </c>
      <c r="T16" s="11" t="str">
        <f aca="false">A16</f>
        <v>sabato</v>
      </c>
      <c r="U16" s="11" t="n">
        <f aca="false">B16</f>
        <v>13</v>
      </c>
      <c r="V16" s="11"/>
      <c r="W16" s="11"/>
      <c r="X16" s="11"/>
      <c r="Y16" s="11"/>
      <c r="Z16" s="11"/>
      <c r="AA16" s="11"/>
      <c r="AT16" s="10" t="str">
        <f aca="false">IF((V16="X")+(V16="F")&gt;0,"",IF(((V16&lt;&gt;"Xm"))+((V16&lt;&gt;"Xp"))+((V16&lt;&gt;"Xs")*(V16&lt;&gt;"Cs"))+((V16&lt;&gt;"Xn"))=0,"",IF(((V16&lt;&gt;"Xm"))+((V16&lt;&gt;"Xp"))+((V16&lt;&gt;"Xs")*(V16&lt;&gt;"Cs"))+((V16&lt;&gt;"Xn"))=4,V$3&amp;", ",V$3&amp;IF((V16&lt;&gt;"Xm"),"_m","")&amp;IF((V16&lt;&gt;"Xp"),"_p","")&amp;IF((V16&lt;&gt;"Xs")*(V16&lt;&gt;"Cs"),"_s","")&amp;IF((V16&lt;&gt;"Xn"),"_n","")&amp;", ")))</f>
        <v>ALBA, </v>
      </c>
      <c r="AU16" s="10" t="str">
        <f aca="false">IF((W16="X")+(W16="F")&gt;0,"",IF(((W16&lt;&gt;"Xm"))+((W16&lt;&gt;"Xp"))+((W16&lt;&gt;"Xs")*(W16&lt;&gt;"Cs"))+((W16&lt;&gt;"Xn"))=0,"",IF(((W16&lt;&gt;"Xm"))+((W16&lt;&gt;"Xp"))+((W16&lt;&gt;"Xs")*(W16&lt;&gt;"Cs"))+((W16&lt;&gt;"Xn"))=4,W$3&amp;", ",W$3&amp;IF((W16&lt;&gt;"Xm"),"_m","")&amp;IF((W16&lt;&gt;"Xp"),"_p","")&amp;IF((W16&lt;&gt;"Xs")*(W16&lt;&gt;"Cs"),"_s","")&amp;IF((W16&lt;&gt;"Xn"),"_n","")&amp;", ")))</f>
        <v>BRUNO, </v>
      </c>
      <c r="AV16" s="10" t="str">
        <f aca="false">IF((X16="X")+(X16="F")&gt;0,"",IF(((X16&lt;&gt;"Xm"))+((X16&lt;&gt;"Xp"))+((X16&lt;&gt;"Xs")*(X16&lt;&gt;"Cs"))+((X16&lt;&gt;"Xn"))=0,"",IF(((X16&lt;&gt;"Xm"))+((X16&lt;&gt;"Xp"))+((X16&lt;&gt;"Xs")*(X16&lt;&gt;"Cs"))+((X16&lt;&gt;"Xn"))=4,X$3&amp;", ",X$3&amp;IF((X16&lt;&gt;"Xm"),"_m","")&amp;IF((X16&lt;&gt;"Xp"),"_p","")&amp;IF((X16&lt;&gt;"Xs")*(X16&lt;&gt;"Cs"),"_s","")&amp;IF((X16&lt;&gt;"Xn"),"_n","")&amp;", ")))</f>
        <v>CARLA, </v>
      </c>
      <c r="AW16" s="10" t="str">
        <f aca="false">IF((Y16="X")+(Y16="F")&gt;0,"",IF(((Y16&lt;&gt;"Xm"))+((Y16&lt;&gt;"Xp"))+((Y16&lt;&gt;"Xs")*(Y16&lt;&gt;"Cs"))+((Y16&lt;&gt;"Xn"))=0,"",IF(((Y16&lt;&gt;"Xm"))+((Y16&lt;&gt;"Xp"))+((Y16&lt;&gt;"Xs")*(Y16&lt;&gt;"Cs"))+((Y16&lt;&gt;"Xn"))=4,Y$3&amp;", ",Y$3&amp;IF((Y16&lt;&gt;"Xm"),"_m","")&amp;IF((Y16&lt;&gt;"Xp"),"_p","")&amp;IF((Y16&lt;&gt;"Xs")*(Y16&lt;&gt;"Cs"),"_s","")&amp;IF((Y16&lt;&gt;"Xn"),"_n","")&amp;", ")))</f>
        <v>DINO, </v>
      </c>
      <c r="AX16" s="10" t="str">
        <f aca="false">IF((Z16="X")+(Z16="F")&gt;0,"",IF(((Z16&lt;&gt;"Xm"))+((Z16&lt;&gt;"Xp"))+((Z16&lt;&gt;"Xs")*(Z16&lt;&gt;"Cs"))+((Z16&lt;&gt;"Xn"))=0,"",IF(((Z16&lt;&gt;"Xm"))+((Z16&lt;&gt;"Xp"))+((Z16&lt;&gt;"Xs")*(Z16&lt;&gt;"Cs"))+((Z16&lt;&gt;"Xn"))=4,Z$3&amp;", ",Z$3&amp;IF((Z16&lt;&gt;"Xm"),"_m","")&amp;IF((Z16&lt;&gt;"Xp"),"_p","")&amp;IF((Z16&lt;&gt;"Xs")*(Z16&lt;&gt;"Cs"),"_s","")&amp;IF((Z16&lt;&gt;"Xn"),"_n","")&amp;", ")))</f>
        <v>ELSA, </v>
      </c>
      <c r="AY16" s="10" t="str">
        <f aca="false">IF((AA16="X")+(AA16="F")&gt;0,"",IF(((AA16&lt;&gt;"Xm"))+((AA16&lt;&gt;"Xp"))+((AA16&lt;&gt;"Xs")*(AA16&lt;&gt;"Cs"))+((AA16&lt;&gt;"Xn"))=0,"",IF(((AA16&lt;&gt;"Xm"))+((AA16&lt;&gt;"Xp"))+((AA16&lt;&gt;"Xs")*(AA16&lt;&gt;"Cs"))+((AA16&lt;&gt;"Xn"))=4,AA$3&amp;", ",AA$3&amp;IF((AA16&lt;&gt;"Xm"),"_m","")&amp;IF((AA16&lt;&gt;"Xp"),"_p","")&amp;IF((AA16&lt;&gt;"Xs")*(AA16&lt;&gt;"Cs"),"_s","")&amp;IF((AA16&lt;&gt;"Xn"),"_n","")&amp;", ")))</f>
        <v>FABIO, </v>
      </c>
      <c r="AZ16" s="10"/>
      <c r="BA16" s="10" t="str">
        <f aca="false">IF((V16="X")+(V16="F")&gt;0,"",IF(((V16&lt;&gt;"Xm")*(COUNTIFS($C$3:$K$3,"MAT",$C16:$K16,V$3)=0)*(COUNTIFS($C$3:$K$3,"NOTTE",$C16:$K16,V$3)=0))+((V16&lt;&gt;"Xp")*(COUNTIFS($C$3:$K$3,"POM",$C16:$K16,V$3)=0)*(COUNTIFS($C$3:$K$3,"NOTTE",$C16:$K16,V$3)=0))+((V16&lt;&gt;"Xs")*(V16&lt;&gt;"Cs")*(COUNTIFS($C$3:$K$3,"SERA",$C16:$K16,V$3)=0)*(COUNTIFS($C$3:$K$3,"NOTTE",$C16:$K16,V$3)=0))+((V16&lt;&gt;"Xn")*(COUNTIFS($C$3:$K$3,"MAT",$C16:$K16,V$3)=0)*(COUNTIFS($C$3:$K$3,"POM",$C16:$K16,V$3)=0)*(COUNTIFS($C$3:$K$3,"SERA",$C16:$K16,V$3)=0)*(COUNTIFS($C$3:$K$3,"NOTTE",$C16:$K16,V$3)=0))=0,"",IF(((V16&lt;&gt;"Xm")*(COUNTIFS($C$3:$K$3,"MAT",$C16:$K16,V$3)=0)*(COUNTIFS($C$3:$K$3,"NOTTE",$C16:$K16,V$3)=0))+((V16&lt;&gt;"Xp")*(COUNTIFS($C$3:$K$3,"POM",$C16:$K16,V$3)=0)*(COUNTIFS($C$3:$K$3,"NOTTE",$C16:$K16,V$3)=0))+((V16&lt;&gt;"Xs")*(V16&lt;&gt;"Cs")*(COUNTIFS($C$3:$K$3,"SERA",$C16:$K16,V$3)=0)*(COUNTIFS($C$3:$K$3,"NOTTE",$C16:$K16,V$3)=0))+((V16&lt;&gt;"Xn")*(COUNTIFS($C$3:$K$3,"MAT",$C16:$K16,V$3)=0)*(COUNTIFS($C$3:$K$3,"POM",$C16:$K16,V$3)=0)*(COUNTIFS($C$3:$K$3,"SERA",$C16:$K16,V$3)=0)*(COUNTIFS($C$3:$K$3,"NOTTE",$C16:$K16,V$3)=0))=4,V$3&amp;", ",V$3&amp;IF((V16&lt;&gt;"Xm")*(COUNTIFS($C$3:$K$3,"MAT",$C16:$K16,V$3)=0)*(COUNTIFS($C$3:$K$3,"NOTTE",$C16:$K16,V$3)=0),"_m","")&amp;IF((V16&lt;&gt;"Xp")*(COUNTIFS($C$3:$K$3,"POM",$C16:$K16,V$3)=0)*(COUNTIFS($C$3:$K$3,"NOTTE",$C16:$K16,V$3)=0),"_p","")&amp;IF((V16&lt;&gt;"Xs")*(V16&lt;&gt;"Cs")*(COUNTIFS($C$3:$K$3,"SERA",$C16:$K16,V$3)=0)*(COUNTIFS($C$3:$K$3,"NOTTE",$C16:$K16,V$3)=0),"_s","")&amp;IF((V16&lt;&gt;"Xn")*(COUNTIFS($C$3:$K$3,"MAT",$C16:$K16,V$3)=0)*(COUNTIFS($C$3:$K$3,"POM",$C16:$K16,V$3)=0)*(COUNTIFS($C$3:$K$3,"SERA",$C16:$K16,V$3)=0)*(COUNTIFS($C$3:$K$3,"NOTTE",$C16:$K16,V$3)=0),"_n","")&amp;", ")))</f>
        <v>ALBA, </v>
      </c>
      <c r="BB16" s="10" t="str">
        <f aca="false">IF((W16="X")+(W16="F")&gt;0,"",IF(((W16&lt;&gt;"Xm")*(COUNTIFS($C$3:$K$3,"MAT",$C16:$K16,W$3)=0)*(COUNTIFS($C$3:$K$3,"NOTTE",$C16:$K16,W$3)=0))+((W16&lt;&gt;"Xp")*(COUNTIFS($C$3:$K$3,"POM",$C16:$K16,W$3)=0)*(COUNTIFS($C$3:$K$3,"NOTTE",$C16:$K16,W$3)=0))+((W16&lt;&gt;"Xs")*(W16&lt;&gt;"Cs")*(COUNTIFS($C$3:$K$3,"SERA",$C16:$K16,W$3)=0)*(COUNTIFS($C$3:$K$3,"NOTTE",$C16:$K16,W$3)=0))+((W16&lt;&gt;"Xn")*(COUNTIFS($C$3:$K$3,"MAT",$C16:$K16,W$3)=0)*(COUNTIFS($C$3:$K$3,"POM",$C16:$K16,W$3)=0)*(COUNTIFS($C$3:$K$3,"SERA",$C16:$K16,W$3)=0)*(COUNTIFS($C$3:$K$3,"NOTTE",$C16:$K16,W$3)=0))=0,"",IF(((W16&lt;&gt;"Xm")*(COUNTIFS($C$3:$K$3,"MAT",$C16:$K16,W$3)=0)*(COUNTIFS($C$3:$K$3,"NOTTE",$C16:$K16,W$3)=0))+((W16&lt;&gt;"Xp")*(COUNTIFS($C$3:$K$3,"POM",$C16:$K16,W$3)=0)*(COUNTIFS($C$3:$K$3,"NOTTE",$C16:$K16,W$3)=0))+((W16&lt;&gt;"Xs")*(W16&lt;&gt;"Cs")*(COUNTIFS($C$3:$K$3,"SERA",$C16:$K16,W$3)=0)*(COUNTIFS($C$3:$K$3,"NOTTE",$C16:$K16,W$3)=0))+((W16&lt;&gt;"Xn")*(COUNTIFS($C$3:$K$3,"MAT",$C16:$K16,W$3)=0)*(COUNTIFS($C$3:$K$3,"POM",$C16:$K16,W$3)=0)*(COUNTIFS($C$3:$K$3,"SERA",$C16:$K16,W$3)=0)*(COUNTIFS($C$3:$K$3,"NOTTE",$C16:$K16,W$3)=0))=4,W$3&amp;", ",W$3&amp;IF((W16&lt;&gt;"Xm")*(COUNTIFS($C$3:$K$3,"MAT",$C16:$K16,W$3)=0)*(COUNTIFS($C$3:$K$3,"NOTTE",$C16:$K16,W$3)=0),"_m","")&amp;IF((W16&lt;&gt;"Xp")*(COUNTIFS($C$3:$K$3,"POM",$C16:$K16,W$3)=0)*(COUNTIFS($C$3:$K$3,"NOTTE",$C16:$K16,W$3)=0),"_p","")&amp;IF((W16&lt;&gt;"Xs")*(W16&lt;&gt;"Cs")*(COUNTIFS($C$3:$K$3,"SERA",$C16:$K16,W$3)=0)*(COUNTIFS($C$3:$K$3,"NOTTE",$C16:$K16,W$3)=0),"_s","")&amp;IF((W16&lt;&gt;"Xn")*(COUNTIFS($C$3:$K$3,"MAT",$C16:$K16,W$3)=0)*(COUNTIFS($C$3:$K$3,"POM",$C16:$K16,W$3)=0)*(COUNTIFS($C$3:$K$3,"SERA",$C16:$K16,W$3)=0)*(COUNTIFS($C$3:$K$3,"NOTTE",$C16:$K16,W$3)=0),"_n","")&amp;", ")))</f>
        <v>BRUNO, </v>
      </c>
      <c r="BC16" s="10" t="str">
        <f aca="false">IF((X16="X")+(X16="F")&gt;0,"",IF(((X16&lt;&gt;"Xm")*(COUNTIFS($C$3:$K$3,"MAT",$C16:$K16,X$3)=0)*(COUNTIFS($C$3:$K$3,"NOTTE",$C16:$K16,X$3)=0))+((X16&lt;&gt;"Xp")*(COUNTIFS($C$3:$K$3,"POM",$C16:$K16,X$3)=0)*(COUNTIFS($C$3:$K$3,"NOTTE",$C16:$K16,X$3)=0))+((X16&lt;&gt;"Xs")*(X16&lt;&gt;"Cs")*(COUNTIFS($C$3:$K$3,"SERA",$C16:$K16,X$3)=0)*(COUNTIFS($C$3:$K$3,"NOTTE",$C16:$K16,X$3)=0))+((X16&lt;&gt;"Xn")*(COUNTIFS($C$3:$K$3,"MAT",$C16:$K16,X$3)=0)*(COUNTIFS($C$3:$K$3,"POM",$C16:$K16,X$3)=0)*(COUNTIFS($C$3:$K$3,"SERA",$C16:$K16,X$3)=0)*(COUNTIFS($C$3:$K$3,"NOTTE",$C16:$K16,X$3)=0))=0,"",IF(((X16&lt;&gt;"Xm")*(COUNTIFS($C$3:$K$3,"MAT",$C16:$K16,X$3)=0)*(COUNTIFS($C$3:$K$3,"NOTTE",$C16:$K16,X$3)=0))+((X16&lt;&gt;"Xp")*(COUNTIFS($C$3:$K$3,"POM",$C16:$K16,X$3)=0)*(COUNTIFS($C$3:$K$3,"NOTTE",$C16:$K16,X$3)=0))+((X16&lt;&gt;"Xs")*(X16&lt;&gt;"Cs")*(COUNTIFS($C$3:$K$3,"SERA",$C16:$K16,X$3)=0)*(COUNTIFS($C$3:$K$3,"NOTTE",$C16:$K16,X$3)=0))+((X16&lt;&gt;"Xn")*(COUNTIFS($C$3:$K$3,"MAT",$C16:$K16,X$3)=0)*(COUNTIFS($C$3:$K$3,"POM",$C16:$K16,X$3)=0)*(COUNTIFS($C$3:$K$3,"SERA",$C16:$K16,X$3)=0)*(COUNTIFS($C$3:$K$3,"NOTTE",$C16:$K16,X$3)=0))=4,X$3&amp;", ",X$3&amp;IF((X16&lt;&gt;"Xm")*(COUNTIFS($C$3:$K$3,"MAT",$C16:$K16,X$3)=0)*(COUNTIFS($C$3:$K$3,"NOTTE",$C16:$K16,X$3)=0),"_m","")&amp;IF((X16&lt;&gt;"Xp")*(COUNTIFS($C$3:$K$3,"POM",$C16:$K16,X$3)=0)*(COUNTIFS($C$3:$K$3,"NOTTE",$C16:$K16,X$3)=0),"_p","")&amp;IF((X16&lt;&gt;"Xs")*(X16&lt;&gt;"Cs")*(COUNTIFS($C$3:$K$3,"SERA",$C16:$K16,X$3)=0)*(COUNTIFS($C$3:$K$3,"NOTTE",$C16:$K16,X$3)=0),"_s","")&amp;IF((X16&lt;&gt;"Xn")*(COUNTIFS($C$3:$K$3,"MAT",$C16:$K16,X$3)=0)*(COUNTIFS($C$3:$K$3,"POM",$C16:$K16,X$3)=0)*(COUNTIFS($C$3:$K$3,"SERA",$C16:$K16,X$3)=0)*(COUNTIFS($C$3:$K$3,"NOTTE",$C16:$K16,X$3)=0),"_n","")&amp;", ")))</f>
        <v>CARLA, </v>
      </c>
      <c r="BD16" s="10" t="str">
        <f aca="false">IF((Y16="X")+(Y16="F")&gt;0,"",IF(((Y16&lt;&gt;"Xm")*(COUNTIFS($C$3:$K$3,"MAT",$C16:$K16,Y$3)=0)*(COUNTIFS($C$3:$K$3,"NOTTE",$C16:$K16,Y$3)=0))+((Y16&lt;&gt;"Xp")*(COUNTIFS($C$3:$K$3,"POM",$C16:$K16,Y$3)=0)*(COUNTIFS($C$3:$K$3,"NOTTE",$C16:$K16,Y$3)=0))+((Y16&lt;&gt;"Xs")*(Y16&lt;&gt;"Cs")*(COUNTIFS($C$3:$K$3,"SERA",$C16:$K16,Y$3)=0)*(COUNTIFS($C$3:$K$3,"NOTTE",$C16:$K16,Y$3)=0))+((Y16&lt;&gt;"Xn")*(COUNTIFS($C$3:$K$3,"MAT",$C16:$K16,Y$3)=0)*(COUNTIFS($C$3:$K$3,"POM",$C16:$K16,Y$3)=0)*(COUNTIFS($C$3:$K$3,"SERA",$C16:$K16,Y$3)=0)*(COUNTIFS($C$3:$K$3,"NOTTE",$C16:$K16,Y$3)=0))=0,"",IF(((Y16&lt;&gt;"Xm")*(COUNTIFS($C$3:$K$3,"MAT",$C16:$K16,Y$3)=0)*(COUNTIFS($C$3:$K$3,"NOTTE",$C16:$K16,Y$3)=0))+((Y16&lt;&gt;"Xp")*(COUNTIFS($C$3:$K$3,"POM",$C16:$K16,Y$3)=0)*(COUNTIFS($C$3:$K$3,"NOTTE",$C16:$K16,Y$3)=0))+((Y16&lt;&gt;"Xs")*(Y16&lt;&gt;"Cs")*(COUNTIFS($C$3:$K$3,"SERA",$C16:$K16,Y$3)=0)*(COUNTIFS($C$3:$K$3,"NOTTE",$C16:$K16,Y$3)=0))+((Y16&lt;&gt;"Xn")*(COUNTIFS($C$3:$K$3,"MAT",$C16:$K16,Y$3)=0)*(COUNTIFS($C$3:$K$3,"POM",$C16:$K16,Y$3)=0)*(COUNTIFS($C$3:$K$3,"SERA",$C16:$K16,Y$3)=0)*(COUNTIFS($C$3:$K$3,"NOTTE",$C16:$K16,Y$3)=0))=4,Y$3&amp;", ",Y$3&amp;IF((Y16&lt;&gt;"Xm")*(COUNTIFS($C$3:$K$3,"MAT",$C16:$K16,Y$3)=0)*(COUNTIFS($C$3:$K$3,"NOTTE",$C16:$K16,Y$3)=0),"_m","")&amp;IF((Y16&lt;&gt;"Xp")*(COUNTIFS($C$3:$K$3,"POM",$C16:$K16,Y$3)=0)*(COUNTIFS($C$3:$K$3,"NOTTE",$C16:$K16,Y$3)=0),"_p","")&amp;IF((Y16&lt;&gt;"Xs")*(Y16&lt;&gt;"Cs")*(COUNTIFS($C$3:$K$3,"SERA",$C16:$K16,Y$3)=0)*(COUNTIFS($C$3:$K$3,"NOTTE",$C16:$K16,Y$3)=0),"_s","")&amp;IF((Y16&lt;&gt;"Xn")*(COUNTIFS($C$3:$K$3,"MAT",$C16:$K16,Y$3)=0)*(COUNTIFS($C$3:$K$3,"POM",$C16:$K16,Y$3)=0)*(COUNTIFS($C$3:$K$3,"SERA",$C16:$K16,Y$3)=0)*(COUNTIFS($C$3:$K$3,"NOTTE",$C16:$K16,Y$3)=0),"_n","")&amp;", ")))</f>
        <v>DINO, </v>
      </c>
      <c r="BE16" s="10" t="str">
        <f aca="false">IF((Z16="X")+(Z16="F")&gt;0,"",IF(((Z16&lt;&gt;"Xm")*(COUNTIFS($C$3:$K$3,"MAT",$C16:$K16,Z$3)=0)*(COUNTIFS($C$3:$K$3,"NOTTE",$C16:$K16,Z$3)=0))+((Z16&lt;&gt;"Xp")*(COUNTIFS($C$3:$K$3,"POM",$C16:$K16,Z$3)=0)*(COUNTIFS($C$3:$K$3,"NOTTE",$C16:$K16,Z$3)=0))+((Z16&lt;&gt;"Xs")*(Z16&lt;&gt;"Cs")*(COUNTIFS($C$3:$K$3,"SERA",$C16:$K16,Z$3)=0)*(COUNTIFS($C$3:$K$3,"NOTTE",$C16:$K16,Z$3)=0))+((Z16&lt;&gt;"Xn")*(COUNTIFS($C$3:$K$3,"MAT",$C16:$K16,Z$3)=0)*(COUNTIFS($C$3:$K$3,"POM",$C16:$K16,Z$3)=0)*(COUNTIFS($C$3:$K$3,"SERA",$C16:$K16,Z$3)=0)*(COUNTIFS($C$3:$K$3,"NOTTE",$C16:$K16,Z$3)=0))=0,"",IF(((Z16&lt;&gt;"Xm")*(COUNTIFS($C$3:$K$3,"MAT",$C16:$K16,Z$3)=0)*(COUNTIFS($C$3:$K$3,"NOTTE",$C16:$K16,Z$3)=0))+((Z16&lt;&gt;"Xp")*(COUNTIFS($C$3:$K$3,"POM",$C16:$K16,Z$3)=0)*(COUNTIFS($C$3:$K$3,"NOTTE",$C16:$K16,Z$3)=0))+((Z16&lt;&gt;"Xs")*(Z16&lt;&gt;"Cs")*(COUNTIFS($C$3:$K$3,"SERA",$C16:$K16,Z$3)=0)*(COUNTIFS($C$3:$K$3,"NOTTE",$C16:$K16,Z$3)=0))+((Z16&lt;&gt;"Xn")*(COUNTIFS($C$3:$K$3,"MAT",$C16:$K16,Z$3)=0)*(COUNTIFS($C$3:$K$3,"POM",$C16:$K16,Z$3)=0)*(COUNTIFS($C$3:$K$3,"SERA",$C16:$K16,Z$3)=0)*(COUNTIFS($C$3:$K$3,"NOTTE",$C16:$K16,Z$3)=0))=4,Z$3&amp;", ",Z$3&amp;IF((Z16&lt;&gt;"Xm")*(COUNTIFS($C$3:$K$3,"MAT",$C16:$K16,Z$3)=0)*(COUNTIFS($C$3:$K$3,"NOTTE",$C16:$K16,Z$3)=0),"_m","")&amp;IF((Z16&lt;&gt;"Xp")*(COUNTIFS($C$3:$K$3,"POM",$C16:$K16,Z$3)=0)*(COUNTIFS($C$3:$K$3,"NOTTE",$C16:$K16,Z$3)=0),"_p","")&amp;IF((Z16&lt;&gt;"Xs")*(Z16&lt;&gt;"Cs")*(COUNTIFS($C$3:$K$3,"SERA",$C16:$K16,Z$3)=0)*(COUNTIFS($C$3:$K$3,"NOTTE",$C16:$K16,Z$3)=0),"_s","")&amp;IF((Z16&lt;&gt;"Xn")*(COUNTIFS($C$3:$K$3,"MAT",$C16:$K16,Z$3)=0)*(COUNTIFS($C$3:$K$3,"POM",$C16:$K16,Z$3)=0)*(COUNTIFS($C$3:$K$3,"SERA",$C16:$K16,Z$3)=0)*(COUNTIFS($C$3:$K$3,"NOTTE",$C16:$K16,Z$3)=0),"_n","")&amp;", ")))</f>
        <v>ELSA, </v>
      </c>
      <c r="BF16" s="10" t="str">
        <f aca="false">IF((AA16="X")+(AA16="F")&gt;0,"",IF(((AA16&lt;&gt;"Xm")*(COUNTIFS($C$3:$K$3,"MAT",$C16:$K16,AA$3)=0)*(COUNTIFS($C$3:$K$3,"NOTTE",$C16:$K16,AA$3)=0))+((AA16&lt;&gt;"Xp")*(COUNTIFS($C$3:$K$3,"POM",$C16:$K16,AA$3)=0)*(COUNTIFS($C$3:$K$3,"NOTTE",$C16:$K16,AA$3)=0))+((AA16&lt;&gt;"Xs")*(AA16&lt;&gt;"Cs")*(COUNTIFS($C$3:$K$3,"SERA",$C16:$K16,AA$3)=0)*(COUNTIFS($C$3:$K$3,"NOTTE",$C16:$K16,AA$3)=0))+((AA16&lt;&gt;"Xn")*(COUNTIFS($C$3:$K$3,"MAT",$C16:$K16,AA$3)=0)*(COUNTIFS($C$3:$K$3,"POM",$C16:$K16,AA$3)=0)*(COUNTIFS($C$3:$K$3,"SERA",$C16:$K16,AA$3)=0)*(COUNTIFS($C$3:$K$3,"NOTTE",$C16:$K16,AA$3)=0))=0,"",IF(((AA16&lt;&gt;"Xm")*(COUNTIFS($C$3:$K$3,"MAT",$C16:$K16,AA$3)=0)*(COUNTIFS($C$3:$K$3,"NOTTE",$C16:$K16,AA$3)=0))+((AA16&lt;&gt;"Xp")*(COUNTIFS($C$3:$K$3,"POM",$C16:$K16,AA$3)=0)*(COUNTIFS($C$3:$K$3,"NOTTE",$C16:$K16,AA$3)=0))+((AA16&lt;&gt;"Xs")*(AA16&lt;&gt;"Cs")*(COUNTIFS($C$3:$K$3,"SERA",$C16:$K16,AA$3)=0)*(COUNTIFS($C$3:$K$3,"NOTTE",$C16:$K16,AA$3)=0))+((AA16&lt;&gt;"Xn")*(COUNTIFS($C$3:$K$3,"MAT",$C16:$K16,AA$3)=0)*(COUNTIFS($C$3:$K$3,"POM",$C16:$K16,AA$3)=0)*(COUNTIFS($C$3:$K$3,"SERA",$C16:$K16,AA$3)=0)*(COUNTIFS($C$3:$K$3,"NOTTE",$C16:$K16,AA$3)=0))=4,AA$3&amp;", ",AA$3&amp;IF((AA16&lt;&gt;"Xm")*(COUNTIFS($C$3:$K$3,"MAT",$C16:$K16,AA$3)=0)*(COUNTIFS($C$3:$K$3,"NOTTE",$C16:$K16,AA$3)=0),"_m","")&amp;IF((AA16&lt;&gt;"Xp")*(COUNTIFS($C$3:$K$3,"POM",$C16:$K16,AA$3)=0)*(COUNTIFS($C$3:$K$3,"NOTTE",$C16:$K16,AA$3)=0),"_p","")&amp;IF((AA16&lt;&gt;"Xs")*(AA16&lt;&gt;"Cs")*(COUNTIFS($C$3:$K$3,"SERA",$C16:$K16,AA$3)=0)*(COUNTIFS($C$3:$K$3,"NOTTE",$C16:$K16,AA$3)=0),"_s","")&amp;IF((AA16&lt;&gt;"Xn")*(COUNTIFS($C$3:$K$3,"MAT",$C16:$K16,AA$3)=0)*(COUNTIFS($C$3:$K$3,"POM",$C16:$K16,AA$3)=0)*(COUNTIFS($C$3:$K$3,"SERA",$C16:$K16,AA$3)=0)*(COUNTIFS($C$3:$K$3,"NOTTE",$C16:$K16,AA$3)=0),"_n","")&amp;", ")))</f>
        <v>FABIO, </v>
      </c>
    </row>
    <row r="17" customFormat="false" ht="15" hidden="false" customHeight="false" outlineLevel="0" collapsed="false">
      <c r="A17" s="11" t="str">
        <f aca="false">CHOOSE(WEEKDAY(DATE($B$1,$A$2,B17),2),"lunedì","martedì","mercoledì","giovedì","venerdì","sabato","domenica")</f>
        <v>domenica</v>
      </c>
      <c r="B17" s="11" t="n">
        <v>14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tr">
        <f aca="false">IF(SUMPRODUCT(($C$3:$K$3&lt;&gt;"")*($C17:$K17&lt;&gt;"")*(COUNTIFS($C17:$K17,$C17:$K17,$C$3:$K$3,$C$3:$K$3)&gt;1))&gt;0,"X","")</f>
        <v/>
      </c>
      <c r="N17" s="11" t="str">
        <f aca="false">IF(LEN(AT17&amp;AU17&amp;AV17&amp;AW17&amp;AX17&amp;AY17)=0,"",LEFT(AT17&amp;AU17&amp;AV17&amp;AW17&amp;AX17&amp;AY17,LEN(AT17&amp;AU17&amp;AV17&amp;AW17&amp;AX17&amp;AY17)-2))</f>
        <v>ALBA, BRUNO, CARLA, DINO, ELSA, FABIO</v>
      </c>
      <c r="O17" s="11" t="str">
        <f aca="false">IF(LEN(BA17&amp;BB17&amp;BC17&amp;BD17&amp;BE17&amp;BF17)=0,"",LEFT(BA17&amp;BB17&amp;BC17&amp;BD17&amp;BE17&amp;BF17,LEN(BA17&amp;BB17&amp;BC17&amp;BD17&amp;BE17&amp;BF17)-2))</f>
        <v>ALBA, BRUNO, CARLA, DINO, ELSA, FABIO</v>
      </c>
      <c r="T17" s="11" t="str">
        <f aca="false">A17</f>
        <v>domenica</v>
      </c>
      <c r="U17" s="11" t="n">
        <f aca="false">B17</f>
        <v>14</v>
      </c>
      <c r="V17" s="11"/>
      <c r="W17" s="11"/>
      <c r="X17" s="11"/>
      <c r="Y17" s="11"/>
      <c r="Z17" s="11"/>
      <c r="AA17" s="11"/>
      <c r="AT17" s="10" t="str">
        <f aca="false">IF((V17="X")+(V17="F")&gt;0,"",IF(((V17&lt;&gt;"Xm"))+((V17&lt;&gt;"Xp"))+((V17&lt;&gt;"Xs")*(V17&lt;&gt;"Cs"))+((V17&lt;&gt;"Xn"))=0,"",IF(((V17&lt;&gt;"Xm"))+((V17&lt;&gt;"Xp"))+((V17&lt;&gt;"Xs")*(V17&lt;&gt;"Cs"))+((V17&lt;&gt;"Xn"))=4,V$3&amp;", ",V$3&amp;IF((V17&lt;&gt;"Xm"),"_m","")&amp;IF((V17&lt;&gt;"Xp"),"_p","")&amp;IF((V17&lt;&gt;"Xs")*(V17&lt;&gt;"Cs"),"_s","")&amp;IF((V17&lt;&gt;"Xn"),"_n","")&amp;", ")))</f>
        <v>ALBA, </v>
      </c>
      <c r="AU17" s="10" t="str">
        <f aca="false">IF((W17="X")+(W17="F")&gt;0,"",IF(((W17&lt;&gt;"Xm"))+((W17&lt;&gt;"Xp"))+((W17&lt;&gt;"Xs")*(W17&lt;&gt;"Cs"))+((W17&lt;&gt;"Xn"))=0,"",IF(((W17&lt;&gt;"Xm"))+((W17&lt;&gt;"Xp"))+((W17&lt;&gt;"Xs")*(W17&lt;&gt;"Cs"))+((W17&lt;&gt;"Xn"))=4,W$3&amp;", ",W$3&amp;IF((W17&lt;&gt;"Xm"),"_m","")&amp;IF((W17&lt;&gt;"Xp"),"_p","")&amp;IF((W17&lt;&gt;"Xs")*(W17&lt;&gt;"Cs"),"_s","")&amp;IF((W17&lt;&gt;"Xn"),"_n","")&amp;", ")))</f>
        <v>BRUNO, </v>
      </c>
      <c r="AV17" s="10" t="str">
        <f aca="false">IF((X17="X")+(X17="F")&gt;0,"",IF(((X17&lt;&gt;"Xm"))+((X17&lt;&gt;"Xp"))+((X17&lt;&gt;"Xs")*(X17&lt;&gt;"Cs"))+((X17&lt;&gt;"Xn"))=0,"",IF(((X17&lt;&gt;"Xm"))+((X17&lt;&gt;"Xp"))+((X17&lt;&gt;"Xs")*(X17&lt;&gt;"Cs"))+((X17&lt;&gt;"Xn"))=4,X$3&amp;", ",X$3&amp;IF((X17&lt;&gt;"Xm"),"_m","")&amp;IF((X17&lt;&gt;"Xp"),"_p","")&amp;IF((X17&lt;&gt;"Xs")*(X17&lt;&gt;"Cs"),"_s","")&amp;IF((X17&lt;&gt;"Xn"),"_n","")&amp;", ")))</f>
        <v>CARLA, </v>
      </c>
      <c r="AW17" s="10" t="str">
        <f aca="false">IF((Y17="X")+(Y17="F")&gt;0,"",IF(((Y17&lt;&gt;"Xm"))+((Y17&lt;&gt;"Xp"))+((Y17&lt;&gt;"Xs")*(Y17&lt;&gt;"Cs"))+((Y17&lt;&gt;"Xn"))=0,"",IF(((Y17&lt;&gt;"Xm"))+((Y17&lt;&gt;"Xp"))+((Y17&lt;&gt;"Xs")*(Y17&lt;&gt;"Cs"))+((Y17&lt;&gt;"Xn"))=4,Y$3&amp;", ",Y$3&amp;IF((Y17&lt;&gt;"Xm"),"_m","")&amp;IF((Y17&lt;&gt;"Xp"),"_p","")&amp;IF((Y17&lt;&gt;"Xs")*(Y17&lt;&gt;"Cs"),"_s","")&amp;IF((Y17&lt;&gt;"Xn"),"_n","")&amp;", ")))</f>
        <v>DINO, </v>
      </c>
      <c r="AX17" s="10" t="str">
        <f aca="false">IF((Z17="X")+(Z17="F")&gt;0,"",IF(((Z17&lt;&gt;"Xm"))+((Z17&lt;&gt;"Xp"))+((Z17&lt;&gt;"Xs")*(Z17&lt;&gt;"Cs"))+((Z17&lt;&gt;"Xn"))=0,"",IF(((Z17&lt;&gt;"Xm"))+((Z17&lt;&gt;"Xp"))+((Z17&lt;&gt;"Xs")*(Z17&lt;&gt;"Cs"))+((Z17&lt;&gt;"Xn"))=4,Z$3&amp;", ",Z$3&amp;IF((Z17&lt;&gt;"Xm"),"_m","")&amp;IF((Z17&lt;&gt;"Xp"),"_p","")&amp;IF((Z17&lt;&gt;"Xs")*(Z17&lt;&gt;"Cs"),"_s","")&amp;IF((Z17&lt;&gt;"Xn"),"_n","")&amp;", ")))</f>
        <v>ELSA, </v>
      </c>
      <c r="AY17" s="10" t="str">
        <f aca="false">IF((AA17="X")+(AA17="F")&gt;0,"",IF(((AA17&lt;&gt;"Xm"))+((AA17&lt;&gt;"Xp"))+((AA17&lt;&gt;"Xs")*(AA17&lt;&gt;"Cs"))+((AA17&lt;&gt;"Xn"))=0,"",IF(((AA17&lt;&gt;"Xm"))+((AA17&lt;&gt;"Xp"))+((AA17&lt;&gt;"Xs")*(AA17&lt;&gt;"Cs"))+((AA17&lt;&gt;"Xn"))=4,AA$3&amp;", ",AA$3&amp;IF((AA17&lt;&gt;"Xm"),"_m","")&amp;IF((AA17&lt;&gt;"Xp"),"_p","")&amp;IF((AA17&lt;&gt;"Xs")*(AA17&lt;&gt;"Cs"),"_s","")&amp;IF((AA17&lt;&gt;"Xn"),"_n","")&amp;", ")))</f>
        <v>FABIO, </v>
      </c>
      <c r="AZ17" s="10"/>
      <c r="BA17" s="10" t="str">
        <f aca="false">IF((V17="X")+(V17="F")&gt;0,"",IF(((V17&lt;&gt;"Xm")*(COUNTIFS($C$3:$K$3,"MAT",$C17:$K17,V$3)=0)*(COUNTIFS($C$3:$K$3,"NOTTE",$C17:$K17,V$3)=0))+((V17&lt;&gt;"Xp")*(COUNTIFS($C$3:$K$3,"POM",$C17:$K17,V$3)=0)*(COUNTIFS($C$3:$K$3,"NOTTE",$C17:$K17,V$3)=0))+((V17&lt;&gt;"Xs")*(V17&lt;&gt;"Cs")*(COUNTIFS($C$3:$K$3,"SERA",$C17:$K17,V$3)=0)*(COUNTIFS($C$3:$K$3,"NOTTE",$C17:$K17,V$3)=0))+((V17&lt;&gt;"Xn")*(COUNTIFS($C$3:$K$3,"MAT",$C17:$K17,V$3)=0)*(COUNTIFS($C$3:$K$3,"POM",$C17:$K17,V$3)=0)*(COUNTIFS($C$3:$K$3,"SERA",$C17:$K17,V$3)=0)*(COUNTIFS($C$3:$K$3,"NOTTE",$C17:$K17,V$3)=0))=0,"",IF(((V17&lt;&gt;"Xm")*(COUNTIFS($C$3:$K$3,"MAT",$C17:$K17,V$3)=0)*(COUNTIFS($C$3:$K$3,"NOTTE",$C17:$K17,V$3)=0))+((V17&lt;&gt;"Xp")*(COUNTIFS($C$3:$K$3,"POM",$C17:$K17,V$3)=0)*(COUNTIFS($C$3:$K$3,"NOTTE",$C17:$K17,V$3)=0))+((V17&lt;&gt;"Xs")*(V17&lt;&gt;"Cs")*(COUNTIFS($C$3:$K$3,"SERA",$C17:$K17,V$3)=0)*(COUNTIFS($C$3:$K$3,"NOTTE",$C17:$K17,V$3)=0))+((V17&lt;&gt;"Xn")*(COUNTIFS($C$3:$K$3,"MAT",$C17:$K17,V$3)=0)*(COUNTIFS($C$3:$K$3,"POM",$C17:$K17,V$3)=0)*(COUNTIFS($C$3:$K$3,"SERA",$C17:$K17,V$3)=0)*(COUNTIFS($C$3:$K$3,"NOTTE",$C17:$K17,V$3)=0))=4,V$3&amp;", ",V$3&amp;IF((V17&lt;&gt;"Xm")*(COUNTIFS($C$3:$K$3,"MAT",$C17:$K17,V$3)=0)*(COUNTIFS($C$3:$K$3,"NOTTE",$C17:$K17,V$3)=0),"_m","")&amp;IF((V17&lt;&gt;"Xp")*(COUNTIFS($C$3:$K$3,"POM",$C17:$K17,V$3)=0)*(COUNTIFS($C$3:$K$3,"NOTTE",$C17:$K17,V$3)=0),"_p","")&amp;IF((V17&lt;&gt;"Xs")*(V17&lt;&gt;"Cs")*(COUNTIFS($C$3:$K$3,"SERA",$C17:$K17,V$3)=0)*(COUNTIFS($C$3:$K$3,"NOTTE",$C17:$K17,V$3)=0),"_s","")&amp;IF((V17&lt;&gt;"Xn")*(COUNTIFS($C$3:$K$3,"MAT",$C17:$K17,V$3)=0)*(COUNTIFS($C$3:$K$3,"POM",$C17:$K17,V$3)=0)*(COUNTIFS($C$3:$K$3,"SERA",$C17:$K17,V$3)=0)*(COUNTIFS($C$3:$K$3,"NOTTE",$C17:$K17,V$3)=0),"_n","")&amp;", ")))</f>
        <v>ALBA, </v>
      </c>
      <c r="BB17" s="10" t="str">
        <f aca="false">IF((W17="X")+(W17="F")&gt;0,"",IF(((W17&lt;&gt;"Xm")*(COUNTIFS($C$3:$K$3,"MAT",$C17:$K17,W$3)=0)*(COUNTIFS($C$3:$K$3,"NOTTE",$C17:$K17,W$3)=0))+((W17&lt;&gt;"Xp")*(COUNTIFS($C$3:$K$3,"POM",$C17:$K17,W$3)=0)*(COUNTIFS($C$3:$K$3,"NOTTE",$C17:$K17,W$3)=0))+((W17&lt;&gt;"Xs")*(W17&lt;&gt;"Cs")*(COUNTIFS($C$3:$K$3,"SERA",$C17:$K17,W$3)=0)*(COUNTIFS($C$3:$K$3,"NOTTE",$C17:$K17,W$3)=0))+((W17&lt;&gt;"Xn")*(COUNTIFS($C$3:$K$3,"MAT",$C17:$K17,W$3)=0)*(COUNTIFS($C$3:$K$3,"POM",$C17:$K17,W$3)=0)*(COUNTIFS($C$3:$K$3,"SERA",$C17:$K17,W$3)=0)*(COUNTIFS($C$3:$K$3,"NOTTE",$C17:$K17,W$3)=0))=0,"",IF(((W17&lt;&gt;"Xm")*(COUNTIFS($C$3:$K$3,"MAT",$C17:$K17,W$3)=0)*(COUNTIFS($C$3:$K$3,"NOTTE",$C17:$K17,W$3)=0))+((W17&lt;&gt;"Xp")*(COUNTIFS($C$3:$K$3,"POM",$C17:$K17,W$3)=0)*(COUNTIFS($C$3:$K$3,"NOTTE",$C17:$K17,W$3)=0))+((W17&lt;&gt;"Xs")*(W17&lt;&gt;"Cs")*(COUNTIFS($C$3:$K$3,"SERA",$C17:$K17,W$3)=0)*(COUNTIFS($C$3:$K$3,"NOTTE",$C17:$K17,W$3)=0))+((W17&lt;&gt;"Xn")*(COUNTIFS($C$3:$K$3,"MAT",$C17:$K17,W$3)=0)*(COUNTIFS($C$3:$K$3,"POM",$C17:$K17,W$3)=0)*(COUNTIFS($C$3:$K$3,"SERA",$C17:$K17,W$3)=0)*(COUNTIFS($C$3:$K$3,"NOTTE",$C17:$K17,W$3)=0))=4,W$3&amp;", ",W$3&amp;IF((W17&lt;&gt;"Xm")*(COUNTIFS($C$3:$K$3,"MAT",$C17:$K17,W$3)=0)*(COUNTIFS($C$3:$K$3,"NOTTE",$C17:$K17,W$3)=0),"_m","")&amp;IF((W17&lt;&gt;"Xp")*(COUNTIFS($C$3:$K$3,"POM",$C17:$K17,W$3)=0)*(COUNTIFS($C$3:$K$3,"NOTTE",$C17:$K17,W$3)=0),"_p","")&amp;IF((W17&lt;&gt;"Xs")*(W17&lt;&gt;"Cs")*(COUNTIFS($C$3:$K$3,"SERA",$C17:$K17,W$3)=0)*(COUNTIFS($C$3:$K$3,"NOTTE",$C17:$K17,W$3)=0),"_s","")&amp;IF((W17&lt;&gt;"Xn")*(COUNTIFS($C$3:$K$3,"MAT",$C17:$K17,W$3)=0)*(COUNTIFS($C$3:$K$3,"POM",$C17:$K17,W$3)=0)*(COUNTIFS($C$3:$K$3,"SERA",$C17:$K17,W$3)=0)*(COUNTIFS($C$3:$K$3,"NOTTE",$C17:$K17,W$3)=0),"_n","")&amp;", ")))</f>
        <v>BRUNO, </v>
      </c>
      <c r="BC17" s="10" t="str">
        <f aca="false">IF((X17="X")+(X17="F")&gt;0,"",IF(((X17&lt;&gt;"Xm")*(COUNTIFS($C$3:$K$3,"MAT",$C17:$K17,X$3)=0)*(COUNTIFS($C$3:$K$3,"NOTTE",$C17:$K17,X$3)=0))+((X17&lt;&gt;"Xp")*(COUNTIFS($C$3:$K$3,"POM",$C17:$K17,X$3)=0)*(COUNTIFS($C$3:$K$3,"NOTTE",$C17:$K17,X$3)=0))+((X17&lt;&gt;"Xs")*(X17&lt;&gt;"Cs")*(COUNTIFS($C$3:$K$3,"SERA",$C17:$K17,X$3)=0)*(COUNTIFS($C$3:$K$3,"NOTTE",$C17:$K17,X$3)=0))+((X17&lt;&gt;"Xn")*(COUNTIFS($C$3:$K$3,"MAT",$C17:$K17,X$3)=0)*(COUNTIFS($C$3:$K$3,"POM",$C17:$K17,X$3)=0)*(COUNTIFS($C$3:$K$3,"SERA",$C17:$K17,X$3)=0)*(COUNTIFS($C$3:$K$3,"NOTTE",$C17:$K17,X$3)=0))=0,"",IF(((X17&lt;&gt;"Xm")*(COUNTIFS($C$3:$K$3,"MAT",$C17:$K17,X$3)=0)*(COUNTIFS($C$3:$K$3,"NOTTE",$C17:$K17,X$3)=0))+((X17&lt;&gt;"Xp")*(COUNTIFS($C$3:$K$3,"POM",$C17:$K17,X$3)=0)*(COUNTIFS($C$3:$K$3,"NOTTE",$C17:$K17,X$3)=0))+((X17&lt;&gt;"Xs")*(X17&lt;&gt;"Cs")*(COUNTIFS($C$3:$K$3,"SERA",$C17:$K17,X$3)=0)*(COUNTIFS($C$3:$K$3,"NOTTE",$C17:$K17,X$3)=0))+((X17&lt;&gt;"Xn")*(COUNTIFS($C$3:$K$3,"MAT",$C17:$K17,X$3)=0)*(COUNTIFS($C$3:$K$3,"POM",$C17:$K17,X$3)=0)*(COUNTIFS($C$3:$K$3,"SERA",$C17:$K17,X$3)=0)*(COUNTIFS($C$3:$K$3,"NOTTE",$C17:$K17,X$3)=0))=4,X$3&amp;", ",X$3&amp;IF((X17&lt;&gt;"Xm")*(COUNTIFS($C$3:$K$3,"MAT",$C17:$K17,X$3)=0)*(COUNTIFS($C$3:$K$3,"NOTTE",$C17:$K17,X$3)=0),"_m","")&amp;IF((X17&lt;&gt;"Xp")*(COUNTIFS($C$3:$K$3,"POM",$C17:$K17,X$3)=0)*(COUNTIFS($C$3:$K$3,"NOTTE",$C17:$K17,X$3)=0),"_p","")&amp;IF((X17&lt;&gt;"Xs")*(X17&lt;&gt;"Cs")*(COUNTIFS($C$3:$K$3,"SERA",$C17:$K17,X$3)=0)*(COUNTIFS($C$3:$K$3,"NOTTE",$C17:$K17,X$3)=0),"_s","")&amp;IF((X17&lt;&gt;"Xn")*(COUNTIFS($C$3:$K$3,"MAT",$C17:$K17,X$3)=0)*(COUNTIFS($C$3:$K$3,"POM",$C17:$K17,X$3)=0)*(COUNTIFS($C$3:$K$3,"SERA",$C17:$K17,X$3)=0)*(COUNTIFS($C$3:$K$3,"NOTTE",$C17:$K17,X$3)=0),"_n","")&amp;", ")))</f>
        <v>CARLA, </v>
      </c>
      <c r="BD17" s="10" t="str">
        <f aca="false">IF((Y17="X")+(Y17="F")&gt;0,"",IF(((Y17&lt;&gt;"Xm")*(COUNTIFS($C$3:$K$3,"MAT",$C17:$K17,Y$3)=0)*(COUNTIFS($C$3:$K$3,"NOTTE",$C17:$K17,Y$3)=0))+((Y17&lt;&gt;"Xp")*(COUNTIFS($C$3:$K$3,"POM",$C17:$K17,Y$3)=0)*(COUNTIFS($C$3:$K$3,"NOTTE",$C17:$K17,Y$3)=0))+((Y17&lt;&gt;"Xs")*(Y17&lt;&gt;"Cs")*(COUNTIFS($C$3:$K$3,"SERA",$C17:$K17,Y$3)=0)*(COUNTIFS($C$3:$K$3,"NOTTE",$C17:$K17,Y$3)=0))+((Y17&lt;&gt;"Xn")*(COUNTIFS($C$3:$K$3,"MAT",$C17:$K17,Y$3)=0)*(COUNTIFS($C$3:$K$3,"POM",$C17:$K17,Y$3)=0)*(COUNTIFS($C$3:$K$3,"SERA",$C17:$K17,Y$3)=0)*(COUNTIFS($C$3:$K$3,"NOTTE",$C17:$K17,Y$3)=0))=0,"",IF(((Y17&lt;&gt;"Xm")*(COUNTIFS($C$3:$K$3,"MAT",$C17:$K17,Y$3)=0)*(COUNTIFS($C$3:$K$3,"NOTTE",$C17:$K17,Y$3)=0))+((Y17&lt;&gt;"Xp")*(COUNTIFS($C$3:$K$3,"POM",$C17:$K17,Y$3)=0)*(COUNTIFS($C$3:$K$3,"NOTTE",$C17:$K17,Y$3)=0))+((Y17&lt;&gt;"Xs")*(Y17&lt;&gt;"Cs")*(COUNTIFS($C$3:$K$3,"SERA",$C17:$K17,Y$3)=0)*(COUNTIFS($C$3:$K$3,"NOTTE",$C17:$K17,Y$3)=0))+((Y17&lt;&gt;"Xn")*(COUNTIFS($C$3:$K$3,"MAT",$C17:$K17,Y$3)=0)*(COUNTIFS($C$3:$K$3,"POM",$C17:$K17,Y$3)=0)*(COUNTIFS($C$3:$K$3,"SERA",$C17:$K17,Y$3)=0)*(COUNTIFS($C$3:$K$3,"NOTTE",$C17:$K17,Y$3)=0))=4,Y$3&amp;", ",Y$3&amp;IF((Y17&lt;&gt;"Xm")*(COUNTIFS($C$3:$K$3,"MAT",$C17:$K17,Y$3)=0)*(COUNTIFS($C$3:$K$3,"NOTTE",$C17:$K17,Y$3)=0),"_m","")&amp;IF((Y17&lt;&gt;"Xp")*(COUNTIFS($C$3:$K$3,"POM",$C17:$K17,Y$3)=0)*(COUNTIFS($C$3:$K$3,"NOTTE",$C17:$K17,Y$3)=0),"_p","")&amp;IF((Y17&lt;&gt;"Xs")*(Y17&lt;&gt;"Cs")*(COUNTIFS($C$3:$K$3,"SERA",$C17:$K17,Y$3)=0)*(COUNTIFS($C$3:$K$3,"NOTTE",$C17:$K17,Y$3)=0),"_s","")&amp;IF((Y17&lt;&gt;"Xn")*(COUNTIFS($C$3:$K$3,"MAT",$C17:$K17,Y$3)=0)*(COUNTIFS($C$3:$K$3,"POM",$C17:$K17,Y$3)=0)*(COUNTIFS($C$3:$K$3,"SERA",$C17:$K17,Y$3)=0)*(COUNTIFS($C$3:$K$3,"NOTTE",$C17:$K17,Y$3)=0),"_n","")&amp;", ")))</f>
        <v>DINO, </v>
      </c>
      <c r="BE17" s="10" t="str">
        <f aca="false">IF((Z17="X")+(Z17="F")&gt;0,"",IF(((Z17&lt;&gt;"Xm")*(COUNTIFS($C$3:$K$3,"MAT",$C17:$K17,Z$3)=0)*(COUNTIFS($C$3:$K$3,"NOTTE",$C17:$K17,Z$3)=0))+((Z17&lt;&gt;"Xp")*(COUNTIFS($C$3:$K$3,"POM",$C17:$K17,Z$3)=0)*(COUNTIFS($C$3:$K$3,"NOTTE",$C17:$K17,Z$3)=0))+((Z17&lt;&gt;"Xs")*(Z17&lt;&gt;"Cs")*(COUNTIFS($C$3:$K$3,"SERA",$C17:$K17,Z$3)=0)*(COUNTIFS($C$3:$K$3,"NOTTE",$C17:$K17,Z$3)=0))+((Z17&lt;&gt;"Xn")*(COUNTIFS($C$3:$K$3,"MAT",$C17:$K17,Z$3)=0)*(COUNTIFS($C$3:$K$3,"POM",$C17:$K17,Z$3)=0)*(COUNTIFS($C$3:$K$3,"SERA",$C17:$K17,Z$3)=0)*(COUNTIFS($C$3:$K$3,"NOTTE",$C17:$K17,Z$3)=0))=0,"",IF(((Z17&lt;&gt;"Xm")*(COUNTIFS($C$3:$K$3,"MAT",$C17:$K17,Z$3)=0)*(COUNTIFS($C$3:$K$3,"NOTTE",$C17:$K17,Z$3)=0))+((Z17&lt;&gt;"Xp")*(COUNTIFS($C$3:$K$3,"POM",$C17:$K17,Z$3)=0)*(COUNTIFS($C$3:$K$3,"NOTTE",$C17:$K17,Z$3)=0))+((Z17&lt;&gt;"Xs")*(Z17&lt;&gt;"Cs")*(COUNTIFS($C$3:$K$3,"SERA",$C17:$K17,Z$3)=0)*(COUNTIFS($C$3:$K$3,"NOTTE",$C17:$K17,Z$3)=0))+((Z17&lt;&gt;"Xn")*(COUNTIFS($C$3:$K$3,"MAT",$C17:$K17,Z$3)=0)*(COUNTIFS($C$3:$K$3,"POM",$C17:$K17,Z$3)=0)*(COUNTIFS($C$3:$K$3,"SERA",$C17:$K17,Z$3)=0)*(COUNTIFS($C$3:$K$3,"NOTTE",$C17:$K17,Z$3)=0))=4,Z$3&amp;", ",Z$3&amp;IF((Z17&lt;&gt;"Xm")*(COUNTIFS($C$3:$K$3,"MAT",$C17:$K17,Z$3)=0)*(COUNTIFS($C$3:$K$3,"NOTTE",$C17:$K17,Z$3)=0),"_m","")&amp;IF((Z17&lt;&gt;"Xp")*(COUNTIFS($C$3:$K$3,"POM",$C17:$K17,Z$3)=0)*(COUNTIFS($C$3:$K$3,"NOTTE",$C17:$K17,Z$3)=0),"_p","")&amp;IF((Z17&lt;&gt;"Xs")*(Z17&lt;&gt;"Cs")*(COUNTIFS($C$3:$K$3,"SERA",$C17:$K17,Z$3)=0)*(COUNTIFS($C$3:$K$3,"NOTTE",$C17:$K17,Z$3)=0),"_s","")&amp;IF((Z17&lt;&gt;"Xn")*(COUNTIFS($C$3:$K$3,"MAT",$C17:$K17,Z$3)=0)*(COUNTIFS($C$3:$K$3,"POM",$C17:$K17,Z$3)=0)*(COUNTIFS($C$3:$K$3,"SERA",$C17:$K17,Z$3)=0)*(COUNTIFS($C$3:$K$3,"NOTTE",$C17:$K17,Z$3)=0),"_n","")&amp;", ")))</f>
        <v>ELSA, </v>
      </c>
      <c r="BF17" s="10" t="str">
        <f aca="false">IF((AA17="X")+(AA17="F")&gt;0,"",IF(((AA17&lt;&gt;"Xm")*(COUNTIFS($C$3:$K$3,"MAT",$C17:$K17,AA$3)=0)*(COUNTIFS($C$3:$K$3,"NOTTE",$C17:$K17,AA$3)=0))+((AA17&lt;&gt;"Xp")*(COUNTIFS($C$3:$K$3,"POM",$C17:$K17,AA$3)=0)*(COUNTIFS($C$3:$K$3,"NOTTE",$C17:$K17,AA$3)=0))+((AA17&lt;&gt;"Xs")*(AA17&lt;&gt;"Cs")*(COUNTIFS($C$3:$K$3,"SERA",$C17:$K17,AA$3)=0)*(COUNTIFS($C$3:$K$3,"NOTTE",$C17:$K17,AA$3)=0))+((AA17&lt;&gt;"Xn")*(COUNTIFS($C$3:$K$3,"MAT",$C17:$K17,AA$3)=0)*(COUNTIFS($C$3:$K$3,"POM",$C17:$K17,AA$3)=0)*(COUNTIFS($C$3:$K$3,"SERA",$C17:$K17,AA$3)=0)*(COUNTIFS($C$3:$K$3,"NOTTE",$C17:$K17,AA$3)=0))=0,"",IF(((AA17&lt;&gt;"Xm")*(COUNTIFS($C$3:$K$3,"MAT",$C17:$K17,AA$3)=0)*(COUNTIFS($C$3:$K$3,"NOTTE",$C17:$K17,AA$3)=0))+((AA17&lt;&gt;"Xp")*(COUNTIFS($C$3:$K$3,"POM",$C17:$K17,AA$3)=0)*(COUNTIFS($C$3:$K$3,"NOTTE",$C17:$K17,AA$3)=0))+((AA17&lt;&gt;"Xs")*(AA17&lt;&gt;"Cs")*(COUNTIFS($C$3:$K$3,"SERA",$C17:$K17,AA$3)=0)*(COUNTIFS($C$3:$K$3,"NOTTE",$C17:$K17,AA$3)=0))+((AA17&lt;&gt;"Xn")*(COUNTIFS($C$3:$K$3,"MAT",$C17:$K17,AA$3)=0)*(COUNTIFS($C$3:$K$3,"POM",$C17:$K17,AA$3)=0)*(COUNTIFS($C$3:$K$3,"SERA",$C17:$K17,AA$3)=0)*(COUNTIFS($C$3:$K$3,"NOTTE",$C17:$K17,AA$3)=0))=4,AA$3&amp;", ",AA$3&amp;IF((AA17&lt;&gt;"Xm")*(COUNTIFS($C$3:$K$3,"MAT",$C17:$K17,AA$3)=0)*(COUNTIFS($C$3:$K$3,"NOTTE",$C17:$K17,AA$3)=0),"_m","")&amp;IF((AA17&lt;&gt;"Xp")*(COUNTIFS($C$3:$K$3,"POM",$C17:$K17,AA$3)=0)*(COUNTIFS($C$3:$K$3,"NOTTE",$C17:$K17,AA$3)=0),"_p","")&amp;IF((AA17&lt;&gt;"Xs")*(AA17&lt;&gt;"Cs")*(COUNTIFS($C$3:$K$3,"SERA",$C17:$K17,AA$3)=0)*(COUNTIFS($C$3:$K$3,"NOTTE",$C17:$K17,AA$3)=0),"_s","")&amp;IF((AA17&lt;&gt;"Xn")*(COUNTIFS($C$3:$K$3,"MAT",$C17:$K17,AA$3)=0)*(COUNTIFS($C$3:$K$3,"POM",$C17:$K17,AA$3)=0)*(COUNTIFS($C$3:$K$3,"SERA",$C17:$K17,AA$3)=0)*(COUNTIFS($C$3:$K$3,"NOTTE",$C17:$K17,AA$3)=0),"_n","")&amp;", ")))</f>
        <v>FABIO, </v>
      </c>
    </row>
    <row r="18" customFormat="false" ht="15" hidden="false" customHeight="false" outlineLevel="0" collapsed="false">
      <c r="A18" s="4" t="str">
        <f aca="false">CHOOSE(WEEKDAY(DATE($B$1,$A$2,B18),2),"lunedì","martedì","mercoledì","giovedì","venerdì","sabato","domenica")</f>
        <v>lunedì</v>
      </c>
      <c r="B18" s="4" t="n">
        <v>15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 t="str">
        <f aca="false">IF(SUMPRODUCT(($C$3:$K$3&lt;&gt;"")*($C18:$K18&lt;&gt;"")*(COUNTIFS($C18:$K18,$C18:$K18,$C$3:$K$3,$C$3:$K$3)&gt;1))&gt;0,"X","")</f>
        <v/>
      </c>
      <c r="N18" s="5" t="str">
        <f aca="false">IF(LEN(AT18&amp;AU18&amp;AV18&amp;AW18&amp;AX18&amp;AY18)=0,"",LEFT(AT18&amp;AU18&amp;AV18&amp;AW18&amp;AX18&amp;AY18,LEN(AT18&amp;AU18&amp;AV18&amp;AW18&amp;AX18&amp;AY18)-2))</f>
        <v>ALBA, BRUNO, CARLA, DINO, ELSA, FABIO</v>
      </c>
      <c r="O18" s="5" t="str">
        <f aca="false">IF(LEN(BA18&amp;BB18&amp;BC18&amp;BD18&amp;BE18&amp;BF18)=0,"",LEFT(BA18&amp;BB18&amp;BC18&amp;BD18&amp;BE18&amp;BF18,LEN(BA18&amp;BB18&amp;BC18&amp;BD18&amp;BE18&amp;BF18)-2))</f>
        <v>ALBA, BRUNO, CARLA, DINO, ELSA, FABIO</v>
      </c>
      <c r="T18" s="4" t="str">
        <f aca="false">A18</f>
        <v>lunedì</v>
      </c>
      <c r="U18" s="4" t="n">
        <f aca="false">B18</f>
        <v>15</v>
      </c>
      <c r="V18" s="5"/>
      <c r="W18" s="5"/>
      <c r="X18" s="5"/>
      <c r="Y18" s="5"/>
      <c r="Z18" s="5"/>
      <c r="AA18" s="5"/>
      <c r="AT18" s="10" t="str">
        <f aca="false">IF((V18="X")+(V18="F")&gt;0,"",IF(((V18&lt;&gt;"Xm"))+((V18&lt;&gt;"Xp"))+((V18&lt;&gt;"Xs")*(V18&lt;&gt;"Cs"))+((V18&lt;&gt;"Xn"))=0,"",IF(((V18&lt;&gt;"Xm"))+((V18&lt;&gt;"Xp"))+((V18&lt;&gt;"Xs")*(V18&lt;&gt;"Cs"))+((V18&lt;&gt;"Xn"))=4,V$3&amp;", ",V$3&amp;IF((V18&lt;&gt;"Xm"),"_m","")&amp;IF((V18&lt;&gt;"Xp"),"_p","")&amp;IF((V18&lt;&gt;"Xs")*(V18&lt;&gt;"Cs"),"_s","")&amp;IF((V18&lt;&gt;"Xn"),"_n","")&amp;", ")))</f>
        <v>ALBA, </v>
      </c>
      <c r="AU18" s="10" t="str">
        <f aca="false">IF((W18="X")+(W18="F")&gt;0,"",IF(((W18&lt;&gt;"Xm"))+((W18&lt;&gt;"Xp"))+((W18&lt;&gt;"Xs")*(W18&lt;&gt;"Cs"))+((W18&lt;&gt;"Xn"))=0,"",IF(((W18&lt;&gt;"Xm"))+((W18&lt;&gt;"Xp"))+((W18&lt;&gt;"Xs")*(W18&lt;&gt;"Cs"))+((W18&lt;&gt;"Xn"))=4,W$3&amp;", ",W$3&amp;IF((W18&lt;&gt;"Xm"),"_m","")&amp;IF((W18&lt;&gt;"Xp"),"_p","")&amp;IF((W18&lt;&gt;"Xs")*(W18&lt;&gt;"Cs"),"_s","")&amp;IF((W18&lt;&gt;"Xn"),"_n","")&amp;", ")))</f>
        <v>BRUNO, </v>
      </c>
      <c r="AV18" s="10" t="str">
        <f aca="false">IF((X18="X")+(X18="F")&gt;0,"",IF(((X18&lt;&gt;"Xm"))+((X18&lt;&gt;"Xp"))+((X18&lt;&gt;"Xs")*(X18&lt;&gt;"Cs"))+((X18&lt;&gt;"Xn"))=0,"",IF(((X18&lt;&gt;"Xm"))+((X18&lt;&gt;"Xp"))+((X18&lt;&gt;"Xs")*(X18&lt;&gt;"Cs"))+((X18&lt;&gt;"Xn"))=4,X$3&amp;", ",X$3&amp;IF((X18&lt;&gt;"Xm"),"_m","")&amp;IF((X18&lt;&gt;"Xp"),"_p","")&amp;IF((X18&lt;&gt;"Xs")*(X18&lt;&gt;"Cs"),"_s","")&amp;IF((X18&lt;&gt;"Xn"),"_n","")&amp;", ")))</f>
        <v>CARLA, </v>
      </c>
      <c r="AW18" s="10" t="str">
        <f aca="false">IF((Y18="X")+(Y18="F")&gt;0,"",IF(((Y18&lt;&gt;"Xm"))+((Y18&lt;&gt;"Xp"))+((Y18&lt;&gt;"Xs")*(Y18&lt;&gt;"Cs"))+((Y18&lt;&gt;"Xn"))=0,"",IF(((Y18&lt;&gt;"Xm"))+((Y18&lt;&gt;"Xp"))+((Y18&lt;&gt;"Xs")*(Y18&lt;&gt;"Cs"))+((Y18&lt;&gt;"Xn"))=4,Y$3&amp;", ",Y$3&amp;IF((Y18&lt;&gt;"Xm"),"_m","")&amp;IF((Y18&lt;&gt;"Xp"),"_p","")&amp;IF((Y18&lt;&gt;"Xs")*(Y18&lt;&gt;"Cs"),"_s","")&amp;IF((Y18&lt;&gt;"Xn"),"_n","")&amp;", ")))</f>
        <v>DINO, </v>
      </c>
      <c r="AX18" s="10" t="str">
        <f aca="false">IF((Z18="X")+(Z18="F")&gt;0,"",IF(((Z18&lt;&gt;"Xm"))+((Z18&lt;&gt;"Xp"))+((Z18&lt;&gt;"Xs")*(Z18&lt;&gt;"Cs"))+((Z18&lt;&gt;"Xn"))=0,"",IF(((Z18&lt;&gt;"Xm"))+((Z18&lt;&gt;"Xp"))+((Z18&lt;&gt;"Xs")*(Z18&lt;&gt;"Cs"))+((Z18&lt;&gt;"Xn"))=4,Z$3&amp;", ",Z$3&amp;IF((Z18&lt;&gt;"Xm"),"_m","")&amp;IF((Z18&lt;&gt;"Xp"),"_p","")&amp;IF((Z18&lt;&gt;"Xs")*(Z18&lt;&gt;"Cs"),"_s","")&amp;IF((Z18&lt;&gt;"Xn"),"_n","")&amp;", ")))</f>
        <v>ELSA, </v>
      </c>
      <c r="AY18" s="10" t="str">
        <f aca="false">IF((AA18="X")+(AA18="F")&gt;0,"",IF(((AA18&lt;&gt;"Xm"))+((AA18&lt;&gt;"Xp"))+((AA18&lt;&gt;"Xs")*(AA18&lt;&gt;"Cs"))+((AA18&lt;&gt;"Xn"))=0,"",IF(((AA18&lt;&gt;"Xm"))+((AA18&lt;&gt;"Xp"))+((AA18&lt;&gt;"Xs")*(AA18&lt;&gt;"Cs"))+((AA18&lt;&gt;"Xn"))=4,AA$3&amp;", ",AA$3&amp;IF((AA18&lt;&gt;"Xm"),"_m","")&amp;IF((AA18&lt;&gt;"Xp"),"_p","")&amp;IF((AA18&lt;&gt;"Xs")*(AA18&lt;&gt;"Cs"),"_s","")&amp;IF((AA18&lt;&gt;"Xn"),"_n","")&amp;", ")))</f>
        <v>FABIO, </v>
      </c>
      <c r="AZ18" s="10"/>
      <c r="BA18" s="10" t="str">
        <f aca="false">IF((V18="X")+(V18="F")&gt;0,"",IF(((V18&lt;&gt;"Xm")*(COUNTIFS($C$3:$K$3,"MAT",$C18:$K18,V$3)=0)*(COUNTIFS($C$3:$K$3,"NOTTE",$C18:$K18,V$3)=0))+((V18&lt;&gt;"Xp")*(COUNTIFS($C$3:$K$3,"POM",$C18:$K18,V$3)=0)*(COUNTIFS($C$3:$K$3,"NOTTE",$C18:$K18,V$3)=0))+((V18&lt;&gt;"Xs")*(V18&lt;&gt;"Cs")*(COUNTIFS($C$3:$K$3,"SERA",$C18:$K18,V$3)=0)*(COUNTIFS($C$3:$K$3,"NOTTE",$C18:$K18,V$3)=0))+((V18&lt;&gt;"Xn")*(COUNTIFS($C$3:$K$3,"MAT",$C18:$K18,V$3)=0)*(COUNTIFS($C$3:$K$3,"POM",$C18:$K18,V$3)=0)*(COUNTIFS($C$3:$K$3,"SERA",$C18:$K18,V$3)=0)*(COUNTIFS($C$3:$K$3,"NOTTE",$C18:$K18,V$3)=0))=0,"",IF(((V18&lt;&gt;"Xm")*(COUNTIFS($C$3:$K$3,"MAT",$C18:$K18,V$3)=0)*(COUNTIFS($C$3:$K$3,"NOTTE",$C18:$K18,V$3)=0))+((V18&lt;&gt;"Xp")*(COUNTIFS($C$3:$K$3,"POM",$C18:$K18,V$3)=0)*(COUNTIFS($C$3:$K$3,"NOTTE",$C18:$K18,V$3)=0))+((V18&lt;&gt;"Xs")*(V18&lt;&gt;"Cs")*(COUNTIFS($C$3:$K$3,"SERA",$C18:$K18,V$3)=0)*(COUNTIFS($C$3:$K$3,"NOTTE",$C18:$K18,V$3)=0))+((V18&lt;&gt;"Xn")*(COUNTIFS($C$3:$K$3,"MAT",$C18:$K18,V$3)=0)*(COUNTIFS($C$3:$K$3,"POM",$C18:$K18,V$3)=0)*(COUNTIFS($C$3:$K$3,"SERA",$C18:$K18,V$3)=0)*(COUNTIFS($C$3:$K$3,"NOTTE",$C18:$K18,V$3)=0))=4,V$3&amp;", ",V$3&amp;IF((V18&lt;&gt;"Xm")*(COUNTIFS($C$3:$K$3,"MAT",$C18:$K18,V$3)=0)*(COUNTIFS($C$3:$K$3,"NOTTE",$C18:$K18,V$3)=0),"_m","")&amp;IF((V18&lt;&gt;"Xp")*(COUNTIFS($C$3:$K$3,"POM",$C18:$K18,V$3)=0)*(COUNTIFS($C$3:$K$3,"NOTTE",$C18:$K18,V$3)=0),"_p","")&amp;IF((V18&lt;&gt;"Xs")*(V18&lt;&gt;"Cs")*(COUNTIFS($C$3:$K$3,"SERA",$C18:$K18,V$3)=0)*(COUNTIFS($C$3:$K$3,"NOTTE",$C18:$K18,V$3)=0),"_s","")&amp;IF((V18&lt;&gt;"Xn")*(COUNTIFS($C$3:$K$3,"MAT",$C18:$K18,V$3)=0)*(COUNTIFS($C$3:$K$3,"POM",$C18:$K18,V$3)=0)*(COUNTIFS($C$3:$K$3,"SERA",$C18:$K18,V$3)=0)*(COUNTIFS($C$3:$K$3,"NOTTE",$C18:$K18,V$3)=0),"_n","")&amp;", ")))</f>
        <v>ALBA, </v>
      </c>
      <c r="BB18" s="10" t="str">
        <f aca="false">IF((W18="X")+(W18="F")&gt;0,"",IF(((W18&lt;&gt;"Xm")*(COUNTIFS($C$3:$K$3,"MAT",$C18:$K18,W$3)=0)*(COUNTIFS($C$3:$K$3,"NOTTE",$C18:$K18,W$3)=0))+((W18&lt;&gt;"Xp")*(COUNTIFS($C$3:$K$3,"POM",$C18:$K18,W$3)=0)*(COUNTIFS($C$3:$K$3,"NOTTE",$C18:$K18,W$3)=0))+((W18&lt;&gt;"Xs")*(W18&lt;&gt;"Cs")*(COUNTIFS($C$3:$K$3,"SERA",$C18:$K18,W$3)=0)*(COUNTIFS($C$3:$K$3,"NOTTE",$C18:$K18,W$3)=0))+((W18&lt;&gt;"Xn")*(COUNTIFS($C$3:$K$3,"MAT",$C18:$K18,W$3)=0)*(COUNTIFS($C$3:$K$3,"POM",$C18:$K18,W$3)=0)*(COUNTIFS($C$3:$K$3,"SERA",$C18:$K18,W$3)=0)*(COUNTIFS($C$3:$K$3,"NOTTE",$C18:$K18,W$3)=0))=0,"",IF(((W18&lt;&gt;"Xm")*(COUNTIFS($C$3:$K$3,"MAT",$C18:$K18,W$3)=0)*(COUNTIFS($C$3:$K$3,"NOTTE",$C18:$K18,W$3)=0))+((W18&lt;&gt;"Xp")*(COUNTIFS($C$3:$K$3,"POM",$C18:$K18,W$3)=0)*(COUNTIFS($C$3:$K$3,"NOTTE",$C18:$K18,W$3)=0))+((W18&lt;&gt;"Xs")*(W18&lt;&gt;"Cs")*(COUNTIFS($C$3:$K$3,"SERA",$C18:$K18,W$3)=0)*(COUNTIFS($C$3:$K$3,"NOTTE",$C18:$K18,W$3)=0))+((W18&lt;&gt;"Xn")*(COUNTIFS($C$3:$K$3,"MAT",$C18:$K18,W$3)=0)*(COUNTIFS($C$3:$K$3,"POM",$C18:$K18,W$3)=0)*(COUNTIFS($C$3:$K$3,"SERA",$C18:$K18,W$3)=0)*(COUNTIFS($C$3:$K$3,"NOTTE",$C18:$K18,W$3)=0))=4,W$3&amp;", ",W$3&amp;IF((W18&lt;&gt;"Xm")*(COUNTIFS($C$3:$K$3,"MAT",$C18:$K18,W$3)=0)*(COUNTIFS($C$3:$K$3,"NOTTE",$C18:$K18,W$3)=0),"_m","")&amp;IF((W18&lt;&gt;"Xp")*(COUNTIFS($C$3:$K$3,"POM",$C18:$K18,W$3)=0)*(COUNTIFS($C$3:$K$3,"NOTTE",$C18:$K18,W$3)=0),"_p","")&amp;IF((W18&lt;&gt;"Xs")*(W18&lt;&gt;"Cs")*(COUNTIFS($C$3:$K$3,"SERA",$C18:$K18,W$3)=0)*(COUNTIFS($C$3:$K$3,"NOTTE",$C18:$K18,W$3)=0),"_s","")&amp;IF((W18&lt;&gt;"Xn")*(COUNTIFS($C$3:$K$3,"MAT",$C18:$K18,W$3)=0)*(COUNTIFS($C$3:$K$3,"POM",$C18:$K18,W$3)=0)*(COUNTIFS($C$3:$K$3,"SERA",$C18:$K18,W$3)=0)*(COUNTIFS($C$3:$K$3,"NOTTE",$C18:$K18,W$3)=0),"_n","")&amp;", ")))</f>
        <v>BRUNO, </v>
      </c>
      <c r="BC18" s="10" t="str">
        <f aca="false">IF((X18="X")+(X18="F")&gt;0,"",IF(((X18&lt;&gt;"Xm")*(COUNTIFS($C$3:$K$3,"MAT",$C18:$K18,X$3)=0)*(COUNTIFS($C$3:$K$3,"NOTTE",$C18:$K18,X$3)=0))+((X18&lt;&gt;"Xp")*(COUNTIFS($C$3:$K$3,"POM",$C18:$K18,X$3)=0)*(COUNTIFS($C$3:$K$3,"NOTTE",$C18:$K18,X$3)=0))+((X18&lt;&gt;"Xs")*(X18&lt;&gt;"Cs")*(COUNTIFS($C$3:$K$3,"SERA",$C18:$K18,X$3)=0)*(COUNTIFS($C$3:$K$3,"NOTTE",$C18:$K18,X$3)=0))+((X18&lt;&gt;"Xn")*(COUNTIFS($C$3:$K$3,"MAT",$C18:$K18,X$3)=0)*(COUNTIFS($C$3:$K$3,"POM",$C18:$K18,X$3)=0)*(COUNTIFS($C$3:$K$3,"SERA",$C18:$K18,X$3)=0)*(COUNTIFS($C$3:$K$3,"NOTTE",$C18:$K18,X$3)=0))=0,"",IF(((X18&lt;&gt;"Xm")*(COUNTIFS($C$3:$K$3,"MAT",$C18:$K18,X$3)=0)*(COUNTIFS($C$3:$K$3,"NOTTE",$C18:$K18,X$3)=0))+((X18&lt;&gt;"Xp")*(COUNTIFS($C$3:$K$3,"POM",$C18:$K18,X$3)=0)*(COUNTIFS($C$3:$K$3,"NOTTE",$C18:$K18,X$3)=0))+((X18&lt;&gt;"Xs")*(X18&lt;&gt;"Cs")*(COUNTIFS($C$3:$K$3,"SERA",$C18:$K18,X$3)=0)*(COUNTIFS($C$3:$K$3,"NOTTE",$C18:$K18,X$3)=0))+((X18&lt;&gt;"Xn")*(COUNTIFS($C$3:$K$3,"MAT",$C18:$K18,X$3)=0)*(COUNTIFS($C$3:$K$3,"POM",$C18:$K18,X$3)=0)*(COUNTIFS($C$3:$K$3,"SERA",$C18:$K18,X$3)=0)*(COUNTIFS($C$3:$K$3,"NOTTE",$C18:$K18,X$3)=0))=4,X$3&amp;", ",X$3&amp;IF((X18&lt;&gt;"Xm")*(COUNTIFS($C$3:$K$3,"MAT",$C18:$K18,X$3)=0)*(COUNTIFS($C$3:$K$3,"NOTTE",$C18:$K18,X$3)=0),"_m","")&amp;IF((X18&lt;&gt;"Xp")*(COUNTIFS($C$3:$K$3,"POM",$C18:$K18,X$3)=0)*(COUNTIFS($C$3:$K$3,"NOTTE",$C18:$K18,X$3)=0),"_p","")&amp;IF((X18&lt;&gt;"Xs")*(X18&lt;&gt;"Cs")*(COUNTIFS($C$3:$K$3,"SERA",$C18:$K18,X$3)=0)*(COUNTIFS($C$3:$K$3,"NOTTE",$C18:$K18,X$3)=0),"_s","")&amp;IF((X18&lt;&gt;"Xn")*(COUNTIFS($C$3:$K$3,"MAT",$C18:$K18,X$3)=0)*(COUNTIFS($C$3:$K$3,"POM",$C18:$K18,X$3)=0)*(COUNTIFS($C$3:$K$3,"SERA",$C18:$K18,X$3)=0)*(COUNTIFS($C$3:$K$3,"NOTTE",$C18:$K18,X$3)=0),"_n","")&amp;", ")))</f>
        <v>CARLA, </v>
      </c>
      <c r="BD18" s="10" t="str">
        <f aca="false">IF((Y18="X")+(Y18="F")&gt;0,"",IF(((Y18&lt;&gt;"Xm")*(COUNTIFS($C$3:$K$3,"MAT",$C18:$K18,Y$3)=0)*(COUNTIFS($C$3:$K$3,"NOTTE",$C18:$K18,Y$3)=0))+((Y18&lt;&gt;"Xp")*(COUNTIFS($C$3:$K$3,"POM",$C18:$K18,Y$3)=0)*(COUNTIFS($C$3:$K$3,"NOTTE",$C18:$K18,Y$3)=0))+((Y18&lt;&gt;"Xs")*(Y18&lt;&gt;"Cs")*(COUNTIFS($C$3:$K$3,"SERA",$C18:$K18,Y$3)=0)*(COUNTIFS($C$3:$K$3,"NOTTE",$C18:$K18,Y$3)=0))+((Y18&lt;&gt;"Xn")*(COUNTIFS($C$3:$K$3,"MAT",$C18:$K18,Y$3)=0)*(COUNTIFS($C$3:$K$3,"POM",$C18:$K18,Y$3)=0)*(COUNTIFS($C$3:$K$3,"SERA",$C18:$K18,Y$3)=0)*(COUNTIFS($C$3:$K$3,"NOTTE",$C18:$K18,Y$3)=0))=0,"",IF(((Y18&lt;&gt;"Xm")*(COUNTIFS($C$3:$K$3,"MAT",$C18:$K18,Y$3)=0)*(COUNTIFS($C$3:$K$3,"NOTTE",$C18:$K18,Y$3)=0))+((Y18&lt;&gt;"Xp")*(COUNTIFS($C$3:$K$3,"POM",$C18:$K18,Y$3)=0)*(COUNTIFS($C$3:$K$3,"NOTTE",$C18:$K18,Y$3)=0))+((Y18&lt;&gt;"Xs")*(Y18&lt;&gt;"Cs")*(COUNTIFS($C$3:$K$3,"SERA",$C18:$K18,Y$3)=0)*(COUNTIFS($C$3:$K$3,"NOTTE",$C18:$K18,Y$3)=0))+((Y18&lt;&gt;"Xn")*(COUNTIFS($C$3:$K$3,"MAT",$C18:$K18,Y$3)=0)*(COUNTIFS($C$3:$K$3,"POM",$C18:$K18,Y$3)=0)*(COUNTIFS($C$3:$K$3,"SERA",$C18:$K18,Y$3)=0)*(COUNTIFS($C$3:$K$3,"NOTTE",$C18:$K18,Y$3)=0))=4,Y$3&amp;", ",Y$3&amp;IF((Y18&lt;&gt;"Xm")*(COUNTIFS($C$3:$K$3,"MAT",$C18:$K18,Y$3)=0)*(COUNTIFS($C$3:$K$3,"NOTTE",$C18:$K18,Y$3)=0),"_m","")&amp;IF((Y18&lt;&gt;"Xp")*(COUNTIFS($C$3:$K$3,"POM",$C18:$K18,Y$3)=0)*(COUNTIFS($C$3:$K$3,"NOTTE",$C18:$K18,Y$3)=0),"_p","")&amp;IF((Y18&lt;&gt;"Xs")*(Y18&lt;&gt;"Cs")*(COUNTIFS($C$3:$K$3,"SERA",$C18:$K18,Y$3)=0)*(COUNTIFS($C$3:$K$3,"NOTTE",$C18:$K18,Y$3)=0),"_s","")&amp;IF((Y18&lt;&gt;"Xn")*(COUNTIFS($C$3:$K$3,"MAT",$C18:$K18,Y$3)=0)*(COUNTIFS($C$3:$K$3,"POM",$C18:$K18,Y$3)=0)*(COUNTIFS($C$3:$K$3,"SERA",$C18:$K18,Y$3)=0)*(COUNTIFS($C$3:$K$3,"NOTTE",$C18:$K18,Y$3)=0),"_n","")&amp;", ")))</f>
        <v>DINO, </v>
      </c>
      <c r="BE18" s="10" t="str">
        <f aca="false">IF((Z18="X")+(Z18="F")&gt;0,"",IF(((Z18&lt;&gt;"Xm")*(COUNTIFS($C$3:$K$3,"MAT",$C18:$K18,Z$3)=0)*(COUNTIFS($C$3:$K$3,"NOTTE",$C18:$K18,Z$3)=0))+((Z18&lt;&gt;"Xp")*(COUNTIFS($C$3:$K$3,"POM",$C18:$K18,Z$3)=0)*(COUNTIFS($C$3:$K$3,"NOTTE",$C18:$K18,Z$3)=0))+((Z18&lt;&gt;"Xs")*(Z18&lt;&gt;"Cs")*(COUNTIFS($C$3:$K$3,"SERA",$C18:$K18,Z$3)=0)*(COUNTIFS($C$3:$K$3,"NOTTE",$C18:$K18,Z$3)=0))+((Z18&lt;&gt;"Xn")*(COUNTIFS($C$3:$K$3,"MAT",$C18:$K18,Z$3)=0)*(COUNTIFS($C$3:$K$3,"POM",$C18:$K18,Z$3)=0)*(COUNTIFS($C$3:$K$3,"SERA",$C18:$K18,Z$3)=0)*(COUNTIFS($C$3:$K$3,"NOTTE",$C18:$K18,Z$3)=0))=0,"",IF(((Z18&lt;&gt;"Xm")*(COUNTIFS($C$3:$K$3,"MAT",$C18:$K18,Z$3)=0)*(COUNTIFS($C$3:$K$3,"NOTTE",$C18:$K18,Z$3)=0))+((Z18&lt;&gt;"Xp")*(COUNTIFS($C$3:$K$3,"POM",$C18:$K18,Z$3)=0)*(COUNTIFS($C$3:$K$3,"NOTTE",$C18:$K18,Z$3)=0))+((Z18&lt;&gt;"Xs")*(Z18&lt;&gt;"Cs")*(COUNTIFS($C$3:$K$3,"SERA",$C18:$K18,Z$3)=0)*(COUNTIFS($C$3:$K$3,"NOTTE",$C18:$K18,Z$3)=0))+((Z18&lt;&gt;"Xn")*(COUNTIFS($C$3:$K$3,"MAT",$C18:$K18,Z$3)=0)*(COUNTIFS($C$3:$K$3,"POM",$C18:$K18,Z$3)=0)*(COUNTIFS($C$3:$K$3,"SERA",$C18:$K18,Z$3)=0)*(COUNTIFS($C$3:$K$3,"NOTTE",$C18:$K18,Z$3)=0))=4,Z$3&amp;", ",Z$3&amp;IF((Z18&lt;&gt;"Xm")*(COUNTIFS($C$3:$K$3,"MAT",$C18:$K18,Z$3)=0)*(COUNTIFS($C$3:$K$3,"NOTTE",$C18:$K18,Z$3)=0),"_m","")&amp;IF((Z18&lt;&gt;"Xp")*(COUNTIFS($C$3:$K$3,"POM",$C18:$K18,Z$3)=0)*(COUNTIFS($C$3:$K$3,"NOTTE",$C18:$K18,Z$3)=0),"_p","")&amp;IF((Z18&lt;&gt;"Xs")*(Z18&lt;&gt;"Cs")*(COUNTIFS($C$3:$K$3,"SERA",$C18:$K18,Z$3)=0)*(COUNTIFS($C$3:$K$3,"NOTTE",$C18:$K18,Z$3)=0),"_s","")&amp;IF((Z18&lt;&gt;"Xn")*(COUNTIFS($C$3:$K$3,"MAT",$C18:$K18,Z$3)=0)*(COUNTIFS($C$3:$K$3,"POM",$C18:$K18,Z$3)=0)*(COUNTIFS($C$3:$K$3,"SERA",$C18:$K18,Z$3)=0)*(COUNTIFS($C$3:$K$3,"NOTTE",$C18:$K18,Z$3)=0),"_n","")&amp;", ")))</f>
        <v>ELSA, </v>
      </c>
      <c r="BF18" s="10" t="str">
        <f aca="false">IF((AA18="X")+(AA18="F")&gt;0,"",IF(((AA18&lt;&gt;"Xm")*(COUNTIFS($C$3:$K$3,"MAT",$C18:$K18,AA$3)=0)*(COUNTIFS($C$3:$K$3,"NOTTE",$C18:$K18,AA$3)=0))+((AA18&lt;&gt;"Xp")*(COUNTIFS($C$3:$K$3,"POM",$C18:$K18,AA$3)=0)*(COUNTIFS($C$3:$K$3,"NOTTE",$C18:$K18,AA$3)=0))+((AA18&lt;&gt;"Xs")*(AA18&lt;&gt;"Cs")*(COUNTIFS($C$3:$K$3,"SERA",$C18:$K18,AA$3)=0)*(COUNTIFS($C$3:$K$3,"NOTTE",$C18:$K18,AA$3)=0))+((AA18&lt;&gt;"Xn")*(COUNTIFS($C$3:$K$3,"MAT",$C18:$K18,AA$3)=0)*(COUNTIFS($C$3:$K$3,"POM",$C18:$K18,AA$3)=0)*(COUNTIFS($C$3:$K$3,"SERA",$C18:$K18,AA$3)=0)*(COUNTIFS($C$3:$K$3,"NOTTE",$C18:$K18,AA$3)=0))=0,"",IF(((AA18&lt;&gt;"Xm")*(COUNTIFS($C$3:$K$3,"MAT",$C18:$K18,AA$3)=0)*(COUNTIFS($C$3:$K$3,"NOTTE",$C18:$K18,AA$3)=0))+((AA18&lt;&gt;"Xp")*(COUNTIFS($C$3:$K$3,"POM",$C18:$K18,AA$3)=0)*(COUNTIFS($C$3:$K$3,"NOTTE",$C18:$K18,AA$3)=0))+((AA18&lt;&gt;"Xs")*(AA18&lt;&gt;"Cs")*(COUNTIFS($C$3:$K$3,"SERA",$C18:$K18,AA$3)=0)*(COUNTIFS($C$3:$K$3,"NOTTE",$C18:$K18,AA$3)=0))+((AA18&lt;&gt;"Xn")*(COUNTIFS($C$3:$K$3,"MAT",$C18:$K18,AA$3)=0)*(COUNTIFS($C$3:$K$3,"POM",$C18:$K18,AA$3)=0)*(COUNTIFS($C$3:$K$3,"SERA",$C18:$K18,AA$3)=0)*(COUNTIFS($C$3:$K$3,"NOTTE",$C18:$K18,AA$3)=0))=4,AA$3&amp;", ",AA$3&amp;IF((AA18&lt;&gt;"Xm")*(COUNTIFS($C$3:$K$3,"MAT",$C18:$K18,AA$3)=0)*(COUNTIFS($C$3:$K$3,"NOTTE",$C18:$K18,AA$3)=0),"_m","")&amp;IF((AA18&lt;&gt;"Xp")*(COUNTIFS($C$3:$K$3,"POM",$C18:$K18,AA$3)=0)*(COUNTIFS($C$3:$K$3,"NOTTE",$C18:$K18,AA$3)=0),"_p","")&amp;IF((AA18&lt;&gt;"Xs")*(AA18&lt;&gt;"Cs")*(COUNTIFS($C$3:$K$3,"SERA",$C18:$K18,AA$3)=0)*(COUNTIFS($C$3:$K$3,"NOTTE",$C18:$K18,AA$3)=0),"_s","")&amp;IF((AA18&lt;&gt;"Xn")*(COUNTIFS($C$3:$K$3,"MAT",$C18:$K18,AA$3)=0)*(COUNTIFS($C$3:$K$3,"POM",$C18:$K18,AA$3)=0)*(COUNTIFS($C$3:$K$3,"SERA",$C18:$K18,AA$3)=0)*(COUNTIFS($C$3:$K$3,"NOTTE",$C18:$K18,AA$3)=0),"_n","")&amp;", ")))</f>
        <v>FABIO, </v>
      </c>
    </row>
    <row r="19" customFormat="false" ht="15" hidden="false" customHeight="false" outlineLevel="0" collapsed="false">
      <c r="A19" s="4" t="str">
        <f aca="false">CHOOSE(WEEKDAY(DATE($B$1,$A$2,B19),2),"lunedì","martedì","mercoledì","giovedì","venerdì","sabato","domenica")</f>
        <v>martedì</v>
      </c>
      <c r="B19" s="4" t="n">
        <v>16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 t="str">
        <f aca="false">IF(SUMPRODUCT(($C$3:$K$3&lt;&gt;"")*($C19:$K19&lt;&gt;"")*(COUNTIFS($C19:$K19,$C19:$K19,$C$3:$K$3,$C$3:$K$3)&gt;1))&gt;0,"X","")</f>
        <v/>
      </c>
      <c r="N19" s="5" t="str">
        <f aca="false">IF(LEN(AT19&amp;AU19&amp;AV19&amp;AW19&amp;AX19&amp;AY19)=0,"",LEFT(AT19&amp;AU19&amp;AV19&amp;AW19&amp;AX19&amp;AY19,LEN(AT19&amp;AU19&amp;AV19&amp;AW19&amp;AX19&amp;AY19)-2))</f>
        <v>ALBA, BRUNO, CARLA, DINO, ELSA, FABIO</v>
      </c>
      <c r="O19" s="5" t="str">
        <f aca="false">IF(LEN(BA19&amp;BB19&amp;BC19&amp;BD19&amp;BE19&amp;BF19)=0,"",LEFT(BA19&amp;BB19&amp;BC19&amp;BD19&amp;BE19&amp;BF19,LEN(BA19&amp;BB19&amp;BC19&amp;BD19&amp;BE19&amp;BF19)-2))</f>
        <v>ALBA, BRUNO, CARLA, DINO, ELSA, FABIO</v>
      </c>
      <c r="T19" s="4" t="str">
        <f aca="false">A19</f>
        <v>martedì</v>
      </c>
      <c r="U19" s="4" t="n">
        <f aca="false">B19</f>
        <v>16</v>
      </c>
      <c r="V19" s="5"/>
      <c r="W19" s="5"/>
      <c r="X19" s="5"/>
      <c r="Y19" s="5"/>
      <c r="Z19" s="5"/>
      <c r="AA19" s="5"/>
      <c r="AT19" s="10" t="str">
        <f aca="false">IF((V19="X")+(V19="F")&gt;0,"",IF(((V19&lt;&gt;"Xm"))+((V19&lt;&gt;"Xp"))+((V19&lt;&gt;"Xs")*(V19&lt;&gt;"Cs"))+((V19&lt;&gt;"Xn"))=0,"",IF(((V19&lt;&gt;"Xm"))+((V19&lt;&gt;"Xp"))+((V19&lt;&gt;"Xs")*(V19&lt;&gt;"Cs"))+((V19&lt;&gt;"Xn"))=4,V$3&amp;", ",V$3&amp;IF((V19&lt;&gt;"Xm"),"_m","")&amp;IF((V19&lt;&gt;"Xp"),"_p","")&amp;IF((V19&lt;&gt;"Xs")*(V19&lt;&gt;"Cs"),"_s","")&amp;IF((V19&lt;&gt;"Xn"),"_n","")&amp;", ")))</f>
        <v>ALBA, </v>
      </c>
      <c r="AU19" s="10" t="str">
        <f aca="false">IF((W19="X")+(W19="F")&gt;0,"",IF(((W19&lt;&gt;"Xm"))+((W19&lt;&gt;"Xp"))+((W19&lt;&gt;"Xs")*(W19&lt;&gt;"Cs"))+((W19&lt;&gt;"Xn"))=0,"",IF(((W19&lt;&gt;"Xm"))+((W19&lt;&gt;"Xp"))+((W19&lt;&gt;"Xs")*(W19&lt;&gt;"Cs"))+((W19&lt;&gt;"Xn"))=4,W$3&amp;", ",W$3&amp;IF((W19&lt;&gt;"Xm"),"_m","")&amp;IF((W19&lt;&gt;"Xp"),"_p","")&amp;IF((W19&lt;&gt;"Xs")*(W19&lt;&gt;"Cs"),"_s","")&amp;IF((W19&lt;&gt;"Xn"),"_n","")&amp;", ")))</f>
        <v>BRUNO, </v>
      </c>
      <c r="AV19" s="10" t="str">
        <f aca="false">IF((X19="X")+(X19="F")&gt;0,"",IF(((X19&lt;&gt;"Xm"))+((X19&lt;&gt;"Xp"))+((X19&lt;&gt;"Xs")*(X19&lt;&gt;"Cs"))+((X19&lt;&gt;"Xn"))=0,"",IF(((X19&lt;&gt;"Xm"))+((X19&lt;&gt;"Xp"))+((X19&lt;&gt;"Xs")*(X19&lt;&gt;"Cs"))+((X19&lt;&gt;"Xn"))=4,X$3&amp;", ",X$3&amp;IF((X19&lt;&gt;"Xm"),"_m","")&amp;IF((X19&lt;&gt;"Xp"),"_p","")&amp;IF((X19&lt;&gt;"Xs")*(X19&lt;&gt;"Cs"),"_s","")&amp;IF((X19&lt;&gt;"Xn"),"_n","")&amp;", ")))</f>
        <v>CARLA, </v>
      </c>
      <c r="AW19" s="10" t="str">
        <f aca="false">IF((Y19="X")+(Y19="F")&gt;0,"",IF(((Y19&lt;&gt;"Xm"))+((Y19&lt;&gt;"Xp"))+((Y19&lt;&gt;"Xs")*(Y19&lt;&gt;"Cs"))+((Y19&lt;&gt;"Xn"))=0,"",IF(((Y19&lt;&gt;"Xm"))+((Y19&lt;&gt;"Xp"))+((Y19&lt;&gt;"Xs")*(Y19&lt;&gt;"Cs"))+((Y19&lt;&gt;"Xn"))=4,Y$3&amp;", ",Y$3&amp;IF((Y19&lt;&gt;"Xm"),"_m","")&amp;IF((Y19&lt;&gt;"Xp"),"_p","")&amp;IF((Y19&lt;&gt;"Xs")*(Y19&lt;&gt;"Cs"),"_s","")&amp;IF((Y19&lt;&gt;"Xn"),"_n","")&amp;", ")))</f>
        <v>DINO, </v>
      </c>
      <c r="AX19" s="10" t="str">
        <f aca="false">IF((Z19="X")+(Z19="F")&gt;0,"",IF(((Z19&lt;&gt;"Xm"))+((Z19&lt;&gt;"Xp"))+((Z19&lt;&gt;"Xs")*(Z19&lt;&gt;"Cs"))+((Z19&lt;&gt;"Xn"))=0,"",IF(((Z19&lt;&gt;"Xm"))+((Z19&lt;&gt;"Xp"))+((Z19&lt;&gt;"Xs")*(Z19&lt;&gt;"Cs"))+((Z19&lt;&gt;"Xn"))=4,Z$3&amp;", ",Z$3&amp;IF((Z19&lt;&gt;"Xm"),"_m","")&amp;IF((Z19&lt;&gt;"Xp"),"_p","")&amp;IF((Z19&lt;&gt;"Xs")*(Z19&lt;&gt;"Cs"),"_s","")&amp;IF((Z19&lt;&gt;"Xn"),"_n","")&amp;", ")))</f>
        <v>ELSA, </v>
      </c>
      <c r="AY19" s="10" t="str">
        <f aca="false">IF((AA19="X")+(AA19="F")&gt;0,"",IF(((AA19&lt;&gt;"Xm"))+((AA19&lt;&gt;"Xp"))+((AA19&lt;&gt;"Xs")*(AA19&lt;&gt;"Cs"))+((AA19&lt;&gt;"Xn"))=0,"",IF(((AA19&lt;&gt;"Xm"))+((AA19&lt;&gt;"Xp"))+((AA19&lt;&gt;"Xs")*(AA19&lt;&gt;"Cs"))+((AA19&lt;&gt;"Xn"))=4,AA$3&amp;", ",AA$3&amp;IF((AA19&lt;&gt;"Xm"),"_m","")&amp;IF((AA19&lt;&gt;"Xp"),"_p","")&amp;IF((AA19&lt;&gt;"Xs")*(AA19&lt;&gt;"Cs"),"_s","")&amp;IF((AA19&lt;&gt;"Xn"),"_n","")&amp;", ")))</f>
        <v>FABIO, </v>
      </c>
      <c r="AZ19" s="10"/>
      <c r="BA19" s="10" t="str">
        <f aca="false">IF((V19="X")+(V19="F")&gt;0,"",IF(((V19&lt;&gt;"Xm")*(COUNTIFS($C$3:$K$3,"MAT",$C19:$K19,V$3)=0)*(COUNTIFS($C$3:$K$3,"NOTTE",$C19:$K19,V$3)=0))+((V19&lt;&gt;"Xp")*(COUNTIFS($C$3:$K$3,"POM",$C19:$K19,V$3)=0)*(COUNTIFS($C$3:$K$3,"NOTTE",$C19:$K19,V$3)=0))+((V19&lt;&gt;"Xs")*(V19&lt;&gt;"Cs")*(COUNTIFS($C$3:$K$3,"SERA",$C19:$K19,V$3)=0)*(COUNTIFS($C$3:$K$3,"NOTTE",$C19:$K19,V$3)=0))+((V19&lt;&gt;"Xn")*(COUNTIFS($C$3:$K$3,"MAT",$C19:$K19,V$3)=0)*(COUNTIFS($C$3:$K$3,"POM",$C19:$K19,V$3)=0)*(COUNTIFS($C$3:$K$3,"SERA",$C19:$K19,V$3)=0)*(COUNTIFS($C$3:$K$3,"NOTTE",$C19:$K19,V$3)=0))=0,"",IF(((V19&lt;&gt;"Xm")*(COUNTIFS($C$3:$K$3,"MAT",$C19:$K19,V$3)=0)*(COUNTIFS($C$3:$K$3,"NOTTE",$C19:$K19,V$3)=0))+((V19&lt;&gt;"Xp")*(COUNTIFS($C$3:$K$3,"POM",$C19:$K19,V$3)=0)*(COUNTIFS($C$3:$K$3,"NOTTE",$C19:$K19,V$3)=0))+((V19&lt;&gt;"Xs")*(V19&lt;&gt;"Cs")*(COUNTIFS($C$3:$K$3,"SERA",$C19:$K19,V$3)=0)*(COUNTIFS($C$3:$K$3,"NOTTE",$C19:$K19,V$3)=0))+((V19&lt;&gt;"Xn")*(COUNTIFS($C$3:$K$3,"MAT",$C19:$K19,V$3)=0)*(COUNTIFS($C$3:$K$3,"POM",$C19:$K19,V$3)=0)*(COUNTIFS($C$3:$K$3,"SERA",$C19:$K19,V$3)=0)*(COUNTIFS($C$3:$K$3,"NOTTE",$C19:$K19,V$3)=0))=4,V$3&amp;", ",V$3&amp;IF((V19&lt;&gt;"Xm")*(COUNTIFS($C$3:$K$3,"MAT",$C19:$K19,V$3)=0)*(COUNTIFS($C$3:$K$3,"NOTTE",$C19:$K19,V$3)=0),"_m","")&amp;IF((V19&lt;&gt;"Xp")*(COUNTIFS($C$3:$K$3,"POM",$C19:$K19,V$3)=0)*(COUNTIFS($C$3:$K$3,"NOTTE",$C19:$K19,V$3)=0),"_p","")&amp;IF((V19&lt;&gt;"Xs")*(V19&lt;&gt;"Cs")*(COUNTIFS($C$3:$K$3,"SERA",$C19:$K19,V$3)=0)*(COUNTIFS($C$3:$K$3,"NOTTE",$C19:$K19,V$3)=0),"_s","")&amp;IF((V19&lt;&gt;"Xn")*(COUNTIFS($C$3:$K$3,"MAT",$C19:$K19,V$3)=0)*(COUNTIFS($C$3:$K$3,"POM",$C19:$K19,V$3)=0)*(COUNTIFS($C$3:$K$3,"SERA",$C19:$K19,V$3)=0)*(COUNTIFS($C$3:$K$3,"NOTTE",$C19:$K19,V$3)=0),"_n","")&amp;", ")))</f>
        <v>ALBA, </v>
      </c>
      <c r="BB19" s="10" t="str">
        <f aca="false">IF((W19="X")+(W19="F")&gt;0,"",IF(((W19&lt;&gt;"Xm")*(COUNTIFS($C$3:$K$3,"MAT",$C19:$K19,W$3)=0)*(COUNTIFS($C$3:$K$3,"NOTTE",$C19:$K19,W$3)=0))+((W19&lt;&gt;"Xp")*(COUNTIFS($C$3:$K$3,"POM",$C19:$K19,W$3)=0)*(COUNTIFS($C$3:$K$3,"NOTTE",$C19:$K19,W$3)=0))+((W19&lt;&gt;"Xs")*(W19&lt;&gt;"Cs")*(COUNTIFS($C$3:$K$3,"SERA",$C19:$K19,W$3)=0)*(COUNTIFS($C$3:$K$3,"NOTTE",$C19:$K19,W$3)=0))+((W19&lt;&gt;"Xn")*(COUNTIFS($C$3:$K$3,"MAT",$C19:$K19,W$3)=0)*(COUNTIFS($C$3:$K$3,"POM",$C19:$K19,W$3)=0)*(COUNTIFS($C$3:$K$3,"SERA",$C19:$K19,W$3)=0)*(COUNTIFS($C$3:$K$3,"NOTTE",$C19:$K19,W$3)=0))=0,"",IF(((W19&lt;&gt;"Xm")*(COUNTIFS($C$3:$K$3,"MAT",$C19:$K19,W$3)=0)*(COUNTIFS($C$3:$K$3,"NOTTE",$C19:$K19,W$3)=0))+((W19&lt;&gt;"Xp")*(COUNTIFS($C$3:$K$3,"POM",$C19:$K19,W$3)=0)*(COUNTIFS($C$3:$K$3,"NOTTE",$C19:$K19,W$3)=0))+((W19&lt;&gt;"Xs")*(W19&lt;&gt;"Cs")*(COUNTIFS($C$3:$K$3,"SERA",$C19:$K19,W$3)=0)*(COUNTIFS($C$3:$K$3,"NOTTE",$C19:$K19,W$3)=0))+((W19&lt;&gt;"Xn")*(COUNTIFS($C$3:$K$3,"MAT",$C19:$K19,W$3)=0)*(COUNTIFS($C$3:$K$3,"POM",$C19:$K19,W$3)=0)*(COUNTIFS($C$3:$K$3,"SERA",$C19:$K19,W$3)=0)*(COUNTIFS($C$3:$K$3,"NOTTE",$C19:$K19,W$3)=0))=4,W$3&amp;", ",W$3&amp;IF((W19&lt;&gt;"Xm")*(COUNTIFS($C$3:$K$3,"MAT",$C19:$K19,W$3)=0)*(COUNTIFS($C$3:$K$3,"NOTTE",$C19:$K19,W$3)=0),"_m","")&amp;IF((W19&lt;&gt;"Xp")*(COUNTIFS($C$3:$K$3,"POM",$C19:$K19,W$3)=0)*(COUNTIFS($C$3:$K$3,"NOTTE",$C19:$K19,W$3)=0),"_p","")&amp;IF((W19&lt;&gt;"Xs")*(W19&lt;&gt;"Cs")*(COUNTIFS($C$3:$K$3,"SERA",$C19:$K19,W$3)=0)*(COUNTIFS($C$3:$K$3,"NOTTE",$C19:$K19,W$3)=0),"_s","")&amp;IF((W19&lt;&gt;"Xn")*(COUNTIFS($C$3:$K$3,"MAT",$C19:$K19,W$3)=0)*(COUNTIFS($C$3:$K$3,"POM",$C19:$K19,W$3)=0)*(COUNTIFS($C$3:$K$3,"SERA",$C19:$K19,W$3)=0)*(COUNTIFS($C$3:$K$3,"NOTTE",$C19:$K19,W$3)=0),"_n","")&amp;", ")))</f>
        <v>BRUNO, </v>
      </c>
      <c r="BC19" s="10" t="str">
        <f aca="false">IF((X19="X")+(X19="F")&gt;0,"",IF(((X19&lt;&gt;"Xm")*(COUNTIFS($C$3:$K$3,"MAT",$C19:$K19,X$3)=0)*(COUNTIFS($C$3:$K$3,"NOTTE",$C19:$K19,X$3)=0))+((X19&lt;&gt;"Xp")*(COUNTIFS($C$3:$K$3,"POM",$C19:$K19,X$3)=0)*(COUNTIFS($C$3:$K$3,"NOTTE",$C19:$K19,X$3)=0))+((X19&lt;&gt;"Xs")*(X19&lt;&gt;"Cs")*(COUNTIFS($C$3:$K$3,"SERA",$C19:$K19,X$3)=0)*(COUNTIFS($C$3:$K$3,"NOTTE",$C19:$K19,X$3)=0))+((X19&lt;&gt;"Xn")*(COUNTIFS($C$3:$K$3,"MAT",$C19:$K19,X$3)=0)*(COUNTIFS($C$3:$K$3,"POM",$C19:$K19,X$3)=0)*(COUNTIFS($C$3:$K$3,"SERA",$C19:$K19,X$3)=0)*(COUNTIFS($C$3:$K$3,"NOTTE",$C19:$K19,X$3)=0))=0,"",IF(((X19&lt;&gt;"Xm")*(COUNTIFS($C$3:$K$3,"MAT",$C19:$K19,X$3)=0)*(COUNTIFS($C$3:$K$3,"NOTTE",$C19:$K19,X$3)=0))+((X19&lt;&gt;"Xp")*(COUNTIFS($C$3:$K$3,"POM",$C19:$K19,X$3)=0)*(COUNTIFS($C$3:$K$3,"NOTTE",$C19:$K19,X$3)=0))+((X19&lt;&gt;"Xs")*(X19&lt;&gt;"Cs")*(COUNTIFS($C$3:$K$3,"SERA",$C19:$K19,X$3)=0)*(COUNTIFS($C$3:$K$3,"NOTTE",$C19:$K19,X$3)=0))+((X19&lt;&gt;"Xn")*(COUNTIFS($C$3:$K$3,"MAT",$C19:$K19,X$3)=0)*(COUNTIFS($C$3:$K$3,"POM",$C19:$K19,X$3)=0)*(COUNTIFS($C$3:$K$3,"SERA",$C19:$K19,X$3)=0)*(COUNTIFS($C$3:$K$3,"NOTTE",$C19:$K19,X$3)=0))=4,X$3&amp;", ",X$3&amp;IF((X19&lt;&gt;"Xm")*(COUNTIFS($C$3:$K$3,"MAT",$C19:$K19,X$3)=0)*(COUNTIFS($C$3:$K$3,"NOTTE",$C19:$K19,X$3)=0),"_m","")&amp;IF((X19&lt;&gt;"Xp")*(COUNTIFS($C$3:$K$3,"POM",$C19:$K19,X$3)=0)*(COUNTIFS($C$3:$K$3,"NOTTE",$C19:$K19,X$3)=0),"_p","")&amp;IF((X19&lt;&gt;"Xs")*(X19&lt;&gt;"Cs")*(COUNTIFS($C$3:$K$3,"SERA",$C19:$K19,X$3)=0)*(COUNTIFS($C$3:$K$3,"NOTTE",$C19:$K19,X$3)=0),"_s","")&amp;IF((X19&lt;&gt;"Xn")*(COUNTIFS($C$3:$K$3,"MAT",$C19:$K19,X$3)=0)*(COUNTIFS($C$3:$K$3,"POM",$C19:$K19,X$3)=0)*(COUNTIFS($C$3:$K$3,"SERA",$C19:$K19,X$3)=0)*(COUNTIFS($C$3:$K$3,"NOTTE",$C19:$K19,X$3)=0),"_n","")&amp;", ")))</f>
        <v>CARLA, </v>
      </c>
      <c r="BD19" s="10" t="str">
        <f aca="false">IF((Y19="X")+(Y19="F")&gt;0,"",IF(((Y19&lt;&gt;"Xm")*(COUNTIFS($C$3:$K$3,"MAT",$C19:$K19,Y$3)=0)*(COUNTIFS($C$3:$K$3,"NOTTE",$C19:$K19,Y$3)=0))+((Y19&lt;&gt;"Xp")*(COUNTIFS($C$3:$K$3,"POM",$C19:$K19,Y$3)=0)*(COUNTIFS($C$3:$K$3,"NOTTE",$C19:$K19,Y$3)=0))+((Y19&lt;&gt;"Xs")*(Y19&lt;&gt;"Cs")*(COUNTIFS($C$3:$K$3,"SERA",$C19:$K19,Y$3)=0)*(COUNTIFS($C$3:$K$3,"NOTTE",$C19:$K19,Y$3)=0))+((Y19&lt;&gt;"Xn")*(COUNTIFS($C$3:$K$3,"MAT",$C19:$K19,Y$3)=0)*(COUNTIFS($C$3:$K$3,"POM",$C19:$K19,Y$3)=0)*(COUNTIFS($C$3:$K$3,"SERA",$C19:$K19,Y$3)=0)*(COUNTIFS($C$3:$K$3,"NOTTE",$C19:$K19,Y$3)=0))=0,"",IF(((Y19&lt;&gt;"Xm")*(COUNTIFS($C$3:$K$3,"MAT",$C19:$K19,Y$3)=0)*(COUNTIFS($C$3:$K$3,"NOTTE",$C19:$K19,Y$3)=0))+((Y19&lt;&gt;"Xp")*(COUNTIFS($C$3:$K$3,"POM",$C19:$K19,Y$3)=0)*(COUNTIFS($C$3:$K$3,"NOTTE",$C19:$K19,Y$3)=0))+((Y19&lt;&gt;"Xs")*(Y19&lt;&gt;"Cs")*(COUNTIFS($C$3:$K$3,"SERA",$C19:$K19,Y$3)=0)*(COUNTIFS($C$3:$K$3,"NOTTE",$C19:$K19,Y$3)=0))+((Y19&lt;&gt;"Xn")*(COUNTIFS($C$3:$K$3,"MAT",$C19:$K19,Y$3)=0)*(COUNTIFS($C$3:$K$3,"POM",$C19:$K19,Y$3)=0)*(COUNTIFS($C$3:$K$3,"SERA",$C19:$K19,Y$3)=0)*(COUNTIFS($C$3:$K$3,"NOTTE",$C19:$K19,Y$3)=0))=4,Y$3&amp;", ",Y$3&amp;IF((Y19&lt;&gt;"Xm")*(COUNTIFS($C$3:$K$3,"MAT",$C19:$K19,Y$3)=0)*(COUNTIFS($C$3:$K$3,"NOTTE",$C19:$K19,Y$3)=0),"_m","")&amp;IF((Y19&lt;&gt;"Xp")*(COUNTIFS($C$3:$K$3,"POM",$C19:$K19,Y$3)=0)*(COUNTIFS($C$3:$K$3,"NOTTE",$C19:$K19,Y$3)=0),"_p","")&amp;IF((Y19&lt;&gt;"Xs")*(Y19&lt;&gt;"Cs")*(COUNTIFS($C$3:$K$3,"SERA",$C19:$K19,Y$3)=0)*(COUNTIFS($C$3:$K$3,"NOTTE",$C19:$K19,Y$3)=0),"_s","")&amp;IF((Y19&lt;&gt;"Xn")*(COUNTIFS($C$3:$K$3,"MAT",$C19:$K19,Y$3)=0)*(COUNTIFS($C$3:$K$3,"POM",$C19:$K19,Y$3)=0)*(COUNTIFS($C$3:$K$3,"SERA",$C19:$K19,Y$3)=0)*(COUNTIFS($C$3:$K$3,"NOTTE",$C19:$K19,Y$3)=0),"_n","")&amp;", ")))</f>
        <v>DINO, </v>
      </c>
      <c r="BE19" s="10" t="str">
        <f aca="false">IF((Z19="X")+(Z19="F")&gt;0,"",IF(((Z19&lt;&gt;"Xm")*(COUNTIFS($C$3:$K$3,"MAT",$C19:$K19,Z$3)=0)*(COUNTIFS($C$3:$K$3,"NOTTE",$C19:$K19,Z$3)=0))+((Z19&lt;&gt;"Xp")*(COUNTIFS($C$3:$K$3,"POM",$C19:$K19,Z$3)=0)*(COUNTIFS($C$3:$K$3,"NOTTE",$C19:$K19,Z$3)=0))+((Z19&lt;&gt;"Xs")*(Z19&lt;&gt;"Cs")*(COUNTIFS($C$3:$K$3,"SERA",$C19:$K19,Z$3)=0)*(COUNTIFS($C$3:$K$3,"NOTTE",$C19:$K19,Z$3)=0))+((Z19&lt;&gt;"Xn")*(COUNTIFS($C$3:$K$3,"MAT",$C19:$K19,Z$3)=0)*(COUNTIFS($C$3:$K$3,"POM",$C19:$K19,Z$3)=0)*(COUNTIFS($C$3:$K$3,"SERA",$C19:$K19,Z$3)=0)*(COUNTIFS($C$3:$K$3,"NOTTE",$C19:$K19,Z$3)=0))=0,"",IF(((Z19&lt;&gt;"Xm")*(COUNTIFS($C$3:$K$3,"MAT",$C19:$K19,Z$3)=0)*(COUNTIFS($C$3:$K$3,"NOTTE",$C19:$K19,Z$3)=0))+((Z19&lt;&gt;"Xp")*(COUNTIFS($C$3:$K$3,"POM",$C19:$K19,Z$3)=0)*(COUNTIFS($C$3:$K$3,"NOTTE",$C19:$K19,Z$3)=0))+((Z19&lt;&gt;"Xs")*(Z19&lt;&gt;"Cs")*(COUNTIFS($C$3:$K$3,"SERA",$C19:$K19,Z$3)=0)*(COUNTIFS($C$3:$K$3,"NOTTE",$C19:$K19,Z$3)=0))+((Z19&lt;&gt;"Xn")*(COUNTIFS($C$3:$K$3,"MAT",$C19:$K19,Z$3)=0)*(COUNTIFS($C$3:$K$3,"POM",$C19:$K19,Z$3)=0)*(COUNTIFS($C$3:$K$3,"SERA",$C19:$K19,Z$3)=0)*(COUNTIFS($C$3:$K$3,"NOTTE",$C19:$K19,Z$3)=0))=4,Z$3&amp;", ",Z$3&amp;IF((Z19&lt;&gt;"Xm")*(COUNTIFS($C$3:$K$3,"MAT",$C19:$K19,Z$3)=0)*(COUNTIFS($C$3:$K$3,"NOTTE",$C19:$K19,Z$3)=0),"_m","")&amp;IF((Z19&lt;&gt;"Xp")*(COUNTIFS($C$3:$K$3,"POM",$C19:$K19,Z$3)=0)*(COUNTIFS($C$3:$K$3,"NOTTE",$C19:$K19,Z$3)=0),"_p","")&amp;IF((Z19&lt;&gt;"Xs")*(Z19&lt;&gt;"Cs")*(COUNTIFS($C$3:$K$3,"SERA",$C19:$K19,Z$3)=0)*(COUNTIFS($C$3:$K$3,"NOTTE",$C19:$K19,Z$3)=0),"_s","")&amp;IF((Z19&lt;&gt;"Xn")*(COUNTIFS($C$3:$K$3,"MAT",$C19:$K19,Z$3)=0)*(COUNTIFS($C$3:$K$3,"POM",$C19:$K19,Z$3)=0)*(COUNTIFS($C$3:$K$3,"SERA",$C19:$K19,Z$3)=0)*(COUNTIFS($C$3:$K$3,"NOTTE",$C19:$K19,Z$3)=0),"_n","")&amp;", ")))</f>
        <v>ELSA, </v>
      </c>
      <c r="BF19" s="10" t="str">
        <f aca="false">IF((AA19="X")+(AA19="F")&gt;0,"",IF(((AA19&lt;&gt;"Xm")*(COUNTIFS($C$3:$K$3,"MAT",$C19:$K19,AA$3)=0)*(COUNTIFS($C$3:$K$3,"NOTTE",$C19:$K19,AA$3)=0))+((AA19&lt;&gt;"Xp")*(COUNTIFS($C$3:$K$3,"POM",$C19:$K19,AA$3)=0)*(COUNTIFS($C$3:$K$3,"NOTTE",$C19:$K19,AA$3)=0))+((AA19&lt;&gt;"Xs")*(AA19&lt;&gt;"Cs")*(COUNTIFS($C$3:$K$3,"SERA",$C19:$K19,AA$3)=0)*(COUNTIFS($C$3:$K$3,"NOTTE",$C19:$K19,AA$3)=0))+((AA19&lt;&gt;"Xn")*(COUNTIFS($C$3:$K$3,"MAT",$C19:$K19,AA$3)=0)*(COUNTIFS($C$3:$K$3,"POM",$C19:$K19,AA$3)=0)*(COUNTIFS($C$3:$K$3,"SERA",$C19:$K19,AA$3)=0)*(COUNTIFS($C$3:$K$3,"NOTTE",$C19:$K19,AA$3)=0))=0,"",IF(((AA19&lt;&gt;"Xm")*(COUNTIFS($C$3:$K$3,"MAT",$C19:$K19,AA$3)=0)*(COUNTIFS($C$3:$K$3,"NOTTE",$C19:$K19,AA$3)=0))+((AA19&lt;&gt;"Xp")*(COUNTIFS($C$3:$K$3,"POM",$C19:$K19,AA$3)=0)*(COUNTIFS($C$3:$K$3,"NOTTE",$C19:$K19,AA$3)=0))+((AA19&lt;&gt;"Xs")*(AA19&lt;&gt;"Cs")*(COUNTIFS($C$3:$K$3,"SERA",$C19:$K19,AA$3)=0)*(COUNTIFS($C$3:$K$3,"NOTTE",$C19:$K19,AA$3)=0))+((AA19&lt;&gt;"Xn")*(COUNTIFS($C$3:$K$3,"MAT",$C19:$K19,AA$3)=0)*(COUNTIFS($C$3:$K$3,"POM",$C19:$K19,AA$3)=0)*(COUNTIFS($C$3:$K$3,"SERA",$C19:$K19,AA$3)=0)*(COUNTIFS($C$3:$K$3,"NOTTE",$C19:$K19,AA$3)=0))=4,AA$3&amp;", ",AA$3&amp;IF((AA19&lt;&gt;"Xm")*(COUNTIFS($C$3:$K$3,"MAT",$C19:$K19,AA$3)=0)*(COUNTIFS($C$3:$K$3,"NOTTE",$C19:$K19,AA$3)=0),"_m","")&amp;IF((AA19&lt;&gt;"Xp")*(COUNTIFS($C$3:$K$3,"POM",$C19:$K19,AA$3)=0)*(COUNTIFS($C$3:$K$3,"NOTTE",$C19:$K19,AA$3)=0),"_p","")&amp;IF((AA19&lt;&gt;"Xs")*(AA19&lt;&gt;"Cs")*(COUNTIFS($C$3:$K$3,"SERA",$C19:$K19,AA$3)=0)*(COUNTIFS($C$3:$K$3,"NOTTE",$C19:$K19,AA$3)=0),"_s","")&amp;IF((AA19&lt;&gt;"Xn")*(COUNTIFS($C$3:$K$3,"MAT",$C19:$K19,AA$3)=0)*(COUNTIFS($C$3:$K$3,"POM",$C19:$K19,AA$3)=0)*(COUNTIFS($C$3:$K$3,"SERA",$C19:$K19,AA$3)=0)*(COUNTIFS($C$3:$K$3,"NOTTE",$C19:$K19,AA$3)=0),"_n","")&amp;", ")))</f>
        <v>FABIO, </v>
      </c>
    </row>
    <row r="20" customFormat="false" ht="15" hidden="false" customHeight="false" outlineLevel="0" collapsed="false">
      <c r="A20" s="4" t="str">
        <f aca="false">CHOOSE(WEEKDAY(DATE($B$1,$A$2,B20),2),"lunedì","martedì","mercoledì","giovedì","venerdì","sabato","domenica")</f>
        <v>mercoledì</v>
      </c>
      <c r="B20" s="4" t="n">
        <v>17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 t="str">
        <f aca="false">IF(SUMPRODUCT(($C$3:$K$3&lt;&gt;"")*($C20:$K20&lt;&gt;"")*(COUNTIFS($C20:$K20,$C20:$K20,$C$3:$K$3,$C$3:$K$3)&gt;1))&gt;0,"X","")</f>
        <v/>
      </c>
      <c r="N20" s="5" t="str">
        <f aca="false">IF(LEN(AT20&amp;AU20&amp;AV20&amp;AW20&amp;AX20&amp;AY20)=0,"",LEFT(AT20&amp;AU20&amp;AV20&amp;AW20&amp;AX20&amp;AY20,LEN(AT20&amp;AU20&amp;AV20&amp;AW20&amp;AX20&amp;AY20)-2))</f>
        <v>ALBA, BRUNO, CARLA, DINO, ELSA, FABIO</v>
      </c>
      <c r="O20" s="5" t="str">
        <f aca="false">IF(LEN(BA20&amp;BB20&amp;BC20&amp;BD20&amp;BE20&amp;BF20)=0,"",LEFT(BA20&amp;BB20&amp;BC20&amp;BD20&amp;BE20&amp;BF20,LEN(BA20&amp;BB20&amp;BC20&amp;BD20&amp;BE20&amp;BF20)-2))</f>
        <v>ALBA, BRUNO, CARLA, DINO, ELSA, FABIO</v>
      </c>
      <c r="T20" s="4" t="str">
        <f aca="false">A20</f>
        <v>mercoledì</v>
      </c>
      <c r="U20" s="4" t="n">
        <f aca="false">B20</f>
        <v>17</v>
      </c>
      <c r="V20" s="5"/>
      <c r="W20" s="5"/>
      <c r="X20" s="5"/>
      <c r="Y20" s="5"/>
      <c r="Z20" s="5"/>
      <c r="AA20" s="5"/>
      <c r="AT20" s="10" t="str">
        <f aca="false">IF((V20="X")+(V20="F")&gt;0,"",IF(((V20&lt;&gt;"Xm"))+((V20&lt;&gt;"Xp"))+((V20&lt;&gt;"Xs")*(V20&lt;&gt;"Cs"))+((V20&lt;&gt;"Xn"))=0,"",IF(((V20&lt;&gt;"Xm"))+((V20&lt;&gt;"Xp"))+((V20&lt;&gt;"Xs")*(V20&lt;&gt;"Cs"))+((V20&lt;&gt;"Xn"))=4,V$3&amp;", ",V$3&amp;IF((V20&lt;&gt;"Xm"),"_m","")&amp;IF((V20&lt;&gt;"Xp"),"_p","")&amp;IF((V20&lt;&gt;"Xs")*(V20&lt;&gt;"Cs"),"_s","")&amp;IF((V20&lt;&gt;"Xn"),"_n","")&amp;", ")))</f>
        <v>ALBA, </v>
      </c>
      <c r="AU20" s="10" t="str">
        <f aca="false">IF((W20="X")+(W20="F")&gt;0,"",IF(((W20&lt;&gt;"Xm"))+((W20&lt;&gt;"Xp"))+((W20&lt;&gt;"Xs")*(W20&lt;&gt;"Cs"))+((W20&lt;&gt;"Xn"))=0,"",IF(((W20&lt;&gt;"Xm"))+((W20&lt;&gt;"Xp"))+((W20&lt;&gt;"Xs")*(W20&lt;&gt;"Cs"))+((W20&lt;&gt;"Xn"))=4,W$3&amp;", ",W$3&amp;IF((W20&lt;&gt;"Xm"),"_m","")&amp;IF((W20&lt;&gt;"Xp"),"_p","")&amp;IF((W20&lt;&gt;"Xs")*(W20&lt;&gt;"Cs"),"_s","")&amp;IF((W20&lt;&gt;"Xn"),"_n","")&amp;", ")))</f>
        <v>BRUNO, </v>
      </c>
      <c r="AV20" s="10" t="str">
        <f aca="false">IF((X20="X")+(X20="F")&gt;0,"",IF(((X20&lt;&gt;"Xm"))+((X20&lt;&gt;"Xp"))+((X20&lt;&gt;"Xs")*(X20&lt;&gt;"Cs"))+((X20&lt;&gt;"Xn"))=0,"",IF(((X20&lt;&gt;"Xm"))+((X20&lt;&gt;"Xp"))+((X20&lt;&gt;"Xs")*(X20&lt;&gt;"Cs"))+((X20&lt;&gt;"Xn"))=4,X$3&amp;", ",X$3&amp;IF((X20&lt;&gt;"Xm"),"_m","")&amp;IF((X20&lt;&gt;"Xp"),"_p","")&amp;IF((X20&lt;&gt;"Xs")*(X20&lt;&gt;"Cs"),"_s","")&amp;IF((X20&lt;&gt;"Xn"),"_n","")&amp;", ")))</f>
        <v>CARLA, </v>
      </c>
      <c r="AW20" s="10" t="str">
        <f aca="false">IF((Y20="X")+(Y20="F")&gt;0,"",IF(((Y20&lt;&gt;"Xm"))+((Y20&lt;&gt;"Xp"))+((Y20&lt;&gt;"Xs")*(Y20&lt;&gt;"Cs"))+((Y20&lt;&gt;"Xn"))=0,"",IF(((Y20&lt;&gt;"Xm"))+((Y20&lt;&gt;"Xp"))+((Y20&lt;&gt;"Xs")*(Y20&lt;&gt;"Cs"))+((Y20&lt;&gt;"Xn"))=4,Y$3&amp;", ",Y$3&amp;IF((Y20&lt;&gt;"Xm"),"_m","")&amp;IF((Y20&lt;&gt;"Xp"),"_p","")&amp;IF((Y20&lt;&gt;"Xs")*(Y20&lt;&gt;"Cs"),"_s","")&amp;IF((Y20&lt;&gt;"Xn"),"_n","")&amp;", ")))</f>
        <v>DINO, </v>
      </c>
      <c r="AX20" s="10" t="str">
        <f aca="false">IF((Z20="X")+(Z20="F")&gt;0,"",IF(((Z20&lt;&gt;"Xm"))+((Z20&lt;&gt;"Xp"))+((Z20&lt;&gt;"Xs")*(Z20&lt;&gt;"Cs"))+((Z20&lt;&gt;"Xn"))=0,"",IF(((Z20&lt;&gt;"Xm"))+((Z20&lt;&gt;"Xp"))+((Z20&lt;&gt;"Xs")*(Z20&lt;&gt;"Cs"))+((Z20&lt;&gt;"Xn"))=4,Z$3&amp;", ",Z$3&amp;IF((Z20&lt;&gt;"Xm"),"_m","")&amp;IF((Z20&lt;&gt;"Xp"),"_p","")&amp;IF((Z20&lt;&gt;"Xs")*(Z20&lt;&gt;"Cs"),"_s","")&amp;IF((Z20&lt;&gt;"Xn"),"_n","")&amp;", ")))</f>
        <v>ELSA, </v>
      </c>
      <c r="AY20" s="10" t="str">
        <f aca="false">IF((AA20="X")+(AA20="F")&gt;0,"",IF(((AA20&lt;&gt;"Xm"))+((AA20&lt;&gt;"Xp"))+((AA20&lt;&gt;"Xs")*(AA20&lt;&gt;"Cs"))+((AA20&lt;&gt;"Xn"))=0,"",IF(((AA20&lt;&gt;"Xm"))+((AA20&lt;&gt;"Xp"))+((AA20&lt;&gt;"Xs")*(AA20&lt;&gt;"Cs"))+((AA20&lt;&gt;"Xn"))=4,AA$3&amp;", ",AA$3&amp;IF((AA20&lt;&gt;"Xm"),"_m","")&amp;IF((AA20&lt;&gt;"Xp"),"_p","")&amp;IF((AA20&lt;&gt;"Xs")*(AA20&lt;&gt;"Cs"),"_s","")&amp;IF((AA20&lt;&gt;"Xn"),"_n","")&amp;", ")))</f>
        <v>FABIO, </v>
      </c>
      <c r="AZ20" s="10"/>
      <c r="BA20" s="10" t="str">
        <f aca="false">IF((V20="X")+(V20="F")&gt;0,"",IF(((V20&lt;&gt;"Xm")*(COUNTIFS($C$3:$K$3,"MAT",$C20:$K20,V$3)=0)*(COUNTIFS($C$3:$K$3,"NOTTE",$C20:$K20,V$3)=0))+((V20&lt;&gt;"Xp")*(COUNTIFS($C$3:$K$3,"POM",$C20:$K20,V$3)=0)*(COUNTIFS($C$3:$K$3,"NOTTE",$C20:$K20,V$3)=0))+((V20&lt;&gt;"Xs")*(V20&lt;&gt;"Cs")*(COUNTIFS($C$3:$K$3,"SERA",$C20:$K20,V$3)=0)*(COUNTIFS($C$3:$K$3,"NOTTE",$C20:$K20,V$3)=0))+((V20&lt;&gt;"Xn")*(COUNTIFS($C$3:$K$3,"MAT",$C20:$K20,V$3)=0)*(COUNTIFS($C$3:$K$3,"POM",$C20:$K20,V$3)=0)*(COUNTIFS($C$3:$K$3,"SERA",$C20:$K20,V$3)=0)*(COUNTIFS($C$3:$K$3,"NOTTE",$C20:$K20,V$3)=0))=0,"",IF(((V20&lt;&gt;"Xm")*(COUNTIFS($C$3:$K$3,"MAT",$C20:$K20,V$3)=0)*(COUNTIFS($C$3:$K$3,"NOTTE",$C20:$K20,V$3)=0))+((V20&lt;&gt;"Xp")*(COUNTIFS($C$3:$K$3,"POM",$C20:$K20,V$3)=0)*(COUNTIFS($C$3:$K$3,"NOTTE",$C20:$K20,V$3)=0))+((V20&lt;&gt;"Xs")*(V20&lt;&gt;"Cs")*(COUNTIFS($C$3:$K$3,"SERA",$C20:$K20,V$3)=0)*(COUNTIFS($C$3:$K$3,"NOTTE",$C20:$K20,V$3)=0))+((V20&lt;&gt;"Xn")*(COUNTIFS($C$3:$K$3,"MAT",$C20:$K20,V$3)=0)*(COUNTIFS($C$3:$K$3,"POM",$C20:$K20,V$3)=0)*(COUNTIFS($C$3:$K$3,"SERA",$C20:$K20,V$3)=0)*(COUNTIFS($C$3:$K$3,"NOTTE",$C20:$K20,V$3)=0))=4,V$3&amp;", ",V$3&amp;IF((V20&lt;&gt;"Xm")*(COUNTIFS($C$3:$K$3,"MAT",$C20:$K20,V$3)=0)*(COUNTIFS($C$3:$K$3,"NOTTE",$C20:$K20,V$3)=0),"_m","")&amp;IF((V20&lt;&gt;"Xp")*(COUNTIFS($C$3:$K$3,"POM",$C20:$K20,V$3)=0)*(COUNTIFS($C$3:$K$3,"NOTTE",$C20:$K20,V$3)=0),"_p","")&amp;IF((V20&lt;&gt;"Xs")*(V20&lt;&gt;"Cs")*(COUNTIFS($C$3:$K$3,"SERA",$C20:$K20,V$3)=0)*(COUNTIFS($C$3:$K$3,"NOTTE",$C20:$K20,V$3)=0),"_s","")&amp;IF((V20&lt;&gt;"Xn")*(COUNTIFS($C$3:$K$3,"MAT",$C20:$K20,V$3)=0)*(COUNTIFS($C$3:$K$3,"POM",$C20:$K20,V$3)=0)*(COUNTIFS($C$3:$K$3,"SERA",$C20:$K20,V$3)=0)*(COUNTIFS($C$3:$K$3,"NOTTE",$C20:$K20,V$3)=0),"_n","")&amp;", ")))</f>
        <v>ALBA, </v>
      </c>
      <c r="BB20" s="10" t="str">
        <f aca="false">IF((W20="X")+(W20="F")&gt;0,"",IF(((W20&lt;&gt;"Xm")*(COUNTIFS($C$3:$K$3,"MAT",$C20:$K20,W$3)=0)*(COUNTIFS($C$3:$K$3,"NOTTE",$C20:$K20,W$3)=0))+((W20&lt;&gt;"Xp")*(COUNTIFS($C$3:$K$3,"POM",$C20:$K20,W$3)=0)*(COUNTIFS($C$3:$K$3,"NOTTE",$C20:$K20,W$3)=0))+((W20&lt;&gt;"Xs")*(W20&lt;&gt;"Cs")*(COUNTIFS($C$3:$K$3,"SERA",$C20:$K20,W$3)=0)*(COUNTIFS($C$3:$K$3,"NOTTE",$C20:$K20,W$3)=0))+((W20&lt;&gt;"Xn")*(COUNTIFS($C$3:$K$3,"MAT",$C20:$K20,W$3)=0)*(COUNTIFS($C$3:$K$3,"POM",$C20:$K20,W$3)=0)*(COUNTIFS($C$3:$K$3,"SERA",$C20:$K20,W$3)=0)*(COUNTIFS($C$3:$K$3,"NOTTE",$C20:$K20,W$3)=0))=0,"",IF(((W20&lt;&gt;"Xm")*(COUNTIFS($C$3:$K$3,"MAT",$C20:$K20,W$3)=0)*(COUNTIFS($C$3:$K$3,"NOTTE",$C20:$K20,W$3)=0))+((W20&lt;&gt;"Xp")*(COUNTIFS($C$3:$K$3,"POM",$C20:$K20,W$3)=0)*(COUNTIFS($C$3:$K$3,"NOTTE",$C20:$K20,W$3)=0))+((W20&lt;&gt;"Xs")*(W20&lt;&gt;"Cs")*(COUNTIFS($C$3:$K$3,"SERA",$C20:$K20,W$3)=0)*(COUNTIFS($C$3:$K$3,"NOTTE",$C20:$K20,W$3)=0))+((W20&lt;&gt;"Xn")*(COUNTIFS($C$3:$K$3,"MAT",$C20:$K20,W$3)=0)*(COUNTIFS($C$3:$K$3,"POM",$C20:$K20,W$3)=0)*(COUNTIFS($C$3:$K$3,"SERA",$C20:$K20,W$3)=0)*(COUNTIFS($C$3:$K$3,"NOTTE",$C20:$K20,W$3)=0))=4,W$3&amp;", ",W$3&amp;IF((W20&lt;&gt;"Xm")*(COUNTIFS($C$3:$K$3,"MAT",$C20:$K20,W$3)=0)*(COUNTIFS($C$3:$K$3,"NOTTE",$C20:$K20,W$3)=0),"_m","")&amp;IF((W20&lt;&gt;"Xp")*(COUNTIFS($C$3:$K$3,"POM",$C20:$K20,W$3)=0)*(COUNTIFS($C$3:$K$3,"NOTTE",$C20:$K20,W$3)=0),"_p","")&amp;IF((W20&lt;&gt;"Xs")*(W20&lt;&gt;"Cs")*(COUNTIFS($C$3:$K$3,"SERA",$C20:$K20,W$3)=0)*(COUNTIFS($C$3:$K$3,"NOTTE",$C20:$K20,W$3)=0),"_s","")&amp;IF((W20&lt;&gt;"Xn")*(COUNTIFS($C$3:$K$3,"MAT",$C20:$K20,W$3)=0)*(COUNTIFS($C$3:$K$3,"POM",$C20:$K20,W$3)=0)*(COUNTIFS($C$3:$K$3,"SERA",$C20:$K20,W$3)=0)*(COUNTIFS($C$3:$K$3,"NOTTE",$C20:$K20,W$3)=0),"_n","")&amp;", ")))</f>
        <v>BRUNO, </v>
      </c>
      <c r="BC20" s="10" t="str">
        <f aca="false">IF((X20="X")+(X20="F")&gt;0,"",IF(((X20&lt;&gt;"Xm")*(COUNTIFS($C$3:$K$3,"MAT",$C20:$K20,X$3)=0)*(COUNTIFS($C$3:$K$3,"NOTTE",$C20:$K20,X$3)=0))+((X20&lt;&gt;"Xp")*(COUNTIFS($C$3:$K$3,"POM",$C20:$K20,X$3)=0)*(COUNTIFS($C$3:$K$3,"NOTTE",$C20:$K20,X$3)=0))+((X20&lt;&gt;"Xs")*(X20&lt;&gt;"Cs")*(COUNTIFS($C$3:$K$3,"SERA",$C20:$K20,X$3)=0)*(COUNTIFS($C$3:$K$3,"NOTTE",$C20:$K20,X$3)=0))+((X20&lt;&gt;"Xn")*(COUNTIFS($C$3:$K$3,"MAT",$C20:$K20,X$3)=0)*(COUNTIFS($C$3:$K$3,"POM",$C20:$K20,X$3)=0)*(COUNTIFS($C$3:$K$3,"SERA",$C20:$K20,X$3)=0)*(COUNTIFS($C$3:$K$3,"NOTTE",$C20:$K20,X$3)=0))=0,"",IF(((X20&lt;&gt;"Xm")*(COUNTIFS($C$3:$K$3,"MAT",$C20:$K20,X$3)=0)*(COUNTIFS($C$3:$K$3,"NOTTE",$C20:$K20,X$3)=0))+((X20&lt;&gt;"Xp")*(COUNTIFS($C$3:$K$3,"POM",$C20:$K20,X$3)=0)*(COUNTIFS($C$3:$K$3,"NOTTE",$C20:$K20,X$3)=0))+((X20&lt;&gt;"Xs")*(X20&lt;&gt;"Cs")*(COUNTIFS($C$3:$K$3,"SERA",$C20:$K20,X$3)=0)*(COUNTIFS($C$3:$K$3,"NOTTE",$C20:$K20,X$3)=0))+((X20&lt;&gt;"Xn")*(COUNTIFS($C$3:$K$3,"MAT",$C20:$K20,X$3)=0)*(COUNTIFS($C$3:$K$3,"POM",$C20:$K20,X$3)=0)*(COUNTIFS($C$3:$K$3,"SERA",$C20:$K20,X$3)=0)*(COUNTIFS($C$3:$K$3,"NOTTE",$C20:$K20,X$3)=0))=4,X$3&amp;", ",X$3&amp;IF((X20&lt;&gt;"Xm")*(COUNTIFS($C$3:$K$3,"MAT",$C20:$K20,X$3)=0)*(COUNTIFS($C$3:$K$3,"NOTTE",$C20:$K20,X$3)=0),"_m","")&amp;IF((X20&lt;&gt;"Xp")*(COUNTIFS($C$3:$K$3,"POM",$C20:$K20,X$3)=0)*(COUNTIFS($C$3:$K$3,"NOTTE",$C20:$K20,X$3)=0),"_p","")&amp;IF((X20&lt;&gt;"Xs")*(X20&lt;&gt;"Cs")*(COUNTIFS($C$3:$K$3,"SERA",$C20:$K20,X$3)=0)*(COUNTIFS($C$3:$K$3,"NOTTE",$C20:$K20,X$3)=0),"_s","")&amp;IF((X20&lt;&gt;"Xn")*(COUNTIFS($C$3:$K$3,"MAT",$C20:$K20,X$3)=0)*(COUNTIFS($C$3:$K$3,"POM",$C20:$K20,X$3)=0)*(COUNTIFS($C$3:$K$3,"SERA",$C20:$K20,X$3)=0)*(COUNTIFS($C$3:$K$3,"NOTTE",$C20:$K20,X$3)=0),"_n","")&amp;", ")))</f>
        <v>CARLA, </v>
      </c>
      <c r="BD20" s="10" t="str">
        <f aca="false">IF((Y20="X")+(Y20="F")&gt;0,"",IF(((Y20&lt;&gt;"Xm")*(COUNTIFS($C$3:$K$3,"MAT",$C20:$K20,Y$3)=0)*(COUNTIFS($C$3:$K$3,"NOTTE",$C20:$K20,Y$3)=0))+((Y20&lt;&gt;"Xp")*(COUNTIFS($C$3:$K$3,"POM",$C20:$K20,Y$3)=0)*(COUNTIFS($C$3:$K$3,"NOTTE",$C20:$K20,Y$3)=0))+((Y20&lt;&gt;"Xs")*(Y20&lt;&gt;"Cs")*(COUNTIFS($C$3:$K$3,"SERA",$C20:$K20,Y$3)=0)*(COUNTIFS($C$3:$K$3,"NOTTE",$C20:$K20,Y$3)=0))+((Y20&lt;&gt;"Xn")*(COUNTIFS($C$3:$K$3,"MAT",$C20:$K20,Y$3)=0)*(COUNTIFS($C$3:$K$3,"POM",$C20:$K20,Y$3)=0)*(COUNTIFS($C$3:$K$3,"SERA",$C20:$K20,Y$3)=0)*(COUNTIFS($C$3:$K$3,"NOTTE",$C20:$K20,Y$3)=0))=0,"",IF(((Y20&lt;&gt;"Xm")*(COUNTIFS($C$3:$K$3,"MAT",$C20:$K20,Y$3)=0)*(COUNTIFS($C$3:$K$3,"NOTTE",$C20:$K20,Y$3)=0))+((Y20&lt;&gt;"Xp")*(COUNTIFS($C$3:$K$3,"POM",$C20:$K20,Y$3)=0)*(COUNTIFS($C$3:$K$3,"NOTTE",$C20:$K20,Y$3)=0))+((Y20&lt;&gt;"Xs")*(Y20&lt;&gt;"Cs")*(COUNTIFS($C$3:$K$3,"SERA",$C20:$K20,Y$3)=0)*(COUNTIFS($C$3:$K$3,"NOTTE",$C20:$K20,Y$3)=0))+((Y20&lt;&gt;"Xn")*(COUNTIFS($C$3:$K$3,"MAT",$C20:$K20,Y$3)=0)*(COUNTIFS($C$3:$K$3,"POM",$C20:$K20,Y$3)=0)*(COUNTIFS($C$3:$K$3,"SERA",$C20:$K20,Y$3)=0)*(COUNTIFS($C$3:$K$3,"NOTTE",$C20:$K20,Y$3)=0))=4,Y$3&amp;", ",Y$3&amp;IF((Y20&lt;&gt;"Xm")*(COUNTIFS($C$3:$K$3,"MAT",$C20:$K20,Y$3)=0)*(COUNTIFS($C$3:$K$3,"NOTTE",$C20:$K20,Y$3)=0),"_m","")&amp;IF((Y20&lt;&gt;"Xp")*(COUNTIFS($C$3:$K$3,"POM",$C20:$K20,Y$3)=0)*(COUNTIFS($C$3:$K$3,"NOTTE",$C20:$K20,Y$3)=0),"_p","")&amp;IF((Y20&lt;&gt;"Xs")*(Y20&lt;&gt;"Cs")*(COUNTIFS($C$3:$K$3,"SERA",$C20:$K20,Y$3)=0)*(COUNTIFS($C$3:$K$3,"NOTTE",$C20:$K20,Y$3)=0),"_s","")&amp;IF((Y20&lt;&gt;"Xn")*(COUNTIFS($C$3:$K$3,"MAT",$C20:$K20,Y$3)=0)*(COUNTIFS($C$3:$K$3,"POM",$C20:$K20,Y$3)=0)*(COUNTIFS($C$3:$K$3,"SERA",$C20:$K20,Y$3)=0)*(COUNTIFS($C$3:$K$3,"NOTTE",$C20:$K20,Y$3)=0),"_n","")&amp;", ")))</f>
        <v>DINO, </v>
      </c>
      <c r="BE20" s="10" t="str">
        <f aca="false">IF((Z20="X")+(Z20="F")&gt;0,"",IF(((Z20&lt;&gt;"Xm")*(COUNTIFS($C$3:$K$3,"MAT",$C20:$K20,Z$3)=0)*(COUNTIFS($C$3:$K$3,"NOTTE",$C20:$K20,Z$3)=0))+((Z20&lt;&gt;"Xp")*(COUNTIFS($C$3:$K$3,"POM",$C20:$K20,Z$3)=0)*(COUNTIFS($C$3:$K$3,"NOTTE",$C20:$K20,Z$3)=0))+((Z20&lt;&gt;"Xs")*(Z20&lt;&gt;"Cs")*(COUNTIFS($C$3:$K$3,"SERA",$C20:$K20,Z$3)=0)*(COUNTIFS($C$3:$K$3,"NOTTE",$C20:$K20,Z$3)=0))+((Z20&lt;&gt;"Xn")*(COUNTIFS($C$3:$K$3,"MAT",$C20:$K20,Z$3)=0)*(COUNTIFS($C$3:$K$3,"POM",$C20:$K20,Z$3)=0)*(COUNTIFS($C$3:$K$3,"SERA",$C20:$K20,Z$3)=0)*(COUNTIFS($C$3:$K$3,"NOTTE",$C20:$K20,Z$3)=0))=0,"",IF(((Z20&lt;&gt;"Xm")*(COUNTIFS($C$3:$K$3,"MAT",$C20:$K20,Z$3)=0)*(COUNTIFS($C$3:$K$3,"NOTTE",$C20:$K20,Z$3)=0))+((Z20&lt;&gt;"Xp")*(COUNTIFS($C$3:$K$3,"POM",$C20:$K20,Z$3)=0)*(COUNTIFS($C$3:$K$3,"NOTTE",$C20:$K20,Z$3)=0))+((Z20&lt;&gt;"Xs")*(Z20&lt;&gt;"Cs")*(COUNTIFS($C$3:$K$3,"SERA",$C20:$K20,Z$3)=0)*(COUNTIFS($C$3:$K$3,"NOTTE",$C20:$K20,Z$3)=0))+((Z20&lt;&gt;"Xn")*(COUNTIFS($C$3:$K$3,"MAT",$C20:$K20,Z$3)=0)*(COUNTIFS($C$3:$K$3,"POM",$C20:$K20,Z$3)=0)*(COUNTIFS($C$3:$K$3,"SERA",$C20:$K20,Z$3)=0)*(COUNTIFS($C$3:$K$3,"NOTTE",$C20:$K20,Z$3)=0))=4,Z$3&amp;", ",Z$3&amp;IF((Z20&lt;&gt;"Xm")*(COUNTIFS($C$3:$K$3,"MAT",$C20:$K20,Z$3)=0)*(COUNTIFS($C$3:$K$3,"NOTTE",$C20:$K20,Z$3)=0),"_m","")&amp;IF((Z20&lt;&gt;"Xp")*(COUNTIFS($C$3:$K$3,"POM",$C20:$K20,Z$3)=0)*(COUNTIFS($C$3:$K$3,"NOTTE",$C20:$K20,Z$3)=0),"_p","")&amp;IF((Z20&lt;&gt;"Xs")*(Z20&lt;&gt;"Cs")*(COUNTIFS($C$3:$K$3,"SERA",$C20:$K20,Z$3)=0)*(COUNTIFS($C$3:$K$3,"NOTTE",$C20:$K20,Z$3)=0),"_s","")&amp;IF((Z20&lt;&gt;"Xn")*(COUNTIFS($C$3:$K$3,"MAT",$C20:$K20,Z$3)=0)*(COUNTIFS($C$3:$K$3,"POM",$C20:$K20,Z$3)=0)*(COUNTIFS($C$3:$K$3,"SERA",$C20:$K20,Z$3)=0)*(COUNTIFS($C$3:$K$3,"NOTTE",$C20:$K20,Z$3)=0),"_n","")&amp;", ")))</f>
        <v>ELSA, </v>
      </c>
      <c r="BF20" s="10" t="str">
        <f aca="false">IF((AA20="X")+(AA20="F")&gt;0,"",IF(((AA20&lt;&gt;"Xm")*(COUNTIFS($C$3:$K$3,"MAT",$C20:$K20,AA$3)=0)*(COUNTIFS($C$3:$K$3,"NOTTE",$C20:$K20,AA$3)=0))+((AA20&lt;&gt;"Xp")*(COUNTIFS($C$3:$K$3,"POM",$C20:$K20,AA$3)=0)*(COUNTIFS($C$3:$K$3,"NOTTE",$C20:$K20,AA$3)=0))+((AA20&lt;&gt;"Xs")*(AA20&lt;&gt;"Cs")*(COUNTIFS($C$3:$K$3,"SERA",$C20:$K20,AA$3)=0)*(COUNTIFS($C$3:$K$3,"NOTTE",$C20:$K20,AA$3)=0))+((AA20&lt;&gt;"Xn")*(COUNTIFS($C$3:$K$3,"MAT",$C20:$K20,AA$3)=0)*(COUNTIFS($C$3:$K$3,"POM",$C20:$K20,AA$3)=0)*(COUNTIFS($C$3:$K$3,"SERA",$C20:$K20,AA$3)=0)*(COUNTIFS($C$3:$K$3,"NOTTE",$C20:$K20,AA$3)=0))=0,"",IF(((AA20&lt;&gt;"Xm")*(COUNTIFS($C$3:$K$3,"MAT",$C20:$K20,AA$3)=0)*(COUNTIFS($C$3:$K$3,"NOTTE",$C20:$K20,AA$3)=0))+((AA20&lt;&gt;"Xp")*(COUNTIFS($C$3:$K$3,"POM",$C20:$K20,AA$3)=0)*(COUNTIFS($C$3:$K$3,"NOTTE",$C20:$K20,AA$3)=0))+((AA20&lt;&gt;"Xs")*(AA20&lt;&gt;"Cs")*(COUNTIFS($C$3:$K$3,"SERA",$C20:$K20,AA$3)=0)*(COUNTIFS($C$3:$K$3,"NOTTE",$C20:$K20,AA$3)=0))+((AA20&lt;&gt;"Xn")*(COUNTIFS($C$3:$K$3,"MAT",$C20:$K20,AA$3)=0)*(COUNTIFS($C$3:$K$3,"POM",$C20:$K20,AA$3)=0)*(COUNTIFS($C$3:$K$3,"SERA",$C20:$K20,AA$3)=0)*(COUNTIFS($C$3:$K$3,"NOTTE",$C20:$K20,AA$3)=0))=4,AA$3&amp;", ",AA$3&amp;IF((AA20&lt;&gt;"Xm")*(COUNTIFS($C$3:$K$3,"MAT",$C20:$K20,AA$3)=0)*(COUNTIFS($C$3:$K$3,"NOTTE",$C20:$K20,AA$3)=0),"_m","")&amp;IF((AA20&lt;&gt;"Xp")*(COUNTIFS($C$3:$K$3,"POM",$C20:$K20,AA$3)=0)*(COUNTIFS($C$3:$K$3,"NOTTE",$C20:$K20,AA$3)=0),"_p","")&amp;IF((AA20&lt;&gt;"Xs")*(AA20&lt;&gt;"Cs")*(COUNTIFS($C$3:$K$3,"SERA",$C20:$K20,AA$3)=0)*(COUNTIFS($C$3:$K$3,"NOTTE",$C20:$K20,AA$3)=0),"_s","")&amp;IF((AA20&lt;&gt;"Xn")*(COUNTIFS($C$3:$K$3,"MAT",$C20:$K20,AA$3)=0)*(COUNTIFS($C$3:$K$3,"POM",$C20:$K20,AA$3)=0)*(COUNTIFS($C$3:$K$3,"SERA",$C20:$K20,AA$3)=0)*(COUNTIFS($C$3:$K$3,"NOTTE",$C20:$K20,AA$3)=0),"_n","")&amp;", ")))</f>
        <v>FABIO, </v>
      </c>
    </row>
    <row r="21" customFormat="false" ht="15" hidden="false" customHeight="false" outlineLevel="0" collapsed="false">
      <c r="A21" s="4" t="str">
        <f aca="false">CHOOSE(WEEKDAY(DATE($B$1,$A$2,B21),2),"lunedì","martedì","mercoledì","giovedì","venerdì","sabato","domenica")</f>
        <v>giovedì</v>
      </c>
      <c r="B21" s="4" t="n">
        <v>18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 t="str">
        <f aca="false">IF(SUMPRODUCT(($C$3:$K$3&lt;&gt;"")*($C21:$K21&lt;&gt;"")*(COUNTIFS($C21:$K21,$C21:$K21,$C$3:$K$3,$C$3:$K$3)&gt;1))&gt;0,"X","")</f>
        <v/>
      </c>
      <c r="N21" s="5" t="str">
        <f aca="false">IF(LEN(AT21&amp;AU21&amp;AV21&amp;AW21&amp;AX21&amp;AY21)=0,"",LEFT(AT21&amp;AU21&amp;AV21&amp;AW21&amp;AX21&amp;AY21,LEN(AT21&amp;AU21&amp;AV21&amp;AW21&amp;AX21&amp;AY21)-2))</f>
        <v>ALBA, BRUNO, CARLA, DINO, ELSA, FABIO</v>
      </c>
      <c r="O21" s="5" t="str">
        <f aca="false">IF(LEN(BA21&amp;BB21&amp;BC21&amp;BD21&amp;BE21&amp;BF21)=0,"",LEFT(BA21&amp;BB21&amp;BC21&amp;BD21&amp;BE21&amp;BF21,LEN(BA21&amp;BB21&amp;BC21&amp;BD21&amp;BE21&amp;BF21)-2))</f>
        <v>ALBA, BRUNO, CARLA, DINO, ELSA, FABIO</v>
      </c>
      <c r="T21" s="4" t="str">
        <f aca="false">A21</f>
        <v>giovedì</v>
      </c>
      <c r="U21" s="4" t="n">
        <f aca="false">B21</f>
        <v>18</v>
      </c>
      <c r="V21" s="5"/>
      <c r="W21" s="5"/>
      <c r="X21" s="5"/>
      <c r="Y21" s="5"/>
      <c r="Z21" s="5"/>
      <c r="AA21" s="5"/>
      <c r="AT21" s="10" t="str">
        <f aca="false">IF((V21="X")+(V21="F")&gt;0,"",IF(((V21&lt;&gt;"Xm"))+((V21&lt;&gt;"Xp"))+((V21&lt;&gt;"Xs")*(V21&lt;&gt;"Cs"))+((V21&lt;&gt;"Xn"))=0,"",IF(((V21&lt;&gt;"Xm"))+((V21&lt;&gt;"Xp"))+((V21&lt;&gt;"Xs")*(V21&lt;&gt;"Cs"))+((V21&lt;&gt;"Xn"))=4,V$3&amp;", ",V$3&amp;IF((V21&lt;&gt;"Xm"),"_m","")&amp;IF((V21&lt;&gt;"Xp"),"_p","")&amp;IF((V21&lt;&gt;"Xs")*(V21&lt;&gt;"Cs"),"_s","")&amp;IF((V21&lt;&gt;"Xn"),"_n","")&amp;", ")))</f>
        <v>ALBA, </v>
      </c>
      <c r="AU21" s="10" t="str">
        <f aca="false">IF((W21="X")+(W21="F")&gt;0,"",IF(((W21&lt;&gt;"Xm"))+((W21&lt;&gt;"Xp"))+((W21&lt;&gt;"Xs")*(W21&lt;&gt;"Cs"))+((W21&lt;&gt;"Xn"))=0,"",IF(((W21&lt;&gt;"Xm"))+((W21&lt;&gt;"Xp"))+((W21&lt;&gt;"Xs")*(W21&lt;&gt;"Cs"))+((W21&lt;&gt;"Xn"))=4,W$3&amp;", ",W$3&amp;IF((W21&lt;&gt;"Xm"),"_m","")&amp;IF((W21&lt;&gt;"Xp"),"_p","")&amp;IF((W21&lt;&gt;"Xs")*(W21&lt;&gt;"Cs"),"_s","")&amp;IF((W21&lt;&gt;"Xn"),"_n","")&amp;", ")))</f>
        <v>BRUNO, </v>
      </c>
      <c r="AV21" s="10" t="str">
        <f aca="false">IF((X21="X")+(X21="F")&gt;0,"",IF(((X21&lt;&gt;"Xm"))+((X21&lt;&gt;"Xp"))+((X21&lt;&gt;"Xs")*(X21&lt;&gt;"Cs"))+((X21&lt;&gt;"Xn"))=0,"",IF(((X21&lt;&gt;"Xm"))+((X21&lt;&gt;"Xp"))+((X21&lt;&gt;"Xs")*(X21&lt;&gt;"Cs"))+((X21&lt;&gt;"Xn"))=4,X$3&amp;", ",X$3&amp;IF((X21&lt;&gt;"Xm"),"_m","")&amp;IF((X21&lt;&gt;"Xp"),"_p","")&amp;IF((X21&lt;&gt;"Xs")*(X21&lt;&gt;"Cs"),"_s","")&amp;IF((X21&lt;&gt;"Xn"),"_n","")&amp;", ")))</f>
        <v>CARLA, </v>
      </c>
      <c r="AW21" s="10" t="str">
        <f aca="false">IF((Y21="X")+(Y21="F")&gt;0,"",IF(((Y21&lt;&gt;"Xm"))+((Y21&lt;&gt;"Xp"))+((Y21&lt;&gt;"Xs")*(Y21&lt;&gt;"Cs"))+((Y21&lt;&gt;"Xn"))=0,"",IF(((Y21&lt;&gt;"Xm"))+((Y21&lt;&gt;"Xp"))+((Y21&lt;&gt;"Xs")*(Y21&lt;&gt;"Cs"))+((Y21&lt;&gt;"Xn"))=4,Y$3&amp;", ",Y$3&amp;IF((Y21&lt;&gt;"Xm"),"_m","")&amp;IF((Y21&lt;&gt;"Xp"),"_p","")&amp;IF((Y21&lt;&gt;"Xs")*(Y21&lt;&gt;"Cs"),"_s","")&amp;IF((Y21&lt;&gt;"Xn"),"_n","")&amp;", ")))</f>
        <v>DINO, </v>
      </c>
      <c r="AX21" s="10" t="str">
        <f aca="false">IF((Z21="X")+(Z21="F")&gt;0,"",IF(((Z21&lt;&gt;"Xm"))+((Z21&lt;&gt;"Xp"))+((Z21&lt;&gt;"Xs")*(Z21&lt;&gt;"Cs"))+((Z21&lt;&gt;"Xn"))=0,"",IF(((Z21&lt;&gt;"Xm"))+((Z21&lt;&gt;"Xp"))+((Z21&lt;&gt;"Xs")*(Z21&lt;&gt;"Cs"))+((Z21&lt;&gt;"Xn"))=4,Z$3&amp;", ",Z$3&amp;IF((Z21&lt;&gt;"Xm"),"_m","")&amp;IF((Z21&lt;&gt;"Xp"),"_p","")&amp;IF((Z21&lt;&gt;"Xs")*(Z21&lt;&gt;"Cs"),"_s","")&amp;IF((Z21&lt;&gt;"Xn"),"_n","")&amp;", ")))</f>
        <v>ELSA, </v>
      </c>
      <c r="AY21" s="10" t="str">
        <f aca="false">IF((AA21="X")+(AA21="F")&gt;0,"",IF(((AA21&lt;&gt;"Xm"))+((AA21&lt;&gt;"Xp"))+((AA21&lt;&gt;"Xs")*(AA21&lt;&gt;"Cs"))+((AA21&lt;&gt;"Xn"))=0,"",IF(((AA21&lt;&gt;"Xm"))+((AA21&lt;&gt;"Xp"))+((AA21&lt;&gt;"Xs")*(AA21&lt;&gt;"Cs"))+((AA21&lt;&gt;"Xn"))=4,AA$3&amp;", ",AA$3&amp;IF((AA21&lt;&gt;"Xm"),"_m","")&amp;IF((AA21&lt;&gt;"Xp"),"_p","")&amp;IF((AA21&lt;&gt;"Xs")*(AA21&lt;&gt;"Cs"),"_s","")&amp;IF((AA21&lt;&gt;"Xn"),"_n","")&amp;", ")))</f>
        <v>FABIO, </v>
      </c>
      <c r="AZ21" s="10"/>
      <c r="BA21" s="10" t="str">
        <f aca="false">IF((V21="X")+(V21="F")&gt;0,"",IF(((V21&lt;&gt;"Xm")*(COUNTIFS($C$3:$K$3,"MAT",$C21:$K21,V$3)=0)*(COUNTIFS($C$3:$K$3,"NOTTE",$C21:$K21,V$3)=0))+((V21&lt;&gt;"Xp")*(COUNTIFS($C$3:$K$3,"POM",$C21:$K21,V$3)=0)*(COUNTIFS($C$3:$K$3,"NOTTE",$C21:$K21,V$3)=0))+((V21&lt;&gt;"Xs")*(V21&lt;&gt;"Cs")*(COUNTIFS($C$3:$K$3,"SERA",$C21:$K21,V$3)=0)*(COUNTIFS($C$3:$K$3,"NOTTE",$C21:$K21,V$3)=0))+((V21&lt;&gt;"Xn")*(COUNTIFS($C$3:$K$3,"MAT",$C21:$K21,V$3)=0)*(COUNTIFS($C$3:$K$3,"POM",$C21:$K21,V$3)=0)*(COUNTIFS($C$3:$K$3,"SERA",$C21:$K21,V$3)=0)*(COUNTIFS($C$3:$K$3,"NOTTE",$C21:$K21,V$3)=0))=0,"",IF(((V21&lt;&gt;"Xm")*(COUNTIFS($C$3:$K$3,"MAT",$C21:$K21,V$3)=0)*(COUNTIFS($C$3:$K$3,"NOTTE",$C21:$K21,V$3)=0))+((V21&lt;&gt;"Xp")*(COUNTIFS($C$3:$K$3,"POM",$C21:$K21,V$3)=0)*(COUNTIFS($C$3:$K$3,"NOTTE",$C21:$K21,V$3)=0))+((V21&lt;&gt;"Xs")*(V21&lt;&gt;"Cs")*(COUNTIFS($C$3:$K$3,"SERA",$C21:$K21,V$3)=0)*(COUNTIFS($C$3:$K$3,"NOTTE",$C21:$K21,V$3)=0))+((V21&lt;&gt;"Xn")*(COUNTIFS($C$3:$K$3,"MAT",$C21:$K21,V$3)=0)*(COUNTIFS($C$3:$K$3,"POM",$C21:$K21,V$3)=0)*(COUNTIFS($C$3:$K$3,"SERA",$C21:$K21,V$3)=0)*(COUNTIFS($C$3:$K$3,"NOTTE",$C21:$K21,V$3)=0))=4,V$3&amp;", ",V$3&amp;IF((V21&lt;&gt;"Xm")*(COUNTIFS($C$3:$K$3,"MAT",$C21:$K21,V$3)=0)*(COUNTIFS($C$3:$K$3,"NOTTE",$C21:$K21,V$3)=0),"_m","")&amp;IF((V21&lt;&gt;"Xp")*(COUNTIFS($C$3:$K$3,"POM",$C21:$K21,V$3)=0)*(COUNTIFS($C$3:$K$3,"NOTTE",$C21:$K21,V$3)=0),"_p","")&amp;IF((V21&lt;&gt;"Xs")*(V21&lt;&gt;"Cs")*(COUNTIFS($C$3:$K$3,"SERA",$C21:$K21,V$3)=0)*(COUNTIFS($C$3:$K$3,"NOTTE",$C21:$K21,V$3)=0),"_s","")&amp;IF((V21&lt;&gt;"Xn")*(COUNTIFS($C$3:$K$3,"MAT",$C21:$K21,V$3)=0)*(COUNTIFS($C$3:$K$3,"POM",$C21:$K21,V$3)=0)*(COUNTIFS($C$3:$K$3,"SERA",$C21:$K21,V$3)=0)*(COUNTIFS($C$3:$K$3,"NOTTE",$C21:$K21,V$3)=0),"_n","")&amp;", ")))</f>
        <v>ALBA, </v>
      </c>
      <c r="BB21" s="10" t="str">
        <f aca="false">IF((W21="X")+(W21="F")&gt;0,"",IF(((W21&lt;&gt;"Xm")*(COUNTIFS($C$3:$K$3,"MAT",$C21:$K21,W$3)=0)*(COUNTIFS($C$3:$K$3,"NOTTE",$C21:$K21,W$3)=0))+((W21&lt;&gt;"Xp")*(COUNTIFS($C$3:$K$3,"POM",$C21:$K21,W$3)=0)*(COUNTIFS($C$3:$K$3,"NOTTE",$C21:$K21,W$3)=0))+((W21&lt;&gt;"Xs")*(W21&lt;&gt;"Cs")*(COUNTIFS($C$3:$K$3,"SERA",$C21:$K21,W$3)=0)*(COUNTIFS($C$3:$K$3,"NOTTE",$C21:$K21,W$3)=0))+((W21&lt;&gt;"Xn")*(COUNTIFS($C$3:$K$3,"MAT",$C21:$K21,W$3)=0)*(COUNTIFS($C$3:$K$3,"POM",$C21:$K21,W$3)=0)*(COUNTIFS($C$3:$K$3,"SERA",$C21:$K21,W$3)=0)*(COUNTIFS($C$3:$K$3,"NOTTE",$C21:$K21,W$3)=0))=0,"",IF(((W21&lt;&gt;"Xm")*(COUNTIFS($C$3:$K$3,"MAT",$C21:$K21,W$3)=0)*(COUNTIFS($C$3:$K$3,"NOTTE",$C21:$K21,W$3)=0))+((W21&lt;&gt;"Xp")*(COUNTIFS($C$3:$K$3,"POM",$C21:$K21,W$3)=0)*(COUNTIFS($C$3:$K$3,"NOTTE",$C21:$K21,W$3)=0))+((W21&lt;&gt;"Xs")*(W21&lt;&gt;"Cs")*(COUNTIFS($C$3:$K$3,"SERA",$C21:$K21,W$3)=0)*(COUNTIFS($C$3:$K$3,"NOTTE",$C21:$K21,W$3)=0))+((W21&lt;&gt;"Xn")*(COUNTIFS($C$3:$K$3,"MAT",$C21:$K21,W$3)=0)*(COUNTIFS($C$3:$K$3,"POM",$C21:$K21,W$3)=0)*(COUNTIFS($C$3:$K$3,"SERA",$C21:$K21,W$3)=0)*(COUNTIFS($C$3:$K$3,"NOTTE",$C21:$K21,W$3)=0))=4,W$3&amp;", ",W$3&amp;IF((W21&lt;&gt;"Xm")*(COUNTIFS($C$3:$K$3,"MAT",$C21:$K21,W$3)=0)*(COUNTIFS($C$3:$K$3,"NOTTE",$C21:$K21,W$3)=0),"_m","")&amp;IF((W21&lt;&gt;"Xp")*(COUNTIFS($C$3:$K$3,"POM",$C21:$K21,W$3)=0)*(COUNTIFS($C$3:$K$3,"NOTTE",$C21:$K21,W$3)=0),"_p","")&amp;IF((W21&lt;&gt;"Xs")*(W21&lt;&gt;"Cs")*(COUNTIFS($C$3:$K$3,"SERA",$C21:$K21,W$3)=0)*(COUNTIFS($C$3:$K$3,"NOTTE",$C21:$K21,W$3)=0),"_s","")&amp;IF((W21&lt;&gt;"Xn")*(COUNTIFS($C$3:$K$3,"MAT",$C21:$K21,W$3)=0)*(COUNTIFS($C$3:$K$3,"POM",$C21:$K21,W$3)=0)*(COUNTIFS($C$3:$K$3,"SERA",$C21:$K21,W$3)=0)*(COUNTIFS($C$3:$K$3,"NOTTE",$C21:$K21,W$3)=0),"_n","")&amp;", ")))</f>
        <v>BRUNO, </v>
      </c>
      <c r="BC21" s="10" t="str">
        <f aca="false">IF((X21="X")+(X21="F")&gt;0,"",IF(((X21&lt;&gt;"Xm")*(COUNTIFS($C$3:$K$3,"MAT",$C21:$K21,X$3)=0)*(COUNTIFS($C$3:$K$3,"NOTTE",$C21:$K21,X$3)=0))+((X21&lt;&gt;"Xp")*(COUNTIFS($C$3:$K$3,"POM",$C21:$K21,X$3)=0)*(COUNTIFS($C$3:$K$3,"NOTTE",$C21:$K21,X$3)=0))+((X21&lt;&gt;"Xs")*(X21&lt;&gt;"Cs")*(COUNTIFS($C$3:$K$3,"SERA",$C21:$K21,X$3)=0)*(COUNTIFS($C$3:$K$3,"NOTTE",$C21:$K21,X$3)=0))+((X21&lt;&gt;"Xn")*(COUNTIFS($C$3:$K$3,"MAT",$C21:$K21,X$3)=0)*(COUNTIFS($C$3:$K$3,"POM",$C21:$K21,X$3)=0)*(COUNTIFS($C$3:$K$3,"SERA",$C21:$K21,X$3)=0)*(COUNTIFS($C$3:$K$3,"NOTTE",$C21:$K21,X$3)=0))=0,"",IF(((X21&lt;&gt;"Xm")*(COUNTIFS($C$3:$K$3,"MAT",$C21:$K21,X$3)=0)*(COUNTIFS($C$3:$K$3,"NOTTE",$C21:$K21,X$3)=0))+((X21&lt;&gt;"Xp")*(COUNTIFS($C$3:$K$3,"POM",$C21:$K21,X$3)=0)*(COUNTIFS($C$3:$K$3,"NOTTE",$C21:$K21,X$3)=0))+((X21&lt;&gt;"Xs")*(X21&lt;&gt;"Cs")*(COUNTIFS($C$3:$K$3,"SERA",$C21:$K21,X$3)=0)*(COUNTIFS($C$3:$K$3,"NOTTE",$C21:$K21,X$3)=0))+((X21&lt;&gt;"Xn")*(COUNTIFS($C$3:$K$3,"MAT",$C21:$K21,X$3)=0)*(COUNTIFS($C$3:$K$3,"POM",$C21:$K21,X$3)=0)*(COUNTIFS($C$3:$K$3,"SERA",$C21:$K21,X$3)=0)*(COUNTIFS($C$3:$K$3,"NOTTE",$C21:$K21,X$3)=0))=4,X$3&amp;", ",X$3&amp;IF((X21&lt;&gt;"Xm")*(COUNTIFS($C$3:$K$3,"MAT",$C21:$K21,X$3)=0)*(COUNTIFS($C$3:$K$3,"NOTTE",$C21:$K21,X$3)=0),"_m","")&amp;IF((X21&lt;&gt;"Xp")*(COUNTIFS($C$3:$K$3,"POM",$C21:$K21,X$3)=0)*(COUNTIFS($C$3:$K$3,"NOTTE",$C21:$K21,X$3)=0),"_p","")&amp;IF((X21&lt;&gt;"Xs")*(X21&lt;&gt;"Cs")*(COUNTIFS($C$3:$K$3,"SERA",$C21:$K21,X$3)=0)*(COUNTIFS($C$3:$K$3,"NOTTE",$C21:$K21,X$3)=0),"_s","")&amp;IF((X21&lt;&gt;"Xn")*(COUNTIFS($C$3:$K$3,"MAT",$C21:$K21,X$3)=0)*(COUNTIFS($C$3:$K$3,"POM",$C21:$K21,X$3)=0)*(COUNTIFS($C$3:$K$3,"SERA",$C21:$K21,X$3)=0)*(COUNTIFS($C$3:$K$3,"NOTTE",$C21:$K21,X$3)=0),"_n","")&amp;", ")))</f>
        <v>CARLA, </v>
      </c>
      <c r="BD21" s="10" t="str">
        <f aca="false">IF((Y21="X")+(Y21="F")&gt;0,"",IF(((Y21&lt;&gt;"Xm")*(COUNTIFS($C$3:$K$3,"MAT",$C21:$K21,Y$3)=0)*(COUNTIFS($C$3:$K$3,"NOTTE",$C21:$K21,Y$3)=0))+((Y21&lt;&gt;"Xp")*(COUNTIFS($C$3:$K$3,"POM",$C21:$K21,Y$3)=0)*(COUNTIFS($C$3:$K$3,"NOTTE",$C21:$K21,Y$3)=0))+((Y21&lt;&gt;"Xs")*(Y21&lt;&gt;"Cs")*(COUNTIFS($C$3:$K$3,"SERA",$C21:$K21,Y$3)=0)*(COUNTIFS($C$3:$K$3,"NOTTE",$C21:$K21,Y$3)=0))+((Y21&lt;&gt;"Xn")*(COUNTIFS($C$3:$K$3,"MAT",$C21:$K21,Y$3)=0)*(COUNTIFS($C$3:$K$3,"POM",$C21:$K21,Y$3)=0)*(COUNTIFS($C$3:$K$3,"SERA",$C21:$K21,Y$3)=0)*(COUNTIFS($C$3:$K$3,"NOTTE",$C21:$K21,Y$3)=0))=0,"",IF(((Y21&lt;&gt;"Xm")*(COUNTIFS($C$3:$K$3,"MAT",$C21:$K21,Y$3)=0)*(COUNTIFS($C$3:$K$3,"NOTTE",$C21:$K21,Y$3)=0))+((Y21&lt;&gt;"Xp")*(COUNTIFS($C$3:$K$3,"POM",$C21:$K21,Y$3)=0)*(COUNTIFS($C$3:$K$3,"NOTTE",$C21:$K21,Y$3)=0))+((Y21&lt;&gt;"Xs")*(Y21&lt;&gt;"Cs")*(COUNTIFS($C$3:$K$3,"SERA",$C21:$K21,Y$3)=0)*(COUNTIFS($C$3:$K$3,"NOTTE",$C21:$K21,Y$3)=0))+((Y21&lt;&gt;"Xn")*(COUNTIFS($C$3:$K$3,"MAT",$C21:$K21,Y$3)=0)*(COUNTIFS($C$3:$K$3,"POM",$C21:$K21,Y$3)=0)*(COUNTIFS($C$3:$K$3,"SERA",$C21:$K21,Y$3)=0)*(COUNTIFS($C$3:$K$3,"NOTTE",$C21:$K21,Y$3)=0))=4,Y$3&amp;", ",Y$3&amp;IF((Y21&lt;&gt;"Xm")*(COUNTIFS($C$3:$K$3,"MAT",$C21:$K21,Y$3)=0)*(COUNTIFS($C$3:$K$3,"NOTTE",$C21:$K21,Y$3)=0),"_m","")&amp;IF((Y21&lt;&gt;"Xp")*(COUNTIFS($C$3:$K$3,"POM",$C21:$K21,Y$3)=0)*(COUNTIFS($C$3:$K$3,"NOTTE",$C21:$K21,Y$3)=0),"_p","")&amp;IF((Y21&lt;&gt;"Xs")*(Y21&lt;&gt;"Cs")*(COUNTIFS($C$3:$K$3,"SERA",$C21:$K21,Y$3)=0)*(COUNTIFS($C$3:$K$3,"NOTTE",$C21:$K21,Y$3)=0),"_s","")&amp;IF((Y21&lt;&gt;"Xn")*(COUNTIFS($C$3:$K$3,"MAT",$C21:$K21,Y$3)=0)*(COUNTIFS($C$3:$K$3,"POM",$C21:$K21,Y$3)=0)*(COUNTIFS($C$3:$K$3,"SERA",$C21:$K21,Y$3)=0)*(COUNTIFS($C$3:$K$3,"NOTTE",$C21:$K21,Y$3)=0),"_n","")&amp;", ")))</f>
        <v>DINO, </v>
      </c>
      <c r="BE21" s="10" t="str">
        <f aca="false">IF((Z21="X")+(Z21="F")&gt;0,"",IF(((Z21&lt;&gt;"Xm")*(COUNTIFS($C$3:$K$3,"MAT",$C21:$K21,Z$3)=0)*(COUNTIFS($C$3:$K$3,"NOTTE",$C21:$K21,Z$3)=0))+((Z21&lt;&gt;"Xp")*(COUNTIFS($C$3:$K$3,"POM",$C21:$K21,Z$3)=0)*(COUNTIFS($C$3:$K$3,"NOTTE",$C21:$K21,Z$3)=0))+((Z21&lt;&gt;"Xs")*(Z21&lt;&gt;"Cs")*(COUNTIFS($C$3:$K$3,"SERA",$C21:$K21,Z$3)=0)*(COUNTIFS($C$3:$K$3,"NOTTE",$C21:$K21,Z$3)=0))+((Z21&lt;&gt;"Xn")*(COUNTIFS($C$3:$K$3,"MAT",$C21:$K21,Z$3)=0)*(COUNTIFS($C$3:$K$3,"POM",$C21:$K21,Z$3)=0)*(COUNTIFS($C$3:$K$3,"SERA",$C21:$K21,Z$3)=0)*(COUNTIFS($C$3:$K$3,"NOTTE",$C21:$K21,Z$3)=0))=0,"",IF(((Z21&lt;&gt;"Xm")*(COUNTIFS($C$3:$K$3,"MAT",$C21:$K21,Z$3)=0)*(COUNTIFS($C$3:$K$3,"NOTTE",$C21:$K21,Z$3)=0))+((Z21&lt;&gt;"Xp")*(COUNTIFS($C$3:$K$3,"POM",$C21:$K21,Z$3)=0)*(COUNTIFS($C$3:$K$3,"NOTTE",$C21:$K21,Z$3)=0))+((Z21&lt;&gt;"Xs")*(Z21&lt;&gt;"Cs")*(COUNTIFS($C$3:$K$3,"SERA",$C21:$K21,Z$3)=0)*(COUNTIFS($C$3:$K$3,"NOTTE",$C21:$K21,Z$3)=0))+((Z21&lt;&gt;"Xn")*(COUNTIFS($C$3:$K$3,"MAT",$C21:$K21,Z$3)=0)*(COUNTIFS($C$3:$K$3,"POM",$C21:$K21,Z$3)=0)*(COUNTIFS($C$3:$K$3,"SERA",$C21:$K21,Z$3)=0)*(COUNTIFS($C$3:$K$3,"NOTTE",$C21:$K21,Z$3)=0))=4,Z$3&amp;", ",Z$3&amp;IF((Z21&lt;&gt;"Xm")*(COUNTIFS($C$3:$K$3,"MAT",$C21:$K21,Z$3)=0)*(COUNTIFS($C$3:$K$3,"NOTTE",$C21:$K21,Z$3)=0),"_m","")&amp;IF((Z21&lt;&gt;"Xp")*(COUNTIFS($C$3:$K$3,"POM",$C21:$K21,Z$3)=0)*(COUNTIFS($C$3:$K$3,"NOTTE",$C21:$K21,Z$3)=0),"_p","")&amp;IF((Z21&lt;&gt;"Xs")*(Z21&lt;&gt;"Cs")*(COUNTIFS($C$3:$K$3,"SERA",$C21:$K21,Z$3)=0)*(COUNTIFS($C$3:$K$3,"NOTTE",$C21:$K21,Z$3)=0),"_s","")&amp;IF((Z21&lt;&gt;"Xn")*(COUNTIFS($C$3:$K$3,"MAT",$C21:$K21,Z$3)=0)*(COUNTIFS($C$3:$K$3,"POM",$C21:$K21,Z$3)=0)*(COUNTIFS($C$3:$K$3,"SERA",$C21:$K21,Z$3)=0)*(COUNTIFS($C$3:$K$3,"NOTTE",$C21:$K21,Z$3)=0),"_n","")&amp;", ")))</f>
        <v>ELSA, </v>
      </c>
      <c r="BF21" s="10" t="str">
        <f aca="false">IF((AA21="X")+(AA21="F")&gt;0,"",IF(((AA21&lt;&gt;"Xm")*(COUNTIFS($C$3:$K$3,"MAT",$C21:$K21,AA$3)=0)*(COUNTIFS($C$3:$K$3,"NOTTE",$C21:$K21,AA$3)=0))+((AA21&lt;&gt;"Xp")*(COUNTIFS($C$3:$K$3,"POM",$C21:$K21,AA$3)=0)*(COUNTIFS($C$3:$K$3,"NOTTE",$C21:$K21,AA$3)=0))+((AA21&lt;&gt;"Xs")*(AA21&lt;&gt;"Cs")*(COUNTIFS($C$3:$K$3,"SERA",$C21:$K21,AA$3)=0)*(COUNTIFS($C$3:$K$3,"NOTTE",$C21:$K21,AA$3)=0))+((AA21&lt;&gt;"Xn")*(COUNTIFS($C$3:$K$3,"MAT",$C21:$K21,AA$3)=0)*(COUNTIFS($C$3:$K$3,"POM",$C21:$K21,AA$3)=0)*(COUNTIFS($C$3:$K$3,"SERA",$C21:$K21,AA$3)=0)*(COUNTIFS($C$3:$K$3,"NOTTE",$C21:$K21,AA$3)=0))=0,"",IF(((AA21&lt;&gt;"Xm")*(COUNTIFS($C$3:$K$3,"MAT",$C21:$K21,AA$3)=0)*(COUNTIFS($C$3:$K$3,"NOTTE",$C21:$K21,AA$3)=0))+((AA21&lt;&gt;"Xp")*(COUNTIFS($C$3:$K$3,"POM",$C21:$K21,AA$3)=0)*(COUNTIFS($C$3:$K$3,"NOTTE",$C21:$K21,AA$3)=0))+((AA21&lt;&gt;"Xs")*(AA21&lt;&gt;"Cs")*(COUNTIFS($C$3:$K$3,"SERA",$C21:$K21,AA$3)=0)*(COUNTIFS($C$3:$K$3,"NOTTE",$C21:$K21,AA$3)=0))+((AA21&lt;&gt;"Xn")*(COUNTIFS($C$3:$K$3,"MAT",$C21:$K21,AA$3)=0)*(COUNTIFS($C$3:$K$3,"POM",$C21:$K21,AA$3)=0)*(COUNTIFS($C$3:$K$3,"SERA",$C21:$K21,AA$3)=0)*(COUNTIFS($C$3:$K$3,"NOTTE",$C21:$K21,AA$3)=0))=4,AA$3&amp;", ",AA$3&amp;IF((AA21&lt;&gt;"Xm")*(COUNTIFS($C$3:$K$3,"MAT",$C21:$K21,AA$3)=0)*(COUNTIFS($C$3:$K$3,"NOTTE",$C21:$K21,AA$3)=0),"_m","")&amp;IF((AA21&lt;&gt;"Xp")*(COUNTIFS($C$3:$K$3,"POM",$C21:$K21,AA$3)=0)*(COUNTIFS($C$3:$K$3,"NOTTE",$C21:$K21,AA$3)=0),"_p","")&amp;IF((AA21&lt;&gt;"Xs")*(AA21&lt;&gt;"Cs")*(COUNTIFS($C$3:$K$3,"SERA",$C21:$K21,AA$3)=0)*(COUNTIFS($C$3:$K$3,"NOTTE",$C21:$K21,AA$3)=0),"_s","")&amp;IF((AA21&lt;&gt;"Xn")*(COUNTIFS($C$3:$K$3,"MAT",$C21:$K21,AA$3)=0)*(COUNTIFS($C$3:$K$3,"POM",$C21:$K21,AA$3)=0)*(COUNTIFS($C$3:$K$3,"SERA",$C21:$K21,AA$3)=0)*(COUNTIFS($C$3:$K$3,"NOTTE",$C21:$K21,AA$3)=0),"_n","")&amp;", ")))</f>
        <v>FABIO, </v>
      </c>
    </row>
    <row r="22" customFormat="false" ht="15" hidden="false" customHeight="false" outlineLevel="0" collapsed="false">
      <c r="A22" s="4" t="str">
        <f aca="false">CHOOSE(WEEKDAY(DATE($B$1,$A$2,B22),2),"lunedì","martedì","mercoledì","giovedì","venerdì","sabato","domenica")</f>
        <v>venerdì</v>
      </c>
      <c r="B22" s="4" t="n">
        <v>19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 t="str">
        <f aca="false">IF(SUMPRODUCT(($C$3:$K$3&lt;&gt;"")*($C22:$K22&lt;&gt;"")*(COUNTIFS($C22:$K22,$C22:$K22,$C$3:$K$3,$C$3:$K$3)&gt;1))&gt;0,"X","")</f>
        <v/>
      </c>
      <c r="N22" s="5" t="str">
        <f aca="false">IF(LEN(AT22&amp;AU22&amp;AV22&amp;AW22&amp;AX22&amp;AY22)=0,"",LEFT(AT22&amp;AU22&amp;AV22&amp;AW22&amp;AX22&amp;AY22,LEN(AT22&amp;AU22&amp;AV22&amp;AW22&amp;AX22&amp;AY22)-2))</f>
        <v>ALBA, BRUNO, CARLA, DINO, ELSA, FABIO</v>
      </c>
      <c r="O22" s="5" t="str">
        <f aca="false">IF(LEN(BA22&amp;BB22&amp;BC22&amp;BD22&amp;BE22&amp;BF22)=0,"",LEFT(BA22&amp;BB22&amp;BC22&amp;BD22&amp;BE22&amp;BF22,LEN(BA22&amp;BB22&amp;BC22&amp;BD22&amp;BE22&amp;BF22)-2))</f>
        <v>ALBA, BRUNO, CARLA, DINO, ELSA, FABIO</v>
      </c>
      <c r="T22" s="4" t="str">
        <f aca="false">A22</f>
        <v>venerdì</v>
      </c>
      <c r="U22" s="4" t="n">
        <f aca="false">B22</f>
        <v>19</v>
      </c>
      <c r="V22" s="5"/>
      <c r="W22" s="5"/>
      <c r="X22" s="5"/>
      <c r="Y22" s="5"/>
      <c r="Z22" s="5"/>
      <c r="AA22" s="5"/>
      <c r="AT22" s="10" t="str">
        <f aca="false">IF((V22="X")+(V22="F")&gt;0,"",IF(((V22&lt;&gt;"Xm"))+((V22&lt;&gt;"Xp"))+((V22&lt;&gt;"Xs")*(V22&lt;&gt;"Cs"))+((V22&lt;&gt;"Xn"))=0,"",IF(((V22&lt;&gt;"Xm"))+((V22&lt;&gt;"Xp"))+((V22&lt;&gt;"Xs")*(V22&lt;&gt;"Cs"))+((V22&lt;&gt;"Xn"))=4,V$3&amp;", ",V$3&amp;IF((V22&lt;&gt;"Xm"),"_m","")&amp;IF((V22&lt;&gt;"Xp"),"_p","")&amp;IF((V22&lt;&gt;"Xs")*(V22&lt;&gt;"Cs"),"_s","")&amp;IF((V22&lt;&gt;"Xn"),"_n","")&amp;", ")))</f>
        <v>ALBA, </v>
      </c>
      <c r="AU22" s="10" t="str">
        <f aca="false">IF((W22="X")+(W22="F")&gt;0,"",IF(((W22&lt;&gt;"Xm"))+((W22&lt;&gt;"Xp"))+((W22&lt;&gt;"Xs")*(W22&lt;&gt;"Cs"))+((W22&lt;&gt;"Xn"))=0,"",IF(((W22&lt;&gt;"Xm"))+((W22&lt;&gt;"Xp"))+((W22&lt;&gt;"Xs")*(W22&lt;&gt;"Cs"))+((W22&lt;&gt;"Xn"))=4,W$3&amp;", ",W$3&amp;IF((W22&lt;&gt;"Xm"),"_m","")&amp;IF((W22&lt;&gt;"Xp"),"_p","")&amp;IF((W22&lt;&gt;"Xs")*(W22&lt;&gt;"Cs"),"_s","")&amp;IF((W22&lt;&gt;"Xn"),"_n","")&amp;", ")))</f>
        <v>BRUNO, </v>
      </c>
      <c r="AV22" s="10" t="str">
        <f aca="false">IF((X22="X")+(X22="F")&gt;0,"",IF(((X22&lt;&gt;"Xm"))+((X22&lt;&gt;"Xp"))+((X22&lt;&gt;"Xs")*(X22&lt;&gt;"Cs"))+((X22&lt;&gt;"Xn"))=0,"",IF(((X22&lt;&gt;"Xm"))+((X22&lt;&gt;"Xp"))+((X22&lt;&gt;"Xs")*(X22&lt;&gt;"Cs"))+((X22&lt;&gt;"Xn"))=4,X$3&amp;", ",X$3&amp;IF((X22&lt;&gt;"Xm"),"_m","")&amp;IF((X22&lt;&gt;"Xp"),"_p","")&amp;IF((X22&lt;&gt;"Xs")*(X22&lt;&gt;"Cs"),"_s","")&amp;IF((X22&lt;&gt;"Xn"),"_n","")&amp;", ")))</f>
        <v>CARLA, </v>
      </c>
      <c r="AW22" s="10" t="str">
        <f aca="false">IF((Y22="X")+(Y22="F")&gt;0,"",IF(((Y22&lt;&gt;"Xm"))+((Y22&lt;&gt;"Xp"))+((Y22&lt;&gt;"Xs")*(Y22&lt;&gt;"Cs"))+((Y22&lt;&gt;"Xn"))=0,"",IF(((Y22&lt;&gt;"Xm"))+((Y22&lt;&gt;"Xp"))+((Y22&lt;&gt;"Xs")*(Y22&lt;&gt;"Cs"))+((Y22&lt;&gt;"Xn"))=4,Y$3&amp;", ",Y$3&amp;IF((Y22&lt;&gt;"Xm"),"_m","")&amp;IF((Y22&lt;&gt;"Xp"),"_p","")&amp;IF((Y22&lt;&gt;"Xs")*(Y22&lt;&gt;"Cs"),"_s","")&amp;IF((Y22&lt;&gt;"Xn"),"_n","")&amp;", ")))</f>
        <v>DINO, </v>
      </c>
      <c r="AX22" s="10" t="str">
        <f aca="false">IF((Z22="X")+(Z22="F")&gt;0,"",IF(((Z22&lt;&gt;"Xm"))+((Z22&lt;&gt;"Xp"))+((Z22&lt;&gt;"Xs")*(Z22&lt;&gt;"Cs"))+((Z22&lt;&gt;"Xn"))=0,"",IF(((Z22&lt;&gt;"Xm"))+((Z22&lt;&gt;"Xp"))+((Z22&lt;&gt;"Xs")*(Z22&lt;&gt;"Cs"))+((Z22&lt;&gt;"Xn"))=4,Z$3&amp;", ",Z$3&amp;IF((Z22&lt;&gt;"Xm"),"_m","")&amp;IF((Z22&lt;&gt;"Xp"),"_p","")&amp;IF((Z22&lt;&gt;"Xs")*(Z22&lt;&gt;"Cs"),"_s","")&amp;IF((Z22&lt;&gt;"Xn"),"_n","")&amp;", ")))</f>
        <v>ELSA, </v>
      </c>
      <c r="AY22" s="10" t="str">
        <f aca="false">IF((AA22="X")+(AA22="F")&gt;0,"",IF(((AA22&lt;&gt;"Xm"))+((AA22&lt;&gt;"Xp"))+((AA22&lt;&gt;"Xs")*(AA22&lt;&gt;"Cs"))+((AA22&lt;&gt;"Xn"))=0,"",IF(((AA22&lt;&gt;"Xm"))+((AA22&lt;&gt;"Xp"))+((AA22&lt;&gt;"Xs")*(AA22&lt;&gt;"Cs"))+((AA22&lt;&gt;"Xn"))=4,AA$3&amp;", ",AA$3&amp;IF((AA22&lt;&gt;"Xm"),"_m","")&amp;IF((AA22&lt;&gt;"Xp"),"_p","")&amp;IF((AA22&lt;&gt;"Xs")*(AA22&lt;&gt;"Cs"),"_s","")&amp;IF((AA22&lt;&gt;"Xn"),"_n","")&amp;", ")))</f>
        <v>FABIO, </v>
      </c>
      <c r="AZ22" s="10"/>
      <c r="BA22" s="10" t="str">
        <f aca="false">IF((V22="X")+(V22="F")&gt;0,"",IF(((V22&lt;&gt;"Xm")*(COUNTIFS($C$3:$K$3,"MAT",$C22:$K22,V$3)=0)*(COUNTIFS($C$3:$K$3,"NOTTE",$C22:$K22,V$3)=0))+((V22&lt;&gt;"Xp")*(COUNTIFS($C$3:$K$3,"POM",$C22:$K22,V$3)=0)*(COUNTIFS($C$3:$K$3,"NOTTE",$C22:$K22,V$3)=0))+((V22&lt;&gt;"Xs")*(V22&lt;&gt;"Cs")*(COUNTIFS($C$3:$K$3,"SERA",$C22:$K22,V$3)=0)*(COUNTIFS($C$3:$K$3,"NOTTE",$C22:$K22,V$3)=0))+((V22&lt;&gt;"Xn")*(COUNTIFS($C$3:$K$3,"MAT",$C22:$K22,V$3)=0)*(COUNTIFS($C$3:$K$3,"POM",$C22:$K22,V$3)=0)*(COUNTIFS($C$3:$K$3,"SERA",$C22:$K22,V$3)=0)*(COUNTIFS($C$3:$K$3,"NOTTE",$C22:$K22,V$3)=0))=0,"",IF(((V22&lt;&gt;"Xm")*(COUNTIFS($C$3:$K$3,"MAT",$C22:$K22,V$3)=0)*(COUNTIFS($C$3:$K$3,"NOTTE",$C22:$K22,V$3)=0))+((V22&lt;&gt;"Xp")*(COUNTIFS($C$3:$K$3,"POM",$C22:$K22,V$3)=0)*(COUNTIFS($C$3:$K$3,"NOTTE",$C22:$K22,V$3)=0))+((V22&lt;&gt;"Xs")*(V22&lt;&gt;"Cs")*(COUNTIFS($C$3:$K$3,"SERA",$C22:$K22,V$3)=0)*(COUNTIFS($C$3:$K$3,"NOTTE",$C22:$K22,V$3)=0))+((V22&lt;&gt;"Xn")*(COUNTIFS($C$3:$K$3,"MAT",$C22:$K22,V$3)=0)*(COUNTIFS($C$3:$K$3,"POM",$C22:$K22,V$3)=0)*(COUNTIFS($C$3:$K$3,"SERA",$C22:$K22,V$3)=0)*(COUNTIFS($C$3:$K$3,"NOTTE",$C22:$K22,V$3)=0))=4,V$3&amp;", ",V$3&amp;IF((V22&lt;&gt;"Xm")*(COUNTIFS($C$3:$K$3,"MAT",$C22:$K22,V$3)=0)*(COUNTIFS($C$3:$K$3,"NOTTE",$C22:$K22,V$3)=0),"_m","")&amp;IF((V22&lt;&gt;"Xp")*(COUNTIFS($C$3:$K$3,"POM",$C22:$K22,V$3)=0)*(COUNTIFS($C$3:$K$3,"NOTTE",$C22:$K22,V$3)=0),"_p","")&amp;IF((V22&lt;&gt;"Xs")*(V22&lt;&gt;"Cs")*(COUNTIFS($C$3:$K$3,"SERA",$C22:$K22,V$3)=0)*(COUNTIFS($C$3:$K$3,"NOTTE",$C22:$K22,V$3)=0),"_s","")&amp;IF((V22&lt;&gt;"Xn")*(COUNTIFS($C$3:$K$3,"MAT",$C22:$K22,V$3)=0)*(COUNTIFS($C$3:$K$3,"POM",$C22:$K22,V$3)=0)*(COUNTIFS($C$3:$K$3,"SERA",$C22:$K22,V$3)=0)*(COUNTIFS($C$3:$K$3,"NOTTE",$C22:$K22,V$3)=0),"_n","")&amp;", ")))</f>
        <v>ALBA, </v>
      </c>
      <c r="BB22" s="10" t="str">
        <f aca="false">IF((W22="X")+(W22="F")&gt;0,"",IF(((W22&lt;&gt;"Xm")*(COUNTIFS($C$3:$K$3,"MAT",$C22:$K22,W$3)=0)*(COUNTIFS($C$3:$K$3,"NOTTE",$C22:$K22,W$3)=0))+((W22&lt;&gt;"Xp")*(COUNTIFS($C$3:$K$3,"POM",$C22:$K22,W$3)=0)*(COUNTIFS($C$3:$K$3,"NOTTE",$C22:$K22,W$3)=0))+((W22&lt;&gt;"Xs")*(W22&lt;&gt;"Cs")*(COUNTIFS($C$3:$K$3,"SERA",$C22:$K22,W$3)=0)*(COUNTIFS($C$3:$K$3,"NOTTE",$C22:$K22,W$3)=0))+((W22&lt;&gt;"Xn")*(COUNTIFS($C$3:$K$3,"MAT",$C22:$K22,W$3)=0)*(COUNTIFS($C$3:$K$3,"POM",$C22:$K22,W$3)=0)*(COUNTIFS($C$3:$K$3,"SERA",$C22:$K22,W$3)=0)*(COUNTIFS($C$3:$K$3,"NOTTE",$C22:$K22,W$3)=0))=0,"",IF(((W22&lt;&gt;"Xm")*(COUNTIFS($C$3:$K$3,"MAT",$C22:$K22,W$3)=0)*(COUNTIFS($C$3:$K$3,"NOTTE",$C22:$K22,W$3)=0))+((W22&lt;&gt;"Xp")*(COUNTIFS($C$3:$K$3,"POM",$C22:$K22,W$3)=0)*(COUNTIFS($C$3:$K$3,"NOTTE",$C22:$K22,W$3)=0))+((W22&lt;&gt;"Xs")*(W22&lt;&gt;"Cs")*(COUNTIFS($C$3:$K$3,"SERA",$C22:$K22,W$3)=0)*(COUNTIFS($C$3:$K$3,"NOTTE",$C22:$K22,W$3)=0))+((W22&lt;&gt;"Xn")*(COUNTIFS($C$3:$K$3,"MAT",$C22:$K22,W$3)=0)*(COUNTIFS($C$3:$K$3,"POM",$C22:$K22,W$3)=0)*(COUNTIFS($C$3:$K$3,"SERA",$C22:$K22,W$3)=0)*(COUNTIFS($C$3:$K$3,"NOTTE",$C22:$K22,W$3)=0))=4,W$3&amp;", ",W$3&amp;IF((W22&lt;&gt;"Xm")*(COUNTIFS($C$3:$K$3,"MAT",$C22:$K22,W$3)=0)*(COUNTIFS($C$3:$K$3,"NOTTE",$C22:$K22,W$3)=0),"_m","")&amp;IF((W22&lt;&gt;"Xp")*(COUNTIFS($C$3:$K$3,"POM",$C22:$K22,W$3)=0)*(COUNTIFS($C$3:$K$3,"NOTTE",$C22:$K22,W$3)=0),"_p","")&amp;IF((W22&lt;&gt;"Xs")*(W22&lt;&gt;"Cs")*(COUNTIFS($C$3:$K$3,"SERA",$C22:$K22,W$3)=0)*(COUNTIFS($C$3:$K$3,"NOTTE",$C22:$K22,W$3)=0),"_s","")&amp;IF((W22&lt;&gt;"Xn")*(COUNTIFS($C$3:$K$3,"MAT",$C22:$K22,W$3)=0)*(COUNTIFS($C$3:$K$3,"POM",$C22:$K22,W$3)=0)*(COUNTIFS($C$3:$K$3,"SERA",$C22:$K22,W$3)=0)*(COUNTIFS($C$3:$K$3,"NOTTE",$C22:$K22,W$3)=0),"_n","")&amp;", ")))</f>
        <v>BRUNO, </v>
      </c>
      <c r="BC22" s="10" t="str">
        <f aca="false">IF((X22="X")+(X22="F")&gt;0,"",IF(((X22&lt;&gt;"Xm")*(COUNTIFS($C$3:$K$3,"MAT",$C22:$K22,X$3)=0)*(COUNTIFS($C$3:$K$3,"NOTTE",$C22:$K22,X$3)=0))+((X22&lt;&gt;"Xp")*(COUNTIFS($C$3:$K$3,"POM",$C22:$K22,X$3)=0)*(COUNTIFS($C$3:$K$3,"NOTTE",$C22:$K22,X$3)=0))+((X22&lt;&gt;"Xs")*(X22&lt;&gt;"Cs")*(COUNTIFS($C$3:$K$3,"SERA",$C22:$K22,X$3)=0)*(COUNTIFS($C$3:$K$3,"NOTTE",$C22:$K22,X$3)=0))+((X22&lt;&gt;"Xn")*(COUNTIFS($C$3:$K$3,"MAT",$C22:$K22,X$3)=0)*(COUNTIFS($C$3:$K$3,"POM",$C22:$K22,X$3)=0)*(COUNTIFS($C$3:$K$3,"SERA",$C22:$K22,X$3)=0)*(COUNTIFS($C$3:$K$3,"NOTTE",$C22:$K22,X$3)=0))=0,"",IF(((X22&lt;&gt;"Xm")*(COUNTIFS($C$3:$K$3,"MAT",$C22:$K22,X$3)=0)*(COUNTIFS($C$3:$K$3,"NOTTE",$C22:$K22,X$3)=0))+((X22&lt;&gt;"Xp")*(COUNTIFS($C$3:$K$3,"POM",$C22:$K22,X$3)=0)*(COUNTIFS($C$3:$K$3,"NOTTE",$C22:$K22,X$3)=0))+((X22&lt;&gt;"Xs")*(X22&lt;&gt;"Cs")*(COUNTIFS($C$3:$K$3,"SERA",$C22:$K22,X$3)=0)*(COUNTIFS($C$3:$K$3,"NOTTE",$C22:$K22,X$3)=0))+((X22&lt;&gt;"Xn")*(COUNTIFS($C$3:$K$3,"MAT",$C22:$K22,X$3)=0)*(COUNTIFS($C$3:$K$3,"POM",$C22:$K22,X$3)=0)*(COUNTIFS($C$3:$K$3,"SERA",$C22:$K22,X$3)=0)*(COUNTIFS($C$3:$K$3,"NOTTE",$C22:$K22,X$3)=0))=4,X$3&amp;", ",X$3&amp;IF((X22&lt;&gt;"Xm")*(COUNTIFS($C$3:$K$3,"MAT",$C22:$K22,X$3)=0)*(COUNTIFS($C$3:$K$3,"NOTTE",$C22:$K22,X$3)=0),"_m","")&amp;IF((X22&lt;&gt;"Xp")*(COUNTIFS($C$3:$K$3,"POM",$C22:$K22,X$3)=0)*(COUNTIFS($C$3:$K$3,"NOTTE",$C22:$K22,X$3)=0),"_p","")&amp;IF((X22&lt;&gt;"Xs")*(X22&lt;&gt;"Cs")*(COUNTIFS($C$3:$K$3,"SERA",$C22:$K22,X$3)=0)*(COUNTIFS($C$3:$K$3,"NOTTE",$C22:$K22,X$3)=0),"_s","")&amp;IF((X22&lt;&gt;"Xn")*(COUNTIFS($C$3:$K$3,"MAT",$C22:$K22,X$3)=0)*(COUNTIFS($C$3:$K$3,"POM",$C22:$K22,X$3)=0)*(COUNTIFS($C$3:$K$3,"SERA",$C22:$K22,X$3)=0)*(COUNTIFS($C$3:$K$3,"NOTTE",$C22:$K22,X$3)=0),"_n","")&amp;", ")))</f>
        <v>CARLA, </v>
      </c>
      <c r="BD22" s="10" t="str">
        <f aca="false">IF((Y22="X")+(Y22="F")&gt;0,"",IF(((Y22&lt;&gt;"Xm")*(COUNTIFS($C$3:$K$3,"MAT",$C22:$K22,Y$3)=0)*(COUNTIFS($C$3:$K$3,"NOTTE",$C22:$K22,Y$3)=0))+((Y22&lt;&gt;"Xp")*(COUNTIFS($C$3:$K$3,"POM",$C22:$K22,Y$3)=0)*(COUNTIFS($C$3:$K$3,"NOTTE",$C22:$K22,Y$3)=0))+((Y22&lt;&gt;"Xs")*(Y22&lt;&gt;"Cs")*(COUNTIFS($C$3:$K$3,"SERA",$C22:$K22,Y$3)=0)*(COUNTIFS($C$3:$K$3,"NOTTE",$C22:$K22,Y$3)=0))+((Y22&lt;&gt;"Xn")*(COUNTIFS($C$3:$K$3,"MAT",$C22:$K22,Y$3)=0)*(COUNTIFS($C$3:$K$3,"POM",$C22:$K22,Y$3)=0)*(COUNTIFS($C$3:$K$3,"SERA",$C22:$K22,Y$3)=0)*(COUNTIFS($C$3:$K$3,"NOTTE",$C22:$K22,Y$3)=0))=0,"",IF(((Y22&lt;&gt;"Xm")*(COUNTIFS($C$3:$K$3,"MAT",$C22:$K22,Y$3)=0)*(COUNTIFS($C$3:$K$3,"NOTTE",$C22:$K22,Y$3)=0))+((Y22&lt;&gt;"Xp")*(COUNTIFS($C$3:$K$3,"POM",$C22:$K22,Y$3)=0)*(COUNTIFS($C$3:$K$3,"NOTTE",$C22:$K22,Y$3)=0))+((Y22&lt;&gt;"Xs")*(Y22&lt;&gt;"Cs")*(COUNTIFS($C$3:$K$3,"SERA",$C22:$K22,Y$3)=0)*(COUNTIFS($C$3:$K$3,"NOTTE",$C22:$K22,Y$3)=0))+((Y22&lt;&gt;"Xn")*(COUNTIFS($C$3:$K$3,"MAT",$C22:$K22,Y$3)=0)*(COUNTIFS($C$3:$K$3,"POM",$C22:$K22,Y$3)=0)*(COUNTIFS($C$3:$K$3,"SERA",$C22:$K22,Y$3)=0)*(COUNTIFS($C$3:$K$3,"NOTTE",$C22:$K22,Y$3)=0))=4,Y$3&amp;", ",Y$3&amp;IF((Y22&lt;&gt;"Xm")*(COUNTIFS($C$3:$K$3,"MAT",$C22:$K22,Y$3)=0)*(COUNTIFS($C$3:$K$3,"NOTTE",$C22:$K22,Y$3)=0),"_m","")&amp;IF((Y22&lt;&gt;"Xp")*(COUNTIFS($C$3:$K$3,"POM",$C22:$K22,Y$3)=0)*(COUNTIFS($C$3:$K$3,"NOTTE",$C22:$K22,Y$3)=0),"_p","")&amp;IF((Y22&lt;&gt;"Xs")*(Y22&lt;&gt;"Cs")*(COUNTIFS($C$3:$K$3,"SERA",$C22:$K22,Y$3)=0)*(COUNTIFS($C$3:$K$3,"NOTTE",$C22:$K22,Y$3)=0),"_s","")&amp;IF((Y22&lt;&gt;"Xn")*(COUNTIFS($C$3:$K$3,"MAT",$C22:$K22,Y$3)=0)*(COUNTIFS($C$3:$K$3,"POM",$C22:$K22,Y$3)=0)*(COUNTIFS($C$3:$K$3,"SERA",$C22:$K22,Y$3)=0)*(COUNTIFS($C$3:$K$3,"NOTTE",$C22:$K22,Y$3)=0),"_n","")&amp;", ")))</f>
        <v>DINO, </v>
      </c>
      <c r="BE22" s="10" t="str">
        <f aca="false">IF((Z22="X")+(Z22="F")&gt;0,"",IF(((Z22&lt;&gt;"Xm")*(COUNTIFS($C$3:$K$3,"MAT",$C22:$K22,Z$3)=0)*(COUNTIFS($C$3:$K$3,"NOTTE",$C22:$K22,Z$3)=0))+((Z22&lt;&gt;"Xp")*(COUNTIFS($C$3:$K$3,"POM",$C22:$K22,Z$3)=0)*(COUNTIFS($C$3:$K$3,"NOTTE",$C22:$K22,Z$3)=0))+((Z22&lt;&gt;"Xs")*(Z22&lt;&gt;"Cs")*(COUNTIFS($C$3:$K$3,"SERA",$C22:$K22,Z$3)=0)*(COUNTIFS($C$3:$K$3,"NOTTE",$C22:$K22,Z$3)=0))+((Z22&lt;&gt;"Xn")*(COUNTIFS($C$3:$K$3,"MAT",$C22:$K22,Z$3)=0)*(COUNTIFS($C$3:$K$3,"POM",$C22:$K22,Z$3)=0)*(COUNTIFS($C$3:$K$3,"SERA",$C22:$K22,Z$3)=0)*(COUNTIFS($C$3:$K$3,"NOTTE",$C22:$K22,Z$3)=0))=0,"",IF(((Z22&lt;&gt;"Xm")*(COUNTIFS($C$3:$K$3,"MAT",$C22:$K22,Z$3)=0)*(COUNTIFS($C$3:$K$3,"NOTTE",$C22:$K22,Z$3)=0))+((Z22&lt;&gt;"Xp")*(COUNTIFS($C$3:$K$3,"POM",$C22:$K22,Z$3)=0)*(COUNTIFS($C$3:$K$3,"NOTTE",$C22:$K22,Z$3)=0))+((Z22&lt;&gt;"Xs")*(Z22&lt;&gt;"Cs")*(COUNTIFS($C$3:$K$3,"SERA",$C22:$K22,Z$3)=0)*(COUNTIFS($C$3:$K$3,"NOTTE",$C22:$K22,Z$3)=0))+((Z22&lt;&gt;"Xn")*(COUNTIFS($C$3:$K$3,"MAT",$C22:$K22,Z$3)=0)*(COUNTIFS($C$3:$K$3,"POM",$C22:$K22,Z$3)=0)*(COUNTIFS($C$3:$K$3,"SERA",$C22:$K22,Z$3)=0)*(COUNTIFS($C$3:$K$3,"NOTTE",$C22:$K22,Z$3)=0))=4,Z$3&amp;", ",Z$3&amp;IF((Z22&lt;&gt;"Xm")*(COUNTIFS($C$3:$K$3,"MAT",$C22:$K22,Z$3)=0)*(COUNTIFS($C$3:$K$3,"NOTTE",$C22:$K22,Z$3)=0),"_m","")&amp;IF((Z22&lt;&gt;"Xp")*(COUNTIFS($C$3:$K$3,"POM",$C22:$K22,Z$3)=0)*(COUNTIFS($C$3:$K$3,"NOTTE",$C22:$K22,Z$3)=0),"_p","")&amp;IF((Z22&lt;&gt;"Xs")*(Z22&lt;&gt;"Cs")*(COUNTIFS($C$3:$K$3,"SERA",$C22:$K22,Z$3)=0)*(COUNTIFS($C$3:$K$3,"NOTTE",$C22:$K22,Z$3)=0),"_s","")&amp;IF((Z22&lt;&gt;"Xn")*(COUNTIFS($C$3:$K$3,"MAT",$C22:$K22,Z$3)=0)*(COUNTIFS($C$3:$K$3,"POM",$C22:$K22,Z$3)=0)*(COUNTIFS($C$3:$K$3,"SERA",$C22:$K22,Z$3)=0)*(COUNTIFS($C$3:$K$3,"NOTTE",$C22:$K22,Z$3)=0),"_n","")&amp;", ")))</f>
        <v>ELSA, </v>
      </c>
      <c r="BF22" s="10" t="str">
        <f aca="false">IF((AA22="X")+(AA22="F")&gt;0,"",IF(((AA22&lt;&gt;"Xm")*(COUNTIFS($C$3:$K$3,"MAT",$C22:$K22,AA$3)=0)*(COUNTIFS($C$3:$K$3,"NOTTE",$C22:$K22,AA$3)=0))+((AA22&lt;&gt;"Xp")*(COUNTIFS($C$3:$K$3,"POM",$C22:$K22,AA$3)=0)*(COUNTIFS($C$3:$K$3,"NOTTE",$C22:$K22,AA$3)=0))+((AA22&lt;&gt;"Xs")*(AA22&lt;&gt;"Cs")*(COUNTIFS($C$3:$K$3,"SERA",$C22:$K22,AA$3)=0)*(COUNTIFS($C$3:$K$3,"NOTTE",$C22:$K22,AA$3)=0))+((AA22&lt;&gt;"Xn")*(COUNTIFS($C$3:$K$3,"MAT",$C22:$K22,AA$3)=0)*(COUNTIFS($C$3:$K$3,"POM",$C22:$K22,AA$3)=0)*(COUNTIFS($C$3:$K$3,"SERA",$C22:$K22,AA$3)=0)*(COUNTIFS($C$3:$K$3,"NOTTE",$C22:$K22,AA$3)=0))=0,"",IF(((AA22&lt;&gt;"Xm")*(COUNTIFS($C$3:$K$3,"MAT",$C22:$K22,AA$3)=0)*(COUNTIFS($C$3:$K$3,"NOTTE",$C22:$K22,AA$3)=0))+((AA22&lt;&gt;"Xp")*(COUNTIFS($C$3:$K$3,"POM",$C22:$K22,AA$3)=0)*(COUNTIFS($C$3:$K$3,"NOTTE",$C22:$K22,AA$3)=0))+((AA22&lt;&gt;"Xs")*(AA22&lt;&gt;"Cs")*(COUNTIFS($C$3:$K$3,"SERA",$C22:$K22,AA$3)=0)*(COUNTIFS($C$3:$K$3,"NOTTE",$C22:$K22,AA$3)=0))+((AA22&lt;&gt;"Xn")*(COUNTIFS($C$3:$K$3,"MAT",$C22:$K22,AA$3)=0)*(COUNTIFS($C$3:$K$3,"POM",$C22:$K22,AA$3)=0)*(COUNTIFS($C$3:$K$3,"SERA",$C22:$K22,AA$3)=0)*(COUNTIFS($C$3:$K$3,"NOTTE",$C22:$K22,AA$3)=0))=4,AA$3&amp;", ",AA$3&amp;IF((AA22&lt;&gt;"Xm")*(COUNTIFS($C$3:$K$3,"MAT",$C22:$K22,AA$3)=0)*(COUNTIFS($C$3:$K$3,"NOTTE",$C22:$K22,AA$3)=0),"_m","")&amp;IF((AA22&lt;&gt;"Xp")*(COUNTIFS($C$3:$K$3,"POM",$C22:$K22,AA$3)=0)*(COUNTIFS($C$3:$K$3,"NOTTE",$C22:$K22,AA$3)=0),"_p","")&amp;IF((AA22&lt;&gt;"Xs")*(AA22&lt;&gt;"Cs")*(COUNTIFS($C$3:$K$3,"SERA",$C22:$K22,AA$3)=0)*(COUNTIFS($C$3:$K$3,"NOTTE",$C22:$K22,AA$3)=0),"_s","")&amp;IF((AA22&lt;&gt;"Xn")*(COUNTIFS($C$3:$K$3,"MAT",$C22:$K22,AA$3)=0)*(COUNTIFS($C$3:$K$3,"POM",$C22:$K22,AA$3)=0)*(COUNTIFS($C$3:$K$3,"SERA",$C22:$K22,AA$3)=0)*(COUNTIFS($C$3:$K$3,"NOTTE",$C22:$K22,AA$3)=0),"_n","")&amp;", ")))</f>
        <v>FABIO, </v>
      </c>
    </row>
    <row r="23" customFormat="false" ht="15" hidden="false" customHeight="false" outlineLevel="0" collapsed="false">
      <c r="A23" s="11" t="str">
        <f aca="false">CHOOSE(WEEKDAY(DATE($B$1,$A$2,B23),2),"lunedì","martedì","mercoledì","giovedì","venerdì","sabato","domenica")</f>
        <v>sabato</v>
      </c>
      <c r="B23" s="11" t="n">
        <v>20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 t="str">
        <f aca="false">IF(SUMPRODUCT(($C$3:$K$3&lt;&gt;"")*($C23:$K23&lt;&gt;"")*(COUNTIFS($C23:$K23,$C23:$K23,$C$3:$K$3,$C$3:$K$3)&gt;1))&gt;0,"X","")</f>
        <v/>
      </c>
      <c r="N23" s="11" t="str">
        <f aca="false">IF(LEN(AT23&amp;AU23&amp;AV23&amp;AW23&amp;AX23&amp;AY23)=0,"",LEFT(AT23&amp;AU23&amp;AV23&amp;AW23&amp;AX23&amp;AY23,LEN(AT23&amp;AU23&amp;AV23&amp;AW23&amp;AX23&amp;AY23)-2))</f>
        <v>ALBA, BRUNO, CARLA, DINO, ELSA, FABIO</v>
      </c>
      <c r="O23" s="11" t="str">
        <f aca="false">IF(LEN(BA23&amp;BB23&amp;BC23&amp;BD23&amp;BE23&amp;BF23)=0,"",LEFT(BA23&amp;BB23&amp;BC23&amp;BD23&amp;BE23&amp;BF23,LEN(BA23&amp;BB23&amp;BC23&amp;BD23&amp;BE23&amp;BF23)-2))</f>
        <v>ALBA, BRUNO, CARLA, DINO, ELSA, FABIO</v>
      </c>
      <c r="T23" s="11" t="str">
        <f aca="false">A23</f>
        <v>sabato</v>
      </c>
      <c r="U23" s="11" t="n">
        <f aca="false">B23</f>
        <v>20</v>
      </c>
      <c r="V23" s="11"/>
      <c r="W23" s="11"/>
      <c r="X23" s="11"/>
      <c r="Y23" s="11"/>
      <c r="Z23" s="11"/>
      <c r="AA23" s="11"/>
      <c r="AT23" s="10" t="str">
        <f aca="false">IF((V23="X")+(V23="F")&gt;0,"",IF(((V23&lt;&gt;"Xm"))+((V23&lt;&gt;"Xp"))+((V23&lt;&gt;"Xs")*(V23&lt;&gt;"Cs"))+((V23&lt;&gt;"Xn"))=0,"",IF(((V23&lt;&gt;"Xm"))+((V23&lt;&gt;"Xp"))+((V23&lt;&gt;"Xs")*(V23&lt;&gt;"Cs"))+((V23&lt;&gt;"Xn"))=4,V$3&amp;", ",V$3&amp;IF((V23&lt;&gt;"Xm"),"_m","")&amp;IF((V23&lt;&gt;"Xp"),"_p","")&amp;IF((V23&lt;&gt;"Xs")*(V23&lt;&gt;"Cs"),"_s","")&amp;IF((V23&lt;&gt;"Xn"),"_n","")&amp;", ")))</f>
        <v>ALBA, </v>
      </c>
      <c r="AU23" s="10" t="str">
        <f aca="false">IF((W23="X")+(W23="F")&gt;0,"",IF(((W23&lt;&gt;"Xm"))+((W23&lt;&gt;"Xp"))+((W23&lt;&gt;"Xs")*(W23&lt;&gt;"Cs"))+((W23&lt;&gt;"Xn"))=0,"",IF(((W23&lt;&gt;"Xm"))+((W23&lt;&gt;"Xp"))+((W23&lt;&gt;"Xs")*(W23&lt;&gt;"Cs"))+((W23&lt;&gt;"Xn"))=4,W$3&amp;", ",W$3&amp;IF((W23&lt;&gt;"Xm"),"_m","")&amp;IF((W23&lt;&gt;"Xp"),"_p","")&amp;IF((W23&lt;&gt;"Xs")*(W23&lt;&gt;"Cs"),"_s","")&amp;IF((W23&lt;&gt;"Xn"),"_n","")&amp;", ")))</f>
        <v>BRUNO, </v>
      </c>
      <c r="AV23" s="10" t="str">
        <f aca="false">IF((X23="X")+(X23="F")&gt;0,"",IF(((X23&lt;&gt;"Xm"))+((X23&lt;&gt;"Xp"))+((X23&lt;&gt;"Xs")*(X23&lt;&gt;"Cs"))+((X23&lt;&gt;"Xn"))=0,"",IF(((X23&lt;&gt;"Xm"))+((X23&lt;&gt;"Xp"))+((X23&lt;&gt;"Xs")*(X23&lt;&gt;"Cs"))+((X23&lt;&gt;"Xn"))=4,X$3&amp;", ",X$3&amp;IF((X23&lt;&gt;"Xm"),"_m","")&amp;IF((X23&lt;&gt;"Xp"),"_p","")&amp;IF((X23&lt;&gt;"Xs")*(X23&lt;&gt;"Cs"),"_s","")&amp;IF((X23&lt;&gt;"Xn"),"_n","")&amp;", ")))</f>
        <v>CARLA, </v>
      </c>
      <c r="AW23" s="10" t="str">
        <f aca="false">IF((Y23="X")+(Y23="F")&gt;0,"",IF(((Y23&lt;&gt;"Xm"))+((Y23&lt;&gt;"Xp"))+((Y23&lt;&gt;"Xs")*(Y23&lt;&gt;"Cs"))+((Y23&lt;&gt;"Xn"))=0,"",IF(((Y23&lt;&gt;"Xm"))+((Y23&lt;&gt;"Xp"))+((Y23&lt;&gt;"Xs")*(Y23&lt;&gt;"Cs"))+((Y23&lt;&gt;"Xn"))=4,Y$3&amp;", ",Y$3&amp;IF((Y23&lt;&gt;"Xm"),"_m","")&amp;IF((Y23&lt;&gt;"Xp"),"_p","")&amp;IF((Y23&lt;&gt;"Xs")*(Y23&lt;&gt;"Cs"),"_s","")&amp;IF((Y23&lt;&gt;"Xn"),"_n","")&amp;", ")))</f>
        <v>DINO, </v>
      </c>
      <c r="AX23" s="10" t="str">
        <f aca="false">IF((Z23="X")+(Z23="F")&gt;0,"",IF(((Z23&lt;&gt;"Xm"))+((Z23&lt;&gt;"Xp"))+((Z23&lt;&gt;"Xs")*(Z23&lt;&gt;"Cs"))+((Z23&lt;&gt;"Xn"))=0,"",IF(((Z23&lt;&gt;"Xm"))+((Z23&lt;&gt;"Xp"))+((Z23&lt;&gt;"Xs")*(Z23&lt;&gt;"Cs"))+((Z23&lt;&gt;"Xn"))=4,Z$3&amp;", ",Z$3&amp;IF((Z23&lt;&gt;"Xm"),"_m","")&amp;IF((Z23&lt;&gt;"Xp"),"_p","")&amp;IF((Z23&lt;&gt;"Xs")*(Z23&lt;&gt;"Cs"),"_s","")&amp;IF((Z23&lt;&gt;"Xn"),"_n","")&amp;", ")))</f>
        <v>ELSA, </v>
      </c>
      <c r="AY23" s="10" t="str">
        <f aca="false">IF((AA23="X")+(AA23="F")&gt;0,"",IF(((AA23&lt;&gt;"Xm"))+((AA23&lt;&gt;"Xp"))+((AA23&lt;&gt;"Xs")*(AA23&lt;&gt;"Cs"))+((AA23&lt;&gt;"Xn"))=0,"",IF(((AA23&lt;&gt;"Xm"))+((AA23&lt;&gt;"Xp"))+((AA23&lt;&gt;"Xs")*(AA23&lt;&gt;"Cs"))+((AA23&lt;&gt;"Xn"))=4,AA$3&amp;", ",AA$3&amp;IF((AA23&lt;&gt;"Xm"),"_m","")&amp;IF((AA23&lt;&gt;"Xp"),"_p","")&amp;IF((AA23&lt;&gt;"Xs")*(AA23&lt;&gt;"Cs"),"_s","")&amp;IF((AA23&lt;&gt;"Xn"),"_n","")&amp;", ")))</f>
        <v>FABIO, </v>
      </c>
      <c r="AZ23" s="10"/>
      <c r="BA23" s="10" t="str">
        <f aca="false">IF((V23="X")+(V23="F")&gt;0,"",IF(((V23&lt;&gt;"Xm")*(COUNTIFS($C$3:$K$3,"MAT",$C23:$K23,V$3)=0)*(COUNTIFS($C$3:$K$3,"NOTTE",$C23:$K23,V$3)=0))+((V23&lt;&gt;"Xp")*(COUNTIFS($C$3:$K$3,"POM",$C23:$K23,V$3)=0)*(COUNTIFS($C$3:$K$3,"NOTTE",$C23:$K23,V$3)=0))+((V23&lt;&gt;"Xs")*(V23&lt;&gt;"Cs")*(COUNTIFS($C$3:$K$3,"SERA",$C23:$K23,V$3)=0)*(COUNTIFS($C$3:$K$3,"NOTTE",$C23:$K23,V$3)=0))+((V23&lt;&gt;"Xn")*(COUNTIFS($C$3:$K$3,"MAT",$C23:$K23,V$3)=0)*(COUNTIFS($C$3:$K$3,"POM",$C23:$K23,V$3)=0)*(COUNTIFS($C$3:$K$3,"SERA",$C23:$K23,V$3)=0)*(COUNTIFS($C$3:$K$3,"NOTTE",$C23:$K23,V$3)=0))=0,"",IF(((V23&lt;&gt;"Xm")*(COUNTIFS($C$3:$K$3,"MAT",$C23:$K23,V$3)=0)*(COUNTIFS($C$3:$K$3,"NOTTE",$C23:$K23,V$3)=0))+((V23&lt;&gt;"Xp")*(COUNTIFS($C$3:$K$3,"POM",$C23:$K23,V$3)=0)*(COUNTIFS($C$3:$K$3,"NOTTE",$C23:$K23,V$3)=0))+((V23&lt;&gt;"Xs")*(V23&lt;&gt;"Cs")*(COUNTIFS($C$3:$K$3,"SERA",$C23:$K23,V$3)=0)*(COUNTIFS($C$3:$K$3,"NOTTE",$C23:$K23,V$3)=0))+((V23&lt;&gt;"Xn")*(COUNTIFS($C$3:$K$3,"MAT",$C23:$K23,V$3)=0)*(COUNTIFS($C$3:$K$3,"POM",$C23:$K23,V$3)=0)*(COUNTIFS($C$3:$K$3,"SERA",$C23:$K23,V$3)=0)*(COUNTIFS($C$3:$K$3,"NOTTE",$C23:$K23,V$3)=0))=4,V$3&amp;", ",V$3&amp;IF((V23&lt;&gt;"Xm")*(COUNTIFS($C$3:$K$3,"MAT",$C23:$K23,V$3)=0)*(COUNTIFS($C$3:$K$3,"NOTTE",$C23:$K23,V$3)=0),"_m","")&amp;IF((V23&lt;&gt;"Xp")*(COUNTIFS($C$3:$K$3,"POM",$C23:$K23,V$3)=0)*(COUNTIFS($C$3:$K$3,"NOTTE",$C23:$K23,V$3)=0),"_p","")&amp;IF((V23&lt;&gt;"Xs")*(V23&lt;&gt;"Cs")*(COUNTIFS($C$3:$K$3,"SERA",$C23:$K23,V$3)=0)*(COUNTIFS($C$3:$K$3,"NOTTE",$C23:$K23,V$3)=0),"_s","")&amp;IF((V23&lt;&gt;"Xn")*(COUNTIFS($C$3:$K$3,"MAT",$C23:$K23,V$3)=0)*(COUNTIFS($C$3:$K$3,"POM",$C23:$K23,V$3)=0)*(COUNTIFS($C$3:$K$3,"SERA",$C23:$K23,V$3)=0)*(COUNTIFS($C$3:$K$3,"NOTTE",$C23:$K23,V$3)=0),"_n","")&amp;", ")))</f>
        <v>ALBA, </v>
      </c>
      <c r="BB23" s="10" t="str">
        <f aca="false">IF((W23="X")+(W23="F")&gt;0,"",IF(((W23&lt;&gt;"Xm")*(COUNTIFS($C$3:$K$3,"MAT",$C23:$K23,W$3)=0)*(COUNTIFS($C$3:$K$3,"NOTTE",$C23:$K23,W$3)=0))+((W23&lt;&gt;"Xp")*(COUNTIFS($C$3:$K$3,"POM",$C23:$K23,W$3)=0)*(COUNTIFS($C$3:$K$3,"NOTTE",$C23:$K23,W$3)=0))+((W23&lt;&gt;"Xs")*(W23&lt;&gt;"Cs")*(COUNTIFS($C$3:$K$3,"SERA",$C23:$K23,W$3)=0)*(COUNTIFS($C$3:$K$3,"NOTTE",$C23:$K23,W$3)=0))+((W23&lt;&gt;"Xn")*(COUNTIFS($C$3:$K$3,"MAT",$C23:$K23,W$3)=0)*(COUNTIFS($C$3:$K$3,"POM",$C23:$K23,W$3)=0)*(COUNTIFS($C$3:$K$3,"SERA",$C23:$K23,W$3)=0)*(COUNTIFS($C$3:$K$3,"NOTTE",$C23:$K23,W$3)=0))=0,"",IF(((W23&lt;&gt;"Xm")*(COUNTIFS($C$3:$K$3,"MAT",$C23:$K23,W$3)=0)*(COUNTIFS($C$3:$K$3,"NOTTE",$C23:$K23,W$3)=0))+((W23&lt;&gt;"Xp")*(COUNTIFS($C$3:$K$3,"POM",$C23:$K23,W$3)=0)*(COUNTIFS($C$3:$K$3,"NOTTE",$C23:$K23,W$3)=0))+((W23&lt;&gt;"Xs")*(W23&lt;&gt;"Cs")*(COUNTIFS($C$3:$K$3,"SERA",$C23:$K23,W$3)=0)*(COUNTIFS($C$3:$K$3,"NOTTE",$C23:$K23,W$3)=0))+((W23&lt;&gt;"Xn")*(COUNTIFS($C$3:$K$3,"MAT",$C23:$K23,W$3)=0)*(COUNTIFS($C$3:$K$3,"POM",$C23:$K23,W$3)=0)*(COUNTIFS($C$3:$K$3,"SERA",$C23:$K23,W$3)=0)*(COUNTIFS($C$3:$K$3,"NOTTE",$C23:$K23,W$3)=0))=4,W$3&amp;", ",W$3&amp;IF((W23&lt;&gt;"Xm")*(COUNTIFS($C$3:$K$3,"MAT",$C23:$K23,W$3)=0)*(COUNTIFS($C$3:$K$3,"NOTTE",$C23:$K23,W$3)=0),"_m","")&amp;IF((W23&lt;&gt;"Xp")*(COUNTIFS($C$3:$K$3,"POM",$C23:$K23,W$3)=0)*(COUNTIFS($C$3:$K$3,"NOTTE",$C23:$K23,W$3)=0),"_p","")&amp;IF((W23&lt;&gt;"Xs")*(W23&lt;&gt;"Cs")*(COUNTIFS($C$3:$K$3,"SERA",$C23:$K23,W$3)=0)*(COUNTIFS($C$3:$K$3,"NOTTE",$C23:$K23,W$3)=0),"_s","")&amp;IF((W23&lt;&gt;"Xn")*(COUNTIFS($C$3:$K$3,"MAT",$C23:$K23,W$3)=0)*(COUNTIFS($C$3:$K$3,"POM",$C23:$K23,W$3)=0)*(COUNTIFS($C$3:$K$3,"SERA",$C23:$K23,W$3)=0)*(COUNTIFS($C$3:$K$3,"NOTTE",$C23:$K23,W$3)=0),"_n","")&amp;", ")))</f>
        <v>BRUNO, </v>
      </c>
      <c r="BC23" s="10" t="str">
        <f aca="false">IF((X23="X")+(X23="F")&gt;0,"",IF(((X23&lt;&gt;"Xm")*(COUNTIFS($C$3:$K$3,"MAT",$C23:$K23,X$3)=0)*(COUNTIFS($C$3:$K$3,"NOTTE",$C23:$K23,X$3)=0))+((X23&lt;&gt;"Xp")*(COUNTIFS($C$3:$K$3,"POM",$C23:$K23,X$3)=0)*(COUNTIFS($C$3:$K$3,"NOTTE",$C23:$K23,X$3)=0))+((X23&lt;&gt;"Xs")*(X23&lt;&gt;"Cs")*(COUNTIFS($C$3:$K$3,"SERA",$C23:$K23,X$3)=0)*(COUNTIFS($C$3:$K$3,"NOTTE",$C23:$K23,X$3)=0))+((X23&lt;&gt;"Xn")*(COUNTIFS($C$3:$K$3,"MAT",$C23:$K23,X$3)=0)*(COUNTIFS($C$3:$K$3,"POM",$C23:$K23,X$3)=0)*(COUNTIFS($C$3:$K$3,"SERA",$C23:$K23,X$3)=0)*(COUNTIFS($C$3:$K$3,"NOTTE",$C23:$K23,X$3)=0))=0,"",IF(((X23&lt;&gt;"Xm")*(COUNTIFS($C$3:$K$3,"MAT",$C23:$K23,X$3)=0)*(COUNTIFS($C$3:$K$3,"NOTTE",$C23:$K23,X$3)=0))+((X23&lt;&gt;"Xp")*(COUNTIFS($C$3:$K$3,"POM",$C23:$K23,X$3)=0)*(COUNTIFS($C$3:$K$3,"NOTTE",$C23:$K23,X$3)=0))+((X23&lt;&gt;"Xs")*(X23&lt;&gt;"Cs")*(COUNTIFS($C$3:$K$3,"SERA",$C23:$K23,X$3)=0)*(COUNTIFS($C$3:$K$3,"NOTTE",$C23:$K23,X$3)=0))+((X23&lt;&gt;"Xn")*(COUNTIFS($C$3:$K$3,"MAT",$C23:$K23,X$3)=0)*(COUNTIFS($C$3:$K$3,"POM",$C23:$K23,X$3)=0)*(COUNTIFS($C$3:$K$3,"SERA",$C23:$K23,X$3)=0)*(COUNTIFS($C$3:$K$3,"NOTTE",$C23:$K23,X$3)=0))=4,X$3&amp;", ",X$3&amp;IF((X23&lt;&gt;"Xm")*(COUNTIFS($C$3:$K$3,"MAT",$C23:$K23,X$3)=0)*(COUNTIFS($C$3:$K$3,"NOTTE",$C23:$K23,X$3)=0),"_m","")&amp;IF((X23&lt;&gt;"Xp")*(COUNTIFS($C$3:$K$3,"POM",$C23:$K23,X$3)=0)*(COUNTIFS($C$3:$K$3,"NOTTE",$C23:$K23,X$3)=0),"_p","")&amp;IF((X23&lt;&gt;"Xs")*(X23&lt;&gt;"Cs")*(COUNTIFS($C$3:$K$3,"SERA",$C23:$K23,X$3)=0)*(COUNTIFS($C$3:$K$3,"NOTTE",$C23:$K23,X$3)=0),"_s","")&amp;IF((X23&lt;&gt;"Xn")*(COUNTIFS($C$3:$K$3,"MAT",$C23:$K23,X$3)=0)*(COUNTIFS($C$3:$K$3,"POM",$C23:$K23,X$3)=0)*(COUNTIFS($C$3:$K$3,"SERA",$C23:$K23,X$3)=0)*(COUNTIFS($C$3:$K$3,"NOTTE",$C23:$K23,X$3)=0),"_n","")&amp;", ")))</f>
        <v>CARLA, </v>
      </c>
      <c r="BD23" s="10" t="str">
        <f aca="false">IF((Y23="X")+(Y23="F")&gt;0,"",IF(((Y23&lt;&gt;"Xm")*(COUNTIFS($C$3:$K$3,"MAT",$C23:$K23,Y$3)=0)*(COUNTIFS($C$3:$K$3,"NOTTE",$C23:$K23,Y$3)=0))+((Y23&lt;&gt;"Xp")*(COUNTIFS($C$3:$K$3,"POM",$C23:$K23,Y$3)=0)*(COUNTIFS($C$3:$K$3,"NOTTE",$C23:$K23,Y$3)=0))+((Y23&lt;&gt;"Xs")*(Y23&lt;&gt;"Cs")*(COUNTIFS($C$3:$K$3,"SERA",$C23:$K23,Y$3)=0)*(COUNTIFS($C$3:$K$3,"NOTTE",$C23:$K23,Y$3)=0))+((Y23&lt;&gt;"Xn")*(COUNTIFS($C$3:$K$3,"MAT",$C23:$K23,Y$3)=0)*(COUNTIFS($C$3:$K$3,"POM",$C23:$K23,Y$3)=0)*(COUNTIFS($C$3:$K$3,"SERA",$C23:$K23,Y$3)=0)*(COUNTIFS($C$3:$K$3,"NOTTE",$C23:$K23,Y$3)=0))=0,"",IF(((Y23&lt;&gt;"Xm")*(COUNTIFS($C$3:$K$3,"MAT",$C23:$K23,Y$3)=0)*(COUNTIFS($C$3:$K$3,"NOTTE",$C23:$K23,Y$3)=0))+((Y23&lt;&gt;"Xp")*(COUNTIFS($C$3:$K$3,"POM",$C23:$K23,Y$3)=0)*(COUNTIFS($C$3:$K$3,"NOTTE",$C23:$K23,Y$3)=0))+((Y23&lt;&gt;"Xs")*(Y23&lt;&gt;"Cs")*(COUNTIFS($C$3:$K$3,"SERA",$C23:$K23,Y$3)=0)*(COUNTIFS($C$3:$K$3,"NOTTE",$C23:$K23,Y$3)=0))+((Y23&lt;&gt;"Xn")*(COUNTIFS($C$3:$K$3,"MAT",$C23:$K23,Y$3)=0)*(COUNTIFS($C$3:$K$3,"POM",$C23:$K23,Y$3)=0)*(COUNTIFS($C$3:$K$3,"SERA",$C23:$K23,Y$3)=0)*(COUNTIFS($C$3:$K$3,"NOTTE",$C23:$K23,Y$3)=0))=4,Y$3&amp;", ",Y$3&amp;IF((Y23&lt;&gt;"Xm")*(COUNTIFS($C$3:$K$3,"MAT",$C23:$K23,Y$3)=0)*(COUNTIFS($C$3:$K$3,"NOTTE",$C23:$K23,Y$3)=0),"_m","")&amp;IF((Y23&lt;&gt;"Xp")*(COUNTIFS($C$3:$K$3,"POM",$C23:$K23,Y$3)=0)*(COUNTIFS($C$3:$K$3,"NOTTE",$C23:$K23,Y$3)=0),"_p","")&amp;IF((Y23&lt;&gt;"Xs")*(Y23&lt;&gt;"Cs")*(COUNTIFS($C$3:$K$3,"SERA",$C23:$K23,Y$3)=0)*(COUNTIFS($C$3:$K$3,"NOTTE",$C23:$K23,Y$3)=0),"_s","")&amp;IF((Y23&lt;&gt;"Xn")*(COUNTIFS($C$3:$K$3,"MAT",$C23:$K23,Y$3)=0)*(COUNTIFS($C$3:$K$3,"POM",$C23:$K23,Y$3)=0)*(COUNTIFS($C$3:$K$3,"SERA",$C23:$K23,Y$3)=0)*(COUNTIFS($C$3:$K$3,"NOTTE",$C23:$K23,Y$3)=0),"_n","")&amp;", ")))</f>
        <v>DINO, </v>
      </c>
      <c r="BE23" s="10" t="str">
        <f aca="false">IF((Z23="X")+(Z23="F")&gt;0,"",IF(((Z23&lt;&gt;"Xm")*(COUNTIFS($C$3:$K$3,"MAT",$C23:$K23,Z$3)=0)*(COUNTIFS($C$3:$K$3,"NOTTE",$C23:$K23,Z$3)=0))+((Z23&lt;&gt;"Xp")*(COUNTIFS($C$3:$K$3,"POM",$C23:$K23,Z$3)=0)*(COUNTIFS($C$3:$K$3,"NOTTE",$C23:$K23,Z$3)=0))+((Z23&lt;&gt;"Xs")*(Z23&lt;&gt;"Cs")*(COUNTIFS($C$3:$K$3,"SERA",$C23:$K23,Z$3)=0)*(COUNTIFS($C$3:$K$3,"NOTTE",$C23:$K23,Z$3)=0))+((Z23&lt;&gt;"Xn")*(COUNTIFS($C$3:$K$3,"MAT",$C23:$K23,Z$3)=0)*(COUNTIFS($C$3:$K$3,"POM",$C23:$K23,Z$3)=0)*(COUNTIFS($C$3:$K$3,"SERA",$C23:$K23,Z$3)=0)*(COUNTIFS($C$3:$K$3,"NOTTE",$C23:$K23,Z$3)=0))=0,"",IF(((Z23&lt;&gt;"Xm")*(COUNTIFS($C$3:$K$3,"MAT",$C23:$K23,Z$3)=0)*(COUNTIFS($C$3:$K$3,"NOTTE",$C23:$K23,Z$3)=0))+((Z23&lt;&gt;"Xp")*(COUNTIFS($C$3:$K$3,"POM",$C23:$K23,Z$3)=0)*(COUNTIFS($C$3:$K$3,"NOTTE",$C23:$K23,Z$3)=0))+((Z23&lt;&gt;"Xs")*(Z23&lt;&gt;"Cs")*(COUNTIFS($C$3:$K$3,"SERA",$C23:$K23,Z$3)=0)*(COUNTIFS($C$3:$K$3,"NOTTE",$C23:$K23,Z$3)=0))+((Z23&lt;&gt;"Xn")*(COUNTIFS($C$3:$K$3,"MAT",$C23:$K23,Z$3)=0)*(COUNTIFS($C$3:$K$3,"POM",$C23:$K23,Z$3)=0)*(COUNTIFS($C$3:$K$3,"SERA",$C23:$K23,Z$3)=0)*(COUNTIFS($C$3:$K$3,"NOTTE",$C23:$K23,Z$3)=0))=4,Z$3&amp;", ",Z$3&amp;IF((Z23&lt;&gt;"Xm")*(COUNTIFS($C$3:$K$3,"MAT",$C23:$K23,Z$3)=0)*(COUNTIFS($C$3:$K$3,"NOTTE",$C23:$K23,Z$3)=0),"_m","")&amp;IF((Z23&lt;&gt;"Xp")*(COUNTIFS($C$3:$K$3,"POM",$C23:$K23,Z$3)=0)*(COUNTIFS($C$3:$K$3,"NOTTE",$C23:$K23,Z$3)=0),"_p","")&amp;IF((Z23&lt;&gt;"Xs")*(Z23&lt;&gt;"Cs")*(COUNTIFS($C$3:$K$3,"SERA",$C23:$K23,Z$3)=0)*(COUNTIFS($C$3:$K$3,"NOTTE",$C23:$K23,Z$3)=0),"_s","")&amp;IF((Z23&lt;&gt;"Xn")*(COUNTIFS($C$3:$K$3,"MAT",$C23:$K23,Z$3)=0)*(COUNTIFS($C$3:$K$3,"POM",$C23:$K23,Z$3)=0)*(COUNTIFS($C$3:$K$3,"SERA",$C23:$K23,Z$3)=0)*(COUNTIFS($C$3:$K$3,"NOTTE",$C23:$K23,Z$3)=0),"_n","")&amp;", ")))</f>
        <v>ELSA, </v>
      </c>
      <c r="BF23" s="10" t="str">
        <f aca="false">IF((AA23="X")+(AA23="F")&gt;0,"",IF(((AA23&lt;&gt;"Xm")*(COUNTIFS($C$3:$K$3,"MAT",$C23:$K23,AA$3)=0)*(COUNTIFS($C$3:$K$3,"NOTTE",$C23:$K23,AA$3)=0))+((AA23&lt;&gt;"Xp")*(COUNTIFS($C$3:$K$3,"POM",$C23:$K23,AA$3)=0)*(COUNTIFS($C$3:$K$3,"NOTTE",$C23:$K23,AA$3)=0))+((AA23&lt;&gt;"Xs")*(AA23&lt;&gt;"Cs")*(COUNTIFS($C$3:$K$3,"SERA",$C23:$K23,AA$3)=0)*(COUNTIFS($C$3:$K$3,"NOTTE",$C23:$K23,AA$3)=0))+((AA23&lt;&gt;"Xn")*(COUNTIFS($C$3:$K$3,"MAT",$C23:$K23,AA$3)=0)*(COUNTIFS($C$3:$K$3,"POM",$C23:$K23,AA$3)=0)*(COUNTIFS($C$3:$K$3,"SERA",$C23:$K23,AA$3)=0)*(COUNTIFS($C$3:$K$3,"NOTTE",$C23:$K23,AA$3)=0))=0,"",IF(((AA23&lt;&gt;"Xm")*(COUNTIFS($C$3:$K$3,"MAT",$C23:$K23,AA$3)=0)*(COUNTIFS($C$3:$K$3,"NOTTE",$C23:$K23,AA$3)=0))+((AA23&lt;&gt;"Xp")*(COUNTIFS($C$3:$K$3,"POM",$C23:$K23,AA$3)=0)*(COUNTIFS($C$3:$K$3,"NOTTE",$C23:$K23,AA$3)=0))+((AA23&lt;&gt;"Xs")*(AA23&lt;&gt;"Cs")*(COUNTIFS($C$3:$K$3,"SERA",$C23:$K23,AA$3)=0)*(COUNTIFS($C$3:$K$3,"NOTTE",$C23:$K23,AA$3)=0))+((AA23&lt;&gt;"Xn")*(COUNTIFS($C$3:$K$3,"MAT",$C23:$K23,AA$3)=0)*(COUNTIFS($C$3:$K$3,"POM",$C23:$K23,AA$3)=0)*(COUNTIFS($C$3:$K$3,"SERA",$C23:$K23,AA$3)=0)*(COUNTIFS($C$3:$K$3,"NOTTE",$C23:$K23,AA$3)=0))=4,AA$3&amp;", ",AA$3&amp;IF((AA23&lt;&gt;"Xm")*(COUNTIFS($C$3:$K$3,"MAT",$C23:$K23,AA$3)=0)*(COUNTIFS($C$3:$K$3,"NOTTE",$C23:$K23,AA$3)=0),"_m","")&amp;IF((AA23&lt;&gt;"Xp")*(COUNTIFS($C$3:$K$3,"POM",$C23:$K23,AA$3)=0)*(COUNTIFS($C$3:$K$3,"NOTTE",$C23:$K23,AA$3)=0),"_p","")&amp;IF((AA23&lt;&gt;"Xs")*(AA23&lt;&gt;"Cs")*(COUNTIFS($C$3:$K$3,"SERA",$C23:$K23,AA$3)=0)*(COUNTIFS($C$3:$K$3,"NOTTE",$C23:$K23,AA$3)=0),"_s","")&amp;IF((AA23&lt;&gt;"Xn")*(COUNTIFS($C$3:$K$3,"MAT",$C23:$K23,AA$3)=0)*(COUNTIFS($C$3:$K$3,"POM",$C23:$K23,AA$3)=0)*(COUNTIFS($C$3:$K$3,"SERA",$C23:$K23,AA$3)=0)*(COUNTIFS($C$3:$K$3,"NOTTE",$C23:$K23,AA$3)=0),"_n","")&amp;", ")))</f>
        <v>FABIO, </v>
      </c>
    </row>
    <row r="24" customFormat="false" ht="15" hidden="false" customHeight="false" outlineLevel="0" collapsed="false">
      <c r="A24" s="11" t="str">
        <f aca="false">CHOOSE(WEEKDAY(DATE($B$1,$A$2,B24),2),"lunedì","martedì","mercoledì","giovedì","venerdì","sabato","domenica")</f>
        <v>domenica</v>
      </c>
      <c r="B24" s="11" t="n">
        <v>21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 t="str">
        <f aca="false">IF(SUMPRODUCT(($C$3:$K$3&lt;&gt;"")*($C24:$K24&lt;&gt;"")*(COUNTIFS($C24:$K24,$C24:$K24,$C$3:$K$3,$C$3:$K$3)&gt;1))&gt;0,"X","")</f>
        <v/>
      </c>
      <c r="N24" s="11" t="str">
        <f aca="false">IF(LEN(AT24&amp;AU24&amp;AV24&amp;AW24&amp;AX24&amp;AY24)=0,"",LEFT(AT24&amp;AU24&amp;AV24&amp;AW24&amp;AX24&amp;AY24,LEN(AT24&amp;AU24&amp;AV24&amp;AW24&amp;AX24&amp;AY24)-2))</f>
        <v>ALBA, BRUNO, CARLA, DINO, ELSA, FABIO</v>
      </c>
      <c r="O24" s="11" t="str">
        <f aca="false">IF(LEN(BA24&amp;BB24&amp;BC24&amp;BD24&amp;BE24&amp;BF24)=0,"",LEFT(BA24&amp;BB24&amp;BC24&amp;BD24&amp;BE24&amp;BF24,LEN(BA24&amp;BB24&amp;BC24&amp;BD24&amp;BE24&amp;BF24)-2))</f>
        <v>ALBA, BRUNO, CARLA, DINO, ELSA, FABIO</v>
      </c>
      <c r="T24" s="11" t="str">
        <f aca="false">A24</f>
        <v>domenica</v>
      </c>
      <c r="U24" s="11" t="n">
        <f aca="false">B24</f>
        <v>21</v>
      </c>
      <c r="V24" s="11"/>
      <c r="W24" s="11"/>
      <c r="X24" s="11"/>
      <c r="Y24" s="11"/>
      <c r="Z24" s="11"/>
      <c r="AA24" s="11"/>
      <c r="AT24" s="10" t="str">
        <f aca="false">IF((V24="X")+(V24="F")&gt;0,"",IF(((V24&lt;&gt;"Xm"))+((V24&lt;&gt;"Xp"))+((V24&lt;&gt;"Xs")*(V24&lt;&gt;"Cs"))+((V24&lt;&gt;"Xn"))=0,"",IF(((V24&lt;&gt;"Xm"))+((V24&lt;&gt;"Xp"))+((V24&lt;&gt;"Xs")*(V24&lt;&gt;"Cs"))+((V24&lt;&gt;"Xn"))=4,V$3&amp;", ",V$3&amp;IF((V24&lt;&gt;"Xm"),"_m","")&amp;IF((V24&lt;&gt;"Xp"),"_p","")&amp;IF((V24&lt;&gt;"Xs")*(V24&lt;&gt;"Cs"),"_s","")&amp;IF((V24&lt;&gt;"Xn"),"_n","")&amp;", ")))</f>
        <v>ALBA, </v>
      </c>
      <c r="AU24" s="10" t="str">
        <f aca="false">IF((W24="X")+(W24="F")&gt;0,"",IF(((W24&lt;&gt;"Xm"))+((W24&lt;&gt;"Xp"))+((W24&lt;&gt;"Xs")*(W24&lt;&gt;"Cs"))+((W24&lt;&gt;"Xn"))=0,"",IF(((W24&lt;&gt;"Xm"))+((W24&lt;&gt;"Xp"))+((W24&lt;&gt;"Xs")*(W24&lt;&gt;"Cs"))+((W24&lt;&gt;"Xn"))=4,W$3&amp;", ",W$3&amp;IF((W24&lt;&gt;"Xm"),"_m","")&amp;IF((W24&lt;&gt;"Xp"),"_p","")&amp;IF((W24&lt;&gt;"Xs")*(W24&lt;&gt;"Cs"),"_s","")&amp;IF((W24&lt;&gt;"Xn"),"_n","")&amp;", ")))</f>
        <v>BRUNO, </v>
      </c>
      <c r="AV24" s="10" t="str">
        <f aca="false">IF((X24="X")+(X24="F")&gt;0,"",IF(((X24&lt;&gt;"Xm"))+((X24&lt;&gt;"Xp"))+((X24&lt;&gt;"Xs")*(X24&lt;&gt;"Cs"))+((X24&lt;&gt;"Xn"))=0,"",IF(((X24&lt;&gt;"Xm"))+((X24&lt;&gt;"Xp"))+((X24&lt;&gt;"Xs")*(X24&lt;&gt;"Cs"))+((X24&lt;&gt;"Xn"))=4,X$3&amp;", ",X$3&amp;IF((X24&lt;&gt;"Xm"),"_m","")&amp;IF((X24&lt;&gt;"Xp"),"_p","")&amp;IF((X24&lt;&gt;"Xs")*(X24&lt;&gt;"Cs"),"_s","")&amp;IF((X24&lt;&gt;"Xn"),"_n","")&amp;", ")))</f>
        <v>CARLA, </v>
      </c>
      <c r="AW24" s="10" t="str">
        <f aca="false">IF((Y24="X")+(Y24="F")&gt;0,"",IF(((Y24&lt;&gt;"Xm"))+((Y24&lt;&gt;"Xp"))+((Y24&lt;&gt;"Xs")*(Y24&lt;&gt;"Cs"))+((Y24&lt;&gt;"Xn"))=0,"",IF(((Y24&lt;&gt;"Xm"))+((Y24&lt;&gt;"Xp"))+((Y24&lt;&gt;"Xs")*(Y24&lt;&gt;"Cs"))+((Y24&lt;&gt;"Xn"))=4,Y$3&amp;", ",Y$3&amp;IF((Y24&lt;&gt;"Xm"),"_m","")&amp;IF((Y24&lt;&gt;"Xp"),"_p","")&amp;IF((Y24&lt;&gt;"Xs")*(Y24&lt;&gt;"Cs"),"_s","")&amp;IF((Y24&lt;&gt;"Xn"),"_n","")&amp;", ")))</f>
        <v>DINO, </v>
      </c>
      <c r="AX24" s="10" t="str">
        <f aca="false">IF((Z24="X")+(Z24="F")&gt;0,"",IF(((Z24&lt;&gt;"Xm"))+((Z24&lt;&gt;"Xp"))+((Z24&lt;&gt;"Xs")*(Z24&lt;&gt;"Cs"))+((Z24&lt;&gt;"Xn"))=0,"",IF(((Z24&lt;&gt;"Xm"))+((Z24&lt;&gt;"Xp"))+((Z24&lt;&gt;"Xs")*(Z24&lt;&gt;"Cs"))+((Z24&lt;&gt;"Xn"))=4,Z$3&amp;", ",Z$3&amp;IF((Z24&lt;&gt;"Xm"),"_m","")&amp;IF((Z24&lt;&gt;"Xp"),"_p","")&amp;IF((Z24&lt;&gt;"Xs")*(Z24&lt;&gt;"Cs"),"_s","")&amp;IF((Z24&lt;&gt;"Xn"),"_n","")&amp;", ")))</f>
        <v>ELSA, </v>
      </c>
      <c r="AY24" s="10" t="str">
        <f aca="false">IF((AA24="X")+(AA24="F")&gt;0,"",IF(((AA24&lt;&gt;"Xm"))+((AA24&lt;&gt;"Xp"))+((AA24&lt;&gt;"Xs")*(AA24&lt;&gt;"Cs"))+((AA24&lt;&gt;"Xn"))=0,"",IF(((AA24&lt;&gt;"Xm"))+((AA24&lt;&gt;"Xp"))+((AA24&lt;&gt;"Xs")*(AA24&lt;&gt;"Cs"))+((AA24&lt;&gt;"Xn"))=4,AA$3&amp;", ",AA$3&amp;IF((AA24&lt;&gt;"Xm"),"_m","")&amp;IF((AA24&lt;&gt;"Xp"),"_p","")&amp;IF((AA24&lt;&gt;"Xs")*(AA24&lt;&gt;"Cs"),"_s","")&amp;IF((AA24&lt;&gt;"Xn"),"_n","")&amp;", ")))</f>
        <v>FABIO, </v>
      </c>
      <c r="AZ24" s="10"/>
      <c r="BA24" s="10" t="str">
        <f aca="false">IF((V24="X")+(V24="F")&gt;0,"",IF(((V24&lt;&gt;"Xm")*(COUNTIFS($C$3:$K$3,"MAT",$C24:$K24,V$3)=0)*(COUNTIFS($C$3:$K$3,"NOTTE",$C24:$K24,V$3)=0))+((V24&lt;&gt;"Xp")*(COUNTIFS($C$3:$K$3,"POM",$C24:$K24,V$3)=0)*(COUNTIFS($C$3:$K$3,"NOTTE",$C24:$K24,V$3)=0))+((V24&lt;&gt;"Xs")*(V24&lt;&gt;"Cs")*(COUNTIFS($C$3:$K$3,"SERA",$C24:$K24,V$3)=0)*(COUNTIFS($C$3:$K$3,"NOTTE",$C24:$K24,V$3)=0))+((V24&lt;&gt;"Xn")*(COUNTIFS($C$3:$K$3,"MAT",$C24:$K24,V$3)=0)*(COUNTIFS($C$3:$K$3,"POM",$C24:$K24,V$3)=0)*(COUNTIFS($C$3:$K$3,"SERA",$C24:$K24,V$3)=0)*(COUNTIFS($C$3:$K$3,"NOTTE",$C24:$K24,V$3)=0))=0,"",IF(((V24&lt;&gt;"Xm")*(COUNTIFS($C$3:$K$3,"MAT",$C24:$K24,V$3)=0)*(COUNTIFS($C$3:$K$3,"NOTTE",$C24:$K24,V$3)=0))+((V24&lt;&gt;"Xp")*(COUNTIFS($C$3:$K$3,"POM",$C24:$K24,V$3)=0)*(COUNTIFS($C$3:$K$3,"NOTTE",$C24:$K24,V$3)=0))+((V24&lt;&gt;"Xs")*(V24&lt;&gt;"Cs")*(COUNTIFS($C$3:$K$3,"SERA",$C24:$K24,V$3)=0)*(COUNTIFS($C$3:$K$3,"NOTTE",$C24:$K24,V$3)=0))+((V24&lt;&gt;"Xn")*(COUNTIFS($C$3:$K$3,"MAT",$C24:$K24,V$3)=0)*(COUNTIFS($C$3:$K$3,"POM",$C24:$K24,V$3)=0)*(COUNTIFS($C$3:$K$3,"SERA",$C24:$K24,V$3)=0)*(COUNTIFS($C$3:$K$3,"NOTTE",$C24:$K24,V$3)=0))=4,V$3&amp;", ",V$3&amp;IF((V24&lt;&gt;"Xm")*(COUNTIFS($C$3:$K$3,"MAT",$C24:$K24,V$3)=0)*(COUNTIFS($C$3:$K$3,"NOTTE",$C24:$K24,V$3)=0),"_m","")&amp;IF((V24&lt;&gt;"Xp")*(COUNTIFS($C$3:$K$3,"POM",$C24:$K24,V$3)=0)*(COUNTIFS($C$3:$K$3,"NOTTE",$C24:$K24,V$3)=0),"_p","")&amp;IF((V24&lt;&gt;"Xs")*(V24&lt;&gt;"Cs")*(COUNTIFS($C$3:$K$3,"SERA",$C24:$K24,V$3)=0)*(COUNTIFS($C$3:$K$3,"NOTTE",$C24:$K24,V$3)=0),"_s","")&amp;IF((V24&lt;&gt;"Xn")*(COUNTIFS($C$3:$K$3,"MAT",$C24:$K24,V$3)=0)*(COUNTIFS($C$3:$K$3,"POM",$C24:$K24,V$3)=0)*(COUNTIFS($C$3:$K$3,"SERA",$C24:$K24,V$3)=0)*(COUNTIFS($C$3:$K$3,"NOTTE",$C24:$K24,V$3)=0),"_n","")&amp;", ")))</f>
        <v>ALBA, </v>
      </c>
      <c r="BB24" s="10" t="str">
        <f aca="false">IF((W24="X")+(W24="F")&gt;0,"",IF(((W24&lt;&gt;"Xm")*(COUNTIFS($C$3:$K$3,"MAT",$C24:$K24,W$3)=0)*(COUNTIFS($C$3:$K$3,"NOTTE",$C24:$K24,W$3)=0))+((W24&lt;&gt;"Xp")*(COUNTIFS($C$3:$K$3,"POM",$C24:$K24,W$3)=0)*(COUNTIFS($C$3:$K$3,"NOTTE",$C24:$K24,W$3)=0))+((W24&lt;&gt;"Xs")*(W24&lt;&gt;"Cs")*(COUNTIFS($C$3:$K$3,"SERA",$C24:$K24,W$3)=0)*(COUNTIFS($C$3:$K$3,"NOTTE",$C24:$K24,W$3)=0))+((W24&lt;&gt;"Xn")*(COUNTIFS($C$3:$K$3,"MAT",$C24:$K24,W$3)=0)*(COUNTIFS($C$3:$K$3,"POM",$C24:$K24,W$3)=0)*(COUNTIFS($C$3:$K$3,"SERA",$C24:$K24,W$3)=0)*(COUNTIFS($C$3:$K$3,"NOTTE",$C24:$K24,W$3)=0))=0,"",IF(((W24&lt;&gt;"Xm")*(COUNTIFS($C$3:$K$3,"MAT",$C24:$K24,W$3)=0)*(COUNTIFS($C$3:$K$3,"NOTTE",$C24:$K24,W$3)=0))+((W24&lt;&gt;"Xp")*(COUNTIFS($C$3:$K$3,"POM",$C24:$K24,W$3)=0)*(COUNTIFS($C$3:$K$3,"NOTTE",$C24:$K24,W$3)=0))+((W24&lt;&gt;"Xs")*(W24&lt;&gt;"Cs")*(COUNTIFS($C$3:$K$3,"SERA",$C24:$K24,W$3)=0)*(COUNTIFS($C$3:$K$3,"NOTTE",$C24:$K24,W$3)=0))+((W24&lt;&gt;"Xn")*(COUNTIFS($C$3:$K$3,"MAT",$C24:$K24,W$3)=0)*(COUNTIFS($C$3:$K$3,"POM",$C24:$K24,W$3)=0)*(COUNTIFS($C$3:$K$3,"SERA",$C24:$K24,W$3)=0)*(COUNTIFS($C$3:$K$3,"NOTTE",$C24:$K24,W$3)=0))=4,W$3&amp;", ",W$3&amp;IF((W24&lt;&gt;"Xm")*(COUNTIFS($C$3:$K$3,"MAT",$C24:$K24,W$3)=0)*(COUNTIFS($C$3:$K$3,"NOTTE",$C24:$K24,W$3)=0),"_m","")&amp;IF((W24&lt;&gt;"Xp")*(COUNTIFS($C$3:$K$3,"POM",$C24:$K24,W$3)=0)*(COUNTIFS($C$3:$K$3,"NOTTE",$C24:$K24,W$3)=0),"_p","")&amp;IF((W24&lt;&gt;"Xs")*(W24&lt;&gt;"Cs")*(COUNTIFS($C$3:$K$3,"SERA",$C24:$K24,W$3)=0)*(COUNTIFS($C$3:$K$3,"NOTTE",$C24:$K24,W$3)=0),"_s","")&amp;IF((W24&lt;&gt;"Xn")*(COUNTIFS($C$3:$K$3,"MAT",$C24:$K24,W$3)=0)*(COUNTIFS($C$3:$K$3,"POM",$C24:$K24,W$3)=0)*(COUNTIFS($C$3:$K$3,"SERA",$C24:$K24,W$3)=0)*(COUNTIFS($C$3:$K$3,"NOTTE",$C24:$K24,W$3)=0),"_n","")&amp;", ")))</f>
        <v>BRUNO, </v>
      </c>
      <c r="BC24" s="10" t="str">
        <f aca="false">IF((X24="X")+(X24="F")&gt;0,"",IF(((X24&lt;&gt;"Xm")*(COUNTIFS($C$3:$K$3,"MAT",$C24:$K24,X$3)=0)*(COUNTIFS($C$3:$K$3,"NOTTE",$C24:$K24,X$3)=0))+((X24&lt;&gt;"Xp")*(COUNTIFS($C$3:$K$3,"POM",$C24:$K24,X$3)=0)*(COUNTIFS($C$3:$K$3,"NOTTE",$C24:$K24,X$3)=0))+((X24&lt;&gt;"Xs")*(X24&lt;&gt;"Cs")*(COUNTIFS($C$3:$K$3,"SERA",$C24:$K24,X$3)=0)*(COUNTIFS($C$3:$K$3,"NOTTE",$C24:$K24,X$3)=0))+((X24&lt;&gt;"Xn")*(COUNTIFS($C$3:$K$3,"MAT",$C24:$K24,X$3)=0)*(COUNTIFS($C$3:$K$3,"POM",$C24:$K24,X$3)=0)*(COUNTIFS($C$3:$K$3,"SERA",$C24:$K24,X$3)=0)*(COUNTIFS($C$3:$K$3,"NOTTE",$C24:$K24,X$3)=0))=0,"",IF(((X24&lt;&gt;"Xm")*(COUNTIFS($C$3:$K$3,"MAT",$C24:$K24,X$3)=0)*(COUNTIFS($C$3:$K$3,"NOTTE",$C24:$K24,X$3)=0))+((X24&lt;&gt;"Xp")*(COUNTIFS($C$3:$K$3,"POM",$C24:$K24,X$3)=0)*(COUNTIFS($C$3:$K$3,"NOTTE",$C24:$K24,X$3)=0))+((X24&lt;&gt;"Xs")*(X24&lt;&gt;"Cs")*(COUNTIFS($C$3:$K$3,"SERA",$C24:$K24,X$3)=0)*(COUNTIFS($C$3:$K$3,"NOTTE",$C24:$K24,X$3)=0))+((X24&lt;&gt;"Xn")*(COUNTIFS($C$3:$K$3,"MAT",$C24:$K24,X$3)=0)*(COUNTIFS($C$3:$K$3,"POM",$C24:$K24,X$3)=0)*(COUNTIFS($C$3:$K$3,"SERA",$C24:$K24,X$3)=0)*(COUNTIFS($C$3:$K$3,"NOTTE",$C24:$K24,X$3)=0))=4,X$3&amp;", ",X$3&amp;IF((X24&lt;&gt;"Xm")*(COUNTIFS($C$3:$K$3,"MAT",$C24:$K24,X$3)=0)*(COUNTIFS($C$3:$K$3,"NOTTE",$C24:$K24,X$3)=0),"_m","")&amp;IF((X24&lt;&gt;"Xp")*(COUNTIFS($C$3:$K$3,"POM",$C24:$K24,X$3)=0)*(COUNTIFS($C$3:$K$3,"NOTTE",$C24:$K24,X$3)=0),"_p","")&amp;IF((X24&lt;&gt;"Xs")*(X24&lt;&gt;"Cs")*(COUNTIFS($C$3:$K$3,"SERA",$C24:$K24,X$3)=0)*(COUNTIFS($C$3:$K$3,"NOTTE",$C24:$K24,X$3)=0),"_s","")&amp;IF((X24&lt;&gt;"Xn")*(COUNTIFS($C$3:$K$3,"MAT",$C24:$K24,X$3)=0)*(COUNTIFS($C$3:$K$3,"POM",$C24:$K24,X$3)=0)*(COUNTIFS($C$3:$K$3,"SERA",$C24:$K24,X$3)=0)*(COUNTIFS($C$3:$K$3,"NOTTE",$C24:$K24,X$3)=0),"_n","")&amp;", ")))</f>
        <v>CARLA, </v>
      </c>
      <c r="BD24" s="10" t="str">
        <f aca="false">IF((Y24="X")+(Y24="F")&gt;0,"",IF(((Y24&lt;&gt;"Xm")*(COUNTIFS($C$3:$K$3,"MAT",$C24:$K24,Y$3)=0)*(COUNTIFS($C$3:$K$3,"NOTTE",$C24:$K24,Y$3)=0))+((Y24&lt;&gt;"Xp")*(COUNTIFS($C$3:$K$3,"POM",$C24:$K24,Y$3)=0)*(COUNTIFS($C$3:$K$3,"NOTTE",$C24:$K24,Y$3)=0))+((Y24&lt;&gt;"Xs")*(Y24&lt;&gt;"Cs")*(COUNTIFS($C$3:$K$3,"SERA",$C24:$K24,Y$3)=0)*(COUNTIFS($C$3:$K$3,"NOTTE",$C24:$K24,Y$3)=0))+((Y24&lt;&gt;"Xn")*(COUNTIFS($C$3:$K$3,"MAT",$C24:$K24,Y$3)=0)*(COUNTIFS($C$3:$K$3,"POM",$C24:$K24,Y$3)=0)*(COUNTIFS($C$3:$K$3,"SERA",$C24:$K24,Y$3)=0)*(COUNTIFS($C$3:$K$3,"NOTTE",$C24:$K24,Y$3)=0))=0,"",IF(((Y24&lt;&gt;"Xm")*(COUNTIFS($C$3:$K$3,"MAT",$C24:$K24,Y$3)=0)*(COUNTIFS($C$3:$K$3,"NOTTE",$C24:$K24,Y$3)=0))+((Y24&lt;&gt;"Xp")*(COUNTIFS($C$3:$K$3,"POM",$C24:$K24,Y$3)=0)*(COUNTIFS($C$3:$K$3,"NOTTE",$C24:$K24,Y$3)=0))+((Y24&lt;&gt;"Xs")*(Y24&lt;&gt;"Cs")*(COUNTIFS($C$3:$K$3,"SERA",$C24:$K24,Y$3)=0)*(COUNTIFS($C$3:$K$3,"NOTTE",$C24:$K24,Y$3)=0))+((Y24&lt;&gt;"Xn")*(COUNTIFS($C$3:$K$3,"MAT",$C24:$K24,Y$3)=0)*(COUNTIFS($C$3:$K$3,"POM",$C24:$K24,Y$3)=0)*(COUNTIFS($C$3:$K$3,"SERA",$C24:$K24,Y$3)=0)*(COUNTIFS($C$3:$K$3,"NOTTE",$C24:$K24,Y$3)=0))=4,Y$3&amp;", ",Y$3&amp;IF((Y24&lt;&gt;"Xm")*(COUNTIFS($C$3:$K$3,"MAT",$C24:$K24,Y$3)=0)*(COUNTIFS($C$3:$K$3,"NOTTE",$C24:$K24,Y$3)=0),"_m","")&amp;IF((Y24&lt;&gt;"Xp")*(COUNTIFS($C$3:$K$3,"POM",$C24:$K24,Y$3)=0)*(COUNTIFS($C$3:$K$3,"NOTTE",$C24:$K24,Y$3)=0),"_p","")&amp;IF((Y24&lt;&gt;"Xs")*(Y24&lt;&gt;"Cs")*(COUNTIFS($C$3:$K$3,"SERA",$C24:$K24,Y$3)=0)*(COUNTIFS($C$3:$K$3,"NOTTE",$C24:$K24,Y$3)=0),"_s","")&amp;IF((Y24&lt;&gt;"Xn")*(COUNTIFS($C$3:$K$3,"MAT",$C24:$K24,Y$3)=0)*(COUNTIFS($C$3:$K$3,"POM",$C24:$K24,Y$3)=0)*(COUNTIFS($C$3:$K$3,"SERA",$C24:$K24,Y$3)=0)*(COUNTIFS($C$3:$K$3,"NOTTE",$C24:$K24,Y$3)=0),"_n","")&amp;", ")))</f>
        <v>DINO, </v>
      </c>
      <c r="BE24" s="10" t="str">
        <f aca="false">IF((Z24="X")+(Z24="F")&gt;0,"",IF(((Z24&lt;&gt;"Xm")*(COUNTIFS($C$3:$K$3,"MAT",$C24:$K24,Z$3)=0)*(COUNTIFS($C$3:$K$3,"NOTTE",$C24:$K24,Z$3)=0))+((Z24&lt;&gt;"Xp")*(COUNTIFS($C$3:$K$3,"POM",$C24:$K24,Z$3)=0)*(COUNTIFS($C$3:$K$3,"NOTTE",$C24:$K24,Z$3)=0))+((Z24&lt;&gt;"Xs")*(Z24&lt;&gt;"Cs")*(COUNTIFS($C$3:$K$3,"SERA",$C24:$K24,Z$3)=0)*(COUNTIFS($C$3:$K$3,"NOTTE",$C24:$K24,Z$3)=0))+((Z24&lt;&gt;"Xn")*(COUNTIFS($C$3:$K$3,"MAT",$C24:$K24,Z$3)=0)*(COUNTIFS($C$3:$K$3,"POM",$C24:$K24,Z$3)=0)*(COUNTIFS($C$3:$K$3,"SERA",$C24:$K24,Z$3)=0)*(COUNTIFS($C$3:$K$3,"NOTTE",$C24:$K24,Z$3)=0))=0,"",IF(((Z24&lt;&gt;"Xm")*(COUNTIFS($C$3:$K$3,"MAT",$C24:$K24,Z$3)=0)*(COUNTIFS($C$3:$K$3,"NOTTE",$C24:$K24,Z$3)=0))+((Z24&lt;&gt;"Xp")*(COUNTIFS($C$3:$K$3,"POM",$C24:$K24,Z$3)=0)*(COUNTIFS($C$3:$K$3,"NOTTE",$C24:$K24,Z$3)=0))+((Z24&lt;&gt;"Xs")*(Z24&lt;&gt;"Cs")*(COUNTIFS($C$3:$K$3,"SERA",$C24:$K24,Z$3)=0)*(COUNTIFS($C$3:$K$3,"NOTTE",$C24:$K24,Z$3)=0))+((Z24&lt;&gt;"Xn")*(COUNTIFS($C$3:$K$3,"MAT",$C24:$K24,Z$3)=0)*(COUNTIFS($C$3:$K$3,"POM",$C24:$K24,Z$3)=0)*(COUNTIFS($C$3:$K$3,"SERA",$C24:$K24,Z$3)=0)*(COUNTIFS($C$3:$K$3,"NOTTE",$C24:$K24,Z$3)=0))=4,Z$3&amp;", ",Z$3&amp;IF((Z24&lt;&gt;"Xm")*(COUNTIFS($C$3:$K$3,"MAT",$C24:$K24,Z$3)=0)*(COUNTIFS($C$3:$K$3,"NOTTE",$C24:$K24,Z$3)=0),"_m","")&amp;IF((Z24&lt;&gt;"Xp")*(COUNTIFS($C$3:$K$3,"POM",$C24:$K24,Z$3)=0)*(COUNTIFS($C$3:$K$3,"NOTTE",$C24:$K24,Z$3)=0),"_p","")&amp;IF((Z24&lt;&gt;"Xs")*(Z24&lt;&gt;"Cs")*(COUNTIFS($C$3:$K$3,"SERA",$C24:$K24,Z$3)=0)*(COUNTIFS($C$3:$K$3,"NOTTE",$C24:$K24,Z$3)=0),"_s","")&amp;IF((Z24&lt;&gt;"Xn")*(COUNTIFS($C$3:$K$3,"MAT",$C24:$K24,Z$3)=0)*(COUNTIFS($C$3:$K$3,"POM",$C24:$K24,Z$3)=0)*(COUNTIFS($C$3:$K$3,"SERA",$C24:$K24,Z$3)=0)*(COUNTIFS($C$3:$K$3,"NOTTE",$C24:$K24,Z$3)=0),"_n","")&amp;", ")))</f>
        <v>ELSA, </v>
      </c>
      <c r="BF24" s="10" t="str">
        <f aca="false">IF((AA24="X")+(AA24="F")&gt;0,"",IF(((AA24&lt;&gt;"Xm")*(COUNTIFS($C$3:$K$3,"MAT",$C24:$K24,AA$3)=0)*(COUNTIFS($C$3:$K$3,"NOTTE",$C24:$K24,AA$3)=0))+((AA24&lt;&gt;"Xp")*(COUNTIFS($C$3:$K$3,"POM",$C24:$K24,AA$3)=0)*(COUNTIFS($C$3:$K$3,"NOTTE",$C24:$K24,AA$3)=0))+((AA24&lt;&gt;"Xs")*(AA24&lt;&gt;"Cs")*(COUNTIFS($C$3:$K$3,"SERA",$C24:$K24,AA$3)=0)*(COUNTIFS($C$3:$K$3,"NOTTE",$C24:$K24,AA$3)=0))+((AA24&lt;&gt;"Xn")*(COUNTIFS($C$3:$K$3,"MAT",$C24:$K24,AA$3)=0)*(COUNTIFS($C$3:$K$3,"POM",$C24:$K24,AA$3)=0)*(COUNTIFS($C$3:$K$3,"SERA",$C24:$K24,AA$3)=0)*(COUNTIFS($C$3:$K$3,"NOTTE",$C24:$K24,AA$3)=0))=0,"",IF(((AA24&lt;&gt;"Xm")*(COUNTIFS($C$3:$K$3,"MAT",$C24:$K24,AA$3)=0)*(COUNTIFS($C$3:$K$3,"NOTTE",$C24:$K24,AA$3)=0))+((AA24&lt;&gt;"Xp")*(COUNTIFS($C$3:$K$3,"POM",$C24:$K24,AA$3)=0)*(COUNTIFS($C$3:$K$3,"NOTTE",$C24:$K24,AA$3)=0))+((AA24&lt;&gt;"Xs")*(AA24&lt;&gt;"Cs")*(COUNTIFS($C$3:$K$3,"SERA",$C24:$K24,AA$3)=0)*(COUNTIFS($C$3:$K$3,"NOTTE",$C24:$K24,AA$3)=0))+((AA24&lt;&gt;"Xn")*(COUNTIFS($C$3:$K$3,"MAT",$C24:$K24,AA$3)=0)*(COUNTIFS($C$3:$K$3,"POM",$C24:$K24,AA$3)=0)*(COUNTIFS($C$3:$K$3,"SERA",$C24:$K24,AA$3)=0)*(COUNTIFS($C$3:$K$3,"NOTTE",$C24:$K24,AA$3)=0))=4,AA$3&amp;", ",AA$3&amp;IF((AA24&lt;&gt;"Xm")*(COUNTIFS($C$3:$K$3,"MAT",$C24:$K24,AA$3)=0)*(COUNTIFS($C$3:$K$3,"NOTTE",$C24:$K24,AA$3)=0),"_m","")&amp;IF((AA24&lt;&gt;"Xp")*(COUNTIFS($C$3:$K$3,"POM",$C24:$K24,AA$3)=0)*(COUNTIFS($C$3:$K$3,"NOTTE",$C24:$K24,AA$3)=0),"_p","")&amp;IF((AA24&lt;&gt;"Xs")*(AA24&lt;&gt;"Cs")*(COUNTIFS($C$3:$K$3,"SERA",$C24:$K24,AA$3)=0)*(COUNTIFS($C$3:$K$3,"NOTTE",$C24:$K24,AA$3)=0),"_s","")&amp;IF((AA24&lt;&gt;"Xn")*(COUNTIFS($C$3:$K$3,"MAT",$C24:$K24,AA$3)=0)*(COUNTIFS($C$3:$K$3,"POM",$C24:$K24,AA$3)=0)*(COUNTIFS($C$3:$K$3,"SERA",$C24:$K24,AA$3)=0)*(COUNTIFS($C$3:$K$3,"NOTTE",$C24:$K24,AA$3)=0),"_n","")&amp;", ")))</f>
        <v>FABIO, </v>
      </c>
    </row>
    <row r="25" customFormat="false" ht="15" hidden="false" customHeight="false" outlineLevel="0" collapsed="false">
      <c r="A25" s="4" t="str">
        <f aca="false">CHOOSE(WEEKDAY(DATE($B$1,$A$2,B25),2),"lunedì","martedì","mercoledì","giovedì","venerdì","sabato","domenica")</f>
        <v>lunedì</v>
      </c>
      <c r="B25" s="4" t="n">
        <v>22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 t="str">
        <f aca="false">IF(SUMPRODUCT(($C$3:$K$3&lt;&gt;"")*($C25:$K25&lt;&gt;"")*(COUNTIFS($C25:$K25,$C25:$K25,$C$3:$K$3,$C$3:$K$3)&gt;1))&gt;0,"X","")</f>
        <v/>
      </c>
      <c r="N25" s="5" t="str">
        <f aca="false">IF(LEN(AT25&amp;AU25&amp;AV25&amp;AW25&amp;AX25&amp;AY25)=0,"",LEFT(AT25&amp;AU25&amp;AV25&amp;AW25&amp;AX25&amp;AY25,LEN(AT25&amp;AU25&amp;AV25&amp;AW25&amp;AX25&amp;AY25)-2))</f>
        <v>ALBA, BRUNO, CARLA, DINO, ELSA, FABIO</v>
      </c>
      <c r="O25" s="5" t="str">
        <f aca="false">IF(LEN(BA25&amp;BB25&amp;BC25&amp;BD25&amp;BE25&amp;BF25)=0,"",LEFT(BA25&amp;BB25&amp;BC25&amp;BD25&amp;BE25&amp;BF25,LEN(BA25&amp;BB25&amp;BC25&amp;BD25&amp;BE25&amp;BF25)-2))</f>
        <v>ALBA, BRUNO, CARLA, DINO, ELSA, FABIO</v>
      </c>
      <c r="T25" s="4" t="str">
        <f aca="false">A25</f>
        <v>lunedì</v>
      </c>
      <c r="U25" s="4" t="n">
        <f aca="false">B25</f>
        <v>22</v>
      </c>
      <c r="V25" s="5"/>
      <c r="W25" s="5"/>
      <c r="X25" s="5"/>
      <c r="Y25" s="5"/>
      <c r="Z25" s="5"/>
      <c r="AA25" s="5"/>
      <c r="AT25" s="10" t="str">
        <f aca="false">IF((V25="X")+(V25="F")&gt;0,"",IF(((V25&lt;&gt;"Xm"))+((V25&lt;&gt;"Xp"))+((V25&lt;&gt;"Xs")*(V25&lt;&gt;"Cs"))+((V25&lt;&gt;"Xn"))=0,"",IF(((V25&lt;&gt;"Xm"))+((V25&lt;&gt;"Xp"))+((V25&lt;&gt;"Xs")*(V25&lt;&gt;"Cs"))+((V25&lt;&gt;"Xn"))=4,V$3&amp;", ",V$3&amp;IF((V25&lt;&gt;"Xm"),"_m","")&amp;IF((V25&lt;&gt;"Xp"),"_p","")&amp;IF((V25&lt;&gt;"Xs")*(V25&lt;&gt;"Cs"),"_s","")&amp;IF((V25&lt;&gt;"Xn"),"_n","")&amp;", ")))</f>
        <v>ALBA, </v>
      </c>
      <c r="AU25" s="10" t="str">
        <f aca="false">IF((W25="X")+(W25="F")&gt;0,"",IF(((W25&lt;&gt;"Xm"))+((W25&lt;&gt;"Xp"))+((W25&lt;&gt;"Xs")*(W25&lt;&gt;"Cs"))+((W25&lt;&gt;"Xn"))=0,"",IF(((W25&lt;&gt;"Xm"))+((W25&lt;&gt;"Xp"))+((W25&lt;&gt;"Xs")*(W25&lt;&gt;"Cs"))+((W25&lt;&gt;"Xn"))=4,W$3&amp;", ",W$3&amp;IF((W25&lt;&gt;"Xm"),"_m","")&amp;IF((W25&lt;&gt;"Xp"),"_p","")&amp;IF((W25&lt;&gt;"Xs")*(W25&lt;&gt;"Cs"),"_s","")&amp;IF((W25&lt;&gt;"Xn"),"_n","")&amp;", ")))</f>
        <v>BRUNO, </v>
      </c>
      <c r="AV25" s="10" t="str">
        <f aca="false">IF((X25="X")+(X25="F")&gt;0,"",IF(((X25&lt;&gt;"Xm"))+((X25&lt;&gt;"Xp"))+((X25&lt;&gt;"Xs")*(X25&lt;&gt;"Cs"))+((X25&lt;&gt;"Xn"))=0,"",IF(((X25&lt;&gt;"Xm"))+((X25&lt;&gt;"Xp"))+((X25&lt;&gt;"Xs")*(X25&lt;&gt;"Cs"))+((X25&lt;&gt;"Xn"))=4,X$3&amp;", ",X$3&amp;IF((X25&lt;&gt;"Xm"),"_m","")&amp;IF((X25&lt;&gt;"Xp"),"_p","")&amp;IF((X25&lt;&gt;"Xs")*(X25&lt;&gt;"Cs"),"_s","")&amp;IF((X25&lt;&gt;"Xn"),"_n","")&amp;", ")))</f>
        <v>CARLA, </v>
      </c>
      <c r="AW25" s="10" t="str">
        <f aca="false">IF((Y25="X")+(Y25="F")&gt;0,"",IF(((Y25&lt;&gt;"Xm"))+((Y25&lt;&gt;"Xp"))+((Y25&lt;&gt;"Xs")*(Y25&lt;&gt;"Cs"))+((Y25&lt;&gt;"Xn"))=0,"",IF(((Y25&lt;&gt;"Xm"))+((Y25&lt;&gt;"Xp"))+((Y25&lt;&gt;"Xs")*(Y25&lt;&gt;"Cs"))+((Y25&lt;&gt;"Xn"))=4,Y$3&amp;", ",Y$3&amp;IF((Y25&lt;&gt;"Xm"),"_m","")&amp;IF((Y25&lt;&gt;"Xp"),"_p","")&amp;IF((Y25&lt;&gt;"Xs")*(Y25&lt;&gt;"Cs"),"_s","")&amp;IF((Y25&lt;&gt;"Xn"),"_n","")&amp;", ")))</f>
        <v>DINO, </v>
      </c>
      <c r="AX25" s="10" t="str">
        <f aca="false">IF((Z25="X")+(Z25="F")&gt;0,"",IF(((Z25&lt;&gt;"Xm"))+((Z25&lt;&gt;"Xp"))+((Z25&lt;&gt;"Xs")*(Z25&lt;&gt;"Cs"))+((Z25&lt;&gt;"Xn"))=0,"",IF(((Z25&lt;&gt;"Xm"))+((Z25&lt;&gt;"Xp"))+((Z25&lt;&gt;"Xs")*(Z25&lt;&gt;"Cs"))+((Z25&lt;&gt;"Xn"))=4,Z$3&amp;", ",Z$3&amp;IF((Z25&lt;&gt;"Xm"),"_m","")&amp;IF((Z25&lt;&gt;"Xp"),"_p","")&amp;IF((Z25&lt;&gt;"Xs")*(Z25&lt;&gt;"Cs"),"_s","")&amp;IF((Z25&lt;&gt;"Xn"),"_n","")&amp;", ")))</f>
        <v>ELSA, </v>
      </c>
      <c r="AY25" s="10" t="str">
        <f aca="false">IF((AA25="X")+(AA25="F")&gt;0,"",IF(((AA25&lt;&gt;"Xm"))+((AA25&lt;&gt;"Xp"))+((AA25&lt;&gt;"Xs")*(AA25&lt;&gt;"Cs"))+((AA25&lt;&gt;"Xn"))=0,"",IF(((AA25&lt;&gt;"Xm"))+((AA25&lt;&gt;"Xp"))+((AA25&lt;&gt;"Xs")*(AA25&lt;&gt;"Cs"))+((AA25&lt;&gt;"Xn"))=4,AA$3&amp;", ",AA$3&amp;IF((AA25&lt;&gt;"Xm"),"_m","")&amp;IF((AA25&lt;&gt;"Xp"),"_p","")&amp;IF((AA25&lt;&gt;"Xs")*(AA25&lt;&gt;"Cs"),"_s","")&amp;IF((AA25&lt;&gt;"Xn"),"_n","")&amp;", ")))</f>
        <v>FABIO, </v>
      </c>
      <c r="AZ25" s="10"/>
      <c r="BA25" s="10" t="str">
        <f aca="false">IF((V25="X")+(V25="F")&gt;0,"",IF(((V25&lt;&gt;"Xm")*(COUNTIFS($C$3:$K$3,"MAT",$C25:$K25,V$3)=0)*(COUNTIFS($C$3:$K$3,"NOTTE",$C25:$K25,V$3)=0))+((V25&lt;&gt;"Xp")*(COUNTIFS($C$3:$K$3,"POM",$C25:$K25,V$3)=0)*(COUNTIFS($C$3:$K$3,"NOTTE",$C25:$K25,V$3)=0))+((V25&lt;&gt;"Xs")*(V25&lt;&gt;"Cs")*(COUNTIFS($C$3:$K$3,"SERA",$C25:$K25,V$3)=0)*(COUNTIFS($C$3:$K$3,"NOTTE",$C25:$K25,V$3)=0))+((V25&lt;&gt;"Xn")*(COUNTIFS($C$3:$K$3,"MAT",$C25:$K25,V$3)=0)*(COUNTIFS($C$3:$K$3,"POM",$C25:$K25,V$3)=0)*(COUNTIFS($C$3:$K$3,"SERA",$C25:$K25,V$3)=0)*(COUNTIFS($C$3:$K$3,"NOTTE",$C25:$K25,V$3)=0))=0,"",IF(((V25&lt;&gt;"Xm")*(COUNTIFS($C$3:$K$3,"MAT",$C25:$K25,V$3)=0)*(COUNTIFS($C$3:$K$3,"NOTTE",$C25:$K25,V$3)=0))+((V25&lt;&gt;"Xp")*(COUNTIFS($C$3:$K$3,"POM",$C25:$K25,V$3)=0)*(COUNTIFS($C$3:$K$3,"NOTTE",$C25:$K25,V$3)=0))+((V25&lt;&gt;"Xs")*(V25&lt;&gt;"Cs")*(COUNTIFS($C$3:$K$3,"SERA",$C25:$K25,V$3)=0)*(COUNTIFS($C$3:$K$3,"NOTTE",$C25:$K25,V$3)=0))+((V25&lt;&gt;"Xn")*(COUNTIFS($C$3:$K$3,"MAT",$C25:$K25,V$3)=0)*(COUNTIFS($C$3:$K$3,"POM",$C25:$K25,V$3)=0)*(COUNTIFS($C$3:$K$3,"SERA",$C25:$K25,V$3)=0)*(COUNTIFS($C$3:$K$3,"NOTTE",$C25:$K25,V$3)=0))=4,V$3&amp;", ",V$3&amp;IF((V25&lt;&gt;"Xm")*(COUNTIFS($C$3:$K$3,"MAT",$C25:$K25,V$3)=0)*(COUNTIFS($C$3:$K$3,"NOTTE",$C25:$K25,V$3)=0),"_m","")&amp;IF((V25&lt;&gt;"Xp")*(COUNTIFS($C$3:$K$3,"POM",$C25:$K25,V$3)=0)*(COUNTIFS($C$3:$K$3,"NOTTE",$C25:$K25,V$3)=0),"_p","")&amp;IF((V25&lt;&gt;"Xs")*(V25&lt;&gt;"Cs")*(COUNTIFS($C$3:$K$3,"SERA",$C25:$K25,V$3)=0)*(COUNTIFS($C$3:$K$3,"NOTTE",$C25:$K25,V$3)=0),"_s","")&amp;IF((V25&lt;&gt;"Xn")*(COUNTIFS($C$3:$K$3,"MAT",$C25:$K25,V$3)=0)*(COUNTIFS($C$3:$K$3,"POM",$C25:$K25,V$3)=0)*(COUNTIFS($C$3:$K$3,"SERA",$C25:$K25,V$3)=0)*(COUNTIFS($C$3:$K$3,"NOTTE",$C25:$K25,V$3)=0),"_n","")&amp;", ")))</f>
        <v>ALBA, </v>
      </c>
      <c r="BB25" s="10" t="str">
        <f aca="false">IF((W25="X")+(W25="F")&gt;0,"",IF(((W25&lt;&gt;"Xm")*(COUNTIFS($C$3:$K$3,"MAT",$C25:$K25,W$3)=0)*(COUNTIFS($C$3:$K$3,"NOTTE",$C25:$K25,W$3)=0))+((W25&lt;&gt;"Xp")*(COUNTIFS($C$3:$K$3,"POM",$C25:$K25,W$3)=0)*(COUNTIFS($C$3:$K$3,"NOTTE",$C25:$K25,W$3)=0))+((W25&lt;&gt;"Xs")*(W25&lt;&gt;"Cs")*(COUNTIFS($C$3:$K$3,"SERA",$C25:$K25,W$3)=0)*(COUNTIFS($C$3:$K$3,"NOTTE",$C25:$K25,W$3)=0))+((W25&lt;&gt;"Xn")*(COUNTIFS($C$3:$K$3,"MAT",$C25:$K25,W$3)=0)*(COUNTIFS($C$3:$K$3,"POM",$C25:$K25,W$3)=0)*(COUNTIFS($C$3:$K$3,"SERA",$C25:$K25,W$3)=0)*(COUNTIFS($C$3:$K$3,"NOTTE",$C25:$K25,W$3)=0))=0,"",IF(((W25&lt;&gt;"Xm")*(COUNTIFS($C$3:$K$3,"MAT",$C25:$K25,W$3)=0)*(COUNTIFS($C$3:$K$3,"NOTTE",$C25:$K25,W$3)=0))+((W25&lt;&gt;"Xp")*(COUNTIFS($C$3:$K$3,"POM",$C25:$K25,W$3)=0)*(COUNTIFS($C$3:$K$3,"NOTTE",$C25:$K25,W$3)=0))+((W25&lt;&gt;"Xs")*(W25&lt;&gt;"Cs")*(COUNTIFS($C$3:$K$3,"SERA",$C25:$K25,W$3)=0)*(COUNTIFS($C$3:$K$3,"NOTTE",$C25:$K25,W$3)=0))+((W25&lt;&gt;"Xn")*(COUNTIFS($C$3:$K$3,"MAT",$C25:$K25,W$3)=0)*(COUNTIFS($C$3:$K$3,"POM",$C25:$K25,W$3)=0)*(COUNTIFS($C$3:$K$3,"SERA",$C25:$K25,W$3)=0)*(COUNTIFS($C$3:$K$3,"NOTTE",$C25:$K25,W$3)=0))=4,W$3&amp;", ",W$3&amp;IF((W25&lt;&gt;"Xm")*(COUNTIFS($C$3:$K$3,"MAT",$C25:$K25,W$3)=0)*(COUNTIFS($C$3:$K$3,"NOTTE",$C25:$K25,W$3)=0),"_m","")&amp;IF((W25&lt;&gt;"Xp")*(COUNTIFS($C$3:$K$3,"POM",$C25:$K25,W$3)=0)*(COUNTIFS($C$3:$K$3,"NOTTE",$C25:$K25,W$3)=0),"_p","")&amp;IF((W25&lt;&gt;"Xs")*(W25&lt;&gt;"Cs")*(COUNTIFS($C$3:$K$3,"SERA",$C25:$K25,W$3)=0)*(COUNTIFS($C$3:$K$3,"NOTTE",$C25:$K25,W$3)=0),"_s","")&amp;IF((W25&lt;&gt;"Xn")*(COUNTIFS($C$3:$K$3,"MAT",$C25:$K25,W$3)=0)*(COUNTIFS($C$3:$K$3,"POM",$C25:$K25,W$3)=0)*(COUNTIFS($C$3:$K$3,"SERA",$C25:$K25,W$3)=0)*(COUNTIFS($C$3:$K$3,"NOTTE",$C25:$K25,W$3)=0),"_n","")&amp;", ")))</f>
        <v>BRUNO, </v>
      </c>
      <c r="BC25" s="10" t="str">
        <f aca="false">IF((X25="X")+(X25="F")&gt;0,"",IF(((X25&lt;&gt;"Xm")*(COUNTIFS($C$3:$K$3,"MAT",$C25:$K25,X$3)=0)*(COUNTIFS($C$3:$K$3,"NOTTE",$C25:$K25,X$3)=0))+((X25&lt;&gt;"Xp")*(COUNTIFS($C$3:$K$3,"POM",$C25:$K25,X$3)=0)*(COUNTIFS($C$3:$K$3,"NOTTE",$C25:$K25,X$3)=0))+((X25&lt;&gt;"Xs")*(X25&lt;&gt;"Cs")*(COUNTIFS($C$3:$K$3,"SERA",$C25:$K25,X$3)=0)*(COUNTIFS($C$3:$K$3,"NOTTE",$C25:$K25,X$3)=0))+((X25&lt;&gt;"Xn")*(COUNTIFS($C$3:$K$3,"MAT",$C25:$K25,X$3)=0)*(COUNTIFS($C$3:$K$3,"POM",$C25:$K25,X$3)=0)*(COUNTIFS($C$3:$K$3,"SERA",$C25:$K25,X$3)=0)*(COUNTIFS($C$3:$K$3,"NOTTE",$C25:$K25,X$3)=0))=0,"",IF(((X25&lt;&gt;"Xm")*(COUNTIFS($C$3:$K$3,"MAT",$C25:$K25,X$3)=0)*(COUNTIFS($C$3:$K$3,"NOTTE",$C25:$K25,X$3)=0))+((X25&lt;&gt;"Xp")*(COUNTIFS($C$3:$K$3,"POM",$C25:$K25,X$3)=0)*(COUNTIFS($C$3:$K$3,"NOTTE",$C25:$K25,X$3)=0))+((X25&lt;&gt;"Xs")*(X25&lt;&gt;"Cs")*(COUNTIFS($C$3:$K$3,"SERA",$C25:$K25,X$3)=0)*(COUNTIFS($C$3:$K$3,"NOTTE",$C25:$K25,X$3)=0))+((X25&lt;&gt;"Xn")*(COUNTIFS($C$3:$K$3,"MAT",$C25:$K25,X$3)=0)*(COUNTIFS($C$3:$K$3,"POM",$C25:$K25,X$3)=0)*(COUNTIFS($C$3:$K$3,"SERA",$C25:$K25,X$3)=0)*(COUNTIFS($C$3:$K$3,"NOTTE",$C25:$K25,X$3)=0))=4,X$3&amp;", ",X$3&amp;IF((X25&lt;&gt;"Xm")*(COUNTIFS($C$3:$K$3,"MAT",$C25:$K25,X$3)=0)*(COUNTIFS($C$3:$K$3,"NOTTE",$C25:$K25,X$3)=0),"_m","")&amp;IF((X25&lt;&gt;"Xp")*(COUNTIFS($C$3:$K$3,"POM",$C25:$K25,X$3)=0)*(COUNTIFS($C$3:$K$3,"NOTTE",$C25:$K25,X$3)=0),"_p","")&amp;IF((X25&lt;&gt;"Xs")*(X25&lt;&gt;"Cs")*(COUNTIFS($C$3:$K$3,"SERA",$C25:$K25,X$3)=0)*(COUNTIFS($C$3:$K$3,"NOTTE",$C25:$K25,X$3)=0),"_s","")&amp;IF((X25&lt;&gt;"Xn")*(COUNTIFS($C$3:$K$3,"MAT",$C25:$K25,X$3)=0)*(COUNTIFS($C$3:$K$3,"POM",$C25:$K25,X$3)=0)*(COUNTIFS($C$3:$K$3,"SERA",$C25:$K25,X$3)=0)*(COUNTIFS($C$3:$K$3,"NOTTE",$C25:$K25,X$3)=0),"_n","")&amp;", ")))</f>
        <v>CARLA, </v>
      </c>
      <c r="BD25" s="10" t="str">
        <f aca="false">IF((Y25="X")+(Y25="F")&gt;0,"",IF(((Y25&lt;&gt;"Xm")*(COUNTIFS($C$3:$K$3,"MAT",$C25:$K25,Y$3)=0)*(COUNTIFS($C$3:$K$3,"NOTTE",$C25:$K25,Y$3)=0))+((Y25&lt;&gt;"Xp")*(COUNTIFS($C$3:$K$3,"POM",$C25:$K25,Y$3)=0)*(COUNTIFS($C$3:$K$3,"NOTTE",$C25:$K25,Y$3)=0))+((Y25&lt;&gt;"Xs")*(Y25&lt;&gt;"Cs")*(COUNTIFS($C$3:$K$3,"SERA",$C25:$K25,Y$3)=0)*(COUNTIFS($C$3:$K$3,"NOTTE",$C25:$K25,Y$3)=0))+((Y25&lt;&gt;"Xn")*(COUNTIFS($C$3:$K$3,"MAT",$C25:$K25,Y$3)=0)*(COUNTIFS($C$3:$K$3,"POM",$C25:$K25,Y$3)=0)*(COUNTIFS($C$3:$K$3,"SERA",$C25:$K25,Y$3)=0)*(COUNTIFS($C$3:$K$3,"NOTTE",$C25:$K25,Y$3)=0))=0,"",IF(((Y25&lt;&gt;"Xm")*(COUNTIFS($C$3:$K$3,"MAT",$C25:$K25,Y$3)=0)*(COUNTIFS($C$3:$K$3,"NOTTE",$C25:$K25,Y$3)=0))+((Y25&lt;&gt;"Xp")*(COUNTIFS($C$3:$K$3,"POM",$C25:$K25,Y$3)=0)*(COUNTIFS($C$3:$K$3,"NOTTE",$C25:$K25,Y$3)=0))+((Y25&lt;&gt;"Xs")*(Y25&lt;&gt;"Cs")*(COUNTIFS($C$3:$K$3,"SERA",$C25:$K25,Y$3)=0)*(COUNTIFS($C$3:$K$3,"NOTTE",$C25:$K25,Y$3)=0))+((Y25&lt;&gt;"Xn")*(COUNTIFS($C$3:$K$3,"MAT",$C25:$K25,Y$3)=0)*(COUNTIFS($C$3:$K$3,"POM",$C25:$K25,Y$3)=0)*(COUNTIFS($C$3:$K$3,"SERA",$C25:$K25,Y$3)=0)*(COUNTIFS($C$3:$K$3,"NOTTE",$C25:$K25,Y$3)=0))=4,Y$3&amp;", ",Y$3&amp;IF((Y25&lt;&gt;"Xm")*(COUNTIFS($C$3:$K$3,"MAT",$C25:$K25,Y$3)=0)*(COUNTIFS($C$3:$K$3,"NOTTE",$C25:$K25,Y$3)=0),"_m","")&amp;IF((Y25&lt;&gt;"Xp")*(COUNTIFS($C$3:$K$3,"POM",$C25:$K25,Y$3)=0)*(COUNTIFS($C$3:$K$3,"NOTTE",$C25:$K25,Y$3)=0),"_p","")&amp;IF((Y25&lt;&gt;"Xs")*(Y25&lt;&gt;"Cs")*(COUNTIFS($C$3:$K$3,"SERA",$C25:$K25,Y$3)=0)*(COUNTIFS($C$3:$K$3,"NOTTE",$C25:$K25,Y$3)=0),"_s","")&amp;IF((Y25&lt;&gt;"Xn")*(COUNTIFS($C$3:$K$3,"MAT",$C25:$K25,Y$3)=0)*(COUNTIFS($C$3:$K$3,"POM",$C25:$K25,Y$3)=0)*(COUNTIFS($C$3:$K$3,"SERA",$C25:$K25,Y$3)=0)*(COUNTIFS($C$3:$K$3,"NOTTE",$C25:$K25,Y$3)=0),"_n","")&amp;", ")))</f>
        <v>DINO, </v>
      </c>
      <c r="BE25" s="10" t="str">
        <f aca="false">IF((Z25="X")+(Z25="F")&gt;0,"",IF(((Z25&lt;&gt;"Xm")*(COUNTIFS($C$3:$K$3,"MAT",$C25:$K25,Z$3)=0)*(COUNTIFS($C$3:$K$3,"NOTTE",$C25:$K25,Z$3)=0))+((Z25&lt;&gt;"Xp")*(COUNTIFS($C$3:$K$3,"POM",$C25:$K25,Z$3)=0)*(COUNTIFS($C$3:$K$3,"NOTTE",$C25:$K25,Z$3)=0))+((Z25&lt;&gt;"Xs")*(Z25&lt;&gt;"Cs")*(COUNTIFS($C$3:$K$3,"SERA",$C25:$K25,Z$3)=0)*(COUNTIFS($C$3:$K$3,"NOTTE",$C25:$K25,Z$3)=0))+((Z25&lt;&gt;"Xn")*(COUNTIFS($C$3:$K$3,"MAT",$C25:$K25,Z$3)=0)*(COUNTIFS($C$3:$K$3,"POM",$C25:$K25,Z$3)=0)*(COUNTIFS($C$3:$K$3,"SERA",$C25:$K25,Z$3)=0)*(COUNTIFS($C$3:$K$3,"NOTTE",$C25:$K25,Z$3)=0))=0,"",IF(((Z25&lt;&gt;"Xm")*(COUNTIFS($C$3:$K$3,"MAT",$C25:$K25,Z$3)=0)*(COUNTIFS($C$3:$K$3,"NOTTE",$C25:$K25,Z$3)=0))+((Z25&lt;&gt;"Xp")*(COUNTIFS($C$3:$K$3,"POM",$C25:$K25,Z$3)=0)*(COUNTIFS($C$3:$K$3,"NOTTE",$C25:$K25,Z$3)=0))+((Z25&lt;&gt;"Xs")*(Z25&lt;&gt;"Cs")*(COUNTIFS($C$3:$K$3,"SERA",$C25:$K25,Z$3)=0)*(COUNTIFS($C$3:$K$3,"NOTTE",$C25:$K25,Z$3)=0))+((Z25&lt;&gt;"Xn")*(COUNTIFS($C$3:$K$3,"MAT",$C25:$K25,Z$3)=0)*(COUNTIFS($C$3:$K$3,"POM",$C25:$K25,Z$3)=0)*(COUNTIFS($C$3:$K$3,"SERA",$C25:$K25,Z$3)=0)*(COUNTIFS($C$3:$K$3,"NOTTE",$C25:$K25,Z$3)=0))=4,Z$3&amp;", ",Z$3&amp;IF((Z25&lt;&gt;"Xm")*(COUNTIFS($C$3:$K$3,"MAT",$C25:$K25,Z$3)=0)*(COUNTIFS($C$3:$K$3,"NOTTE",$C25:$K25,Z$3)=0),"_m","")&amp;IF((Z25&lt;&gt;"Xp")*(COUNTIFS($C$3:$K$3,"POM",$C25:$K25,Z$3)=0)*(COUNTIFS($C$3:$K$3,"NOTTE",$C25:$K25,Z$3)=0),"_p","")&amp;IF((Z25&lt;&gt;"Xs")*(Z25&lt;&gt;"Cs")*(COUNTIFS($C$3:$K$3,"SERA",$C25:$K25,Z$3)=0)*(COUNTIFS($C$3:$K$3,"NOTTE",$C25:$K25,Z$3)=0),"_s","")&amp;IF((Z25&lt;&gt;"Xn")*(COUNTIFS($C$3:$K$3,"MAT",$C25:$K25,Z$3)=0)*(COUNTIFS($C$3:$K$3,"POM",$C25:$K25,Z$3)=0)*(COUNTIFS($C$3:$K$3,"SERA",$C25:$K25,Z$3)=0)*(COUNTIFS($C$3:$K$3,"NOTTE",$C25:$K25,Z$3)=0),"_n","")&amp;", ")))</f>
        <v>ELSA, </v>
      </c>
      <c r="BF25" s="10" t="str">
        <f aca="false">IF((AA25="X")+(AA25="F")&gt;0,"",IF(((AA25&lt;&gt;"Xm")*(COUNTIFS($C$3:$K$3,"MAT",$C25:$K25,AA$3)=0)*(COUNTIFS($C$3:$K$3,"NOTTE",$C25:$K25,AA$3)=0))+((AA25&lt;&gt;"Xp")*(COUNTIFS($C$3:$K$3,"POM",$C25:$K25,AA$3)=0)*(COUNTIFS($C$3:$K$3,"NOTTE",$C25:$K25,AA$3)=0))+((AA25&lt;&gt;"Xs")*(AA25&lt;&gt;"Cs")*(COUNTIFS($C$3:$K$3,"SERA",$C25:$K25,AA$3)=0)*(COUNTIFS($C$3:$K$3,"NOTTE",$C25:$K25,AA$3)=0))+((AA25&lt;&gt;"Xn")*(COUNTIFS($C$3:$K$3,"MAT",$C25:$K25,AA$3)=0)*(COUNTIFS($C$3:$K$3,"POM",$C25:$K25,AA$3)=0)*(COUNTIFS($C$3:$K$3,"SERA",$C25:$K25,AA$3)=0)*(COUNTIFS($C$3:$K$3,"NOTTE",$C25:$K25,AA$3)=0))=0,"",IF(((AA25&lt;&gt;"Xm")*(COUNTIFS($C$3:$K$3,"MAT",$C25:$K25,AA$3)=0)*(COUNTIFS($C$3:$K$3,"NOTTE",$C25:$K25,AA$3)=0))+((AA25&lt;&gt;"Xp")*(COUNTIFS($C$3:$K$3,"POM",$C25:$K25,AA$3)=0)*(COUNTIFS($C$3:$K$3,"NOTTE",$C25:$K25,AA$3)=0))+((AA25&lt;&gt;"Xs")*(AA25&lt;&gt;"Cs")*(COUNTIFS($C$3:$K$3,"SERA",$C25:$K25,AA$3)=0)*(COUNTIFS($C$3:$K$3,"NOTTE",$C25:$K25,AA$3)=0))+((AA25&lt;&gt;"Xn")*(COUNTIFS($C$3:$K$3,"MAT",$C25:$K25,AA$3)=0)*(COUNTIFS($C$3:$K$3,"POM",$C25:$K25,AA$3)=0)*(COUNTIFS($C$3:$K$3,"SERA",$C25:$K25,AA$3)=0)*(COUNTIFS($C$3:$K$3,"NOTTE",$C25:$K25,AA$3)=0))=4,AA$3&amp;", ",AA$3&amp;IF((AA25&lt;&gt;"Xm")*(COUNTIFS($C$3:$K$3,"MAT",$C25:$K25,AA$3)=0)*(COUNTIFS($C$3:$K$3,"NOTTE",$C25:$K25,AA$3)=0),"_m","")&amp;IF((AA25&lt;&gt;"Xp")*(COUNTIFS($C$3:$K$3,"POM",$C25:$K25,AA$3)=0)*(COUNTIFS($C$3:$K$3,"NOTTE",$C25:$K25,AA$3)=0),"_p","")&amp;IF((AA25&lt;&gt;"Xs")*(AA25&lt;&gt;"Cs")*(COUNTIFS($C$3:$K$3,"SERA",$C25:$K25,AA$3)=0)*(COUNTIFS($C$3:$K$3,"NOTTE",$C25:$K25,AA$3)=0),"_s","")&amp;IF((AA25&lt;&gt;"Xn")*(COUNTIFS($C$3:$K$3,"MAT",$C25:$K25,AA$3)=0)*(COUNTIFS($C$3:$K$3,"POM",$C25:$K25,AA$3)=0)*(COUNTIFS($C$3:$K$3,"SERA",$C25:$K25,AA$3)=0)*(COUNTIFS($C$3:$K$3,"NOTTE",$C25:$K25,AA$3)=0),"_n","")&amp;", ")))</f>
        <v>FABIO, </v>
      </c>
    </row>
    <row r="26" customFormat="false" ht="15" hidden="false" customHeight="false" outlineLevel="0" collapsed="false">
      <c r="A26" s="4" t="str">
        <f aca="false">CHOOSE(WEEKDAY(DATE($B$1,$A$2,B26),2),"lunedì","martedì","mercoledì","giovedì","venerdì","sabato","domenica")</f>
        <v>martedì</v>
      </c>
      <c r="B26" s="4" t="n">
        <v>23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 t="str">
        <f aca="false">IF(SUMPRODUCT(($C$3:$K$3&lt;&gt;"")*($C26:$K26&lt;&gt;"")*(COUNTIFS($C26:$K26,$C26:$K26,$C$3:$K$3,$C$3:$K$3)&gt;1))&gt;0,"X","")</f>
        <v/>
      </c>
      <c r="N26" s="5" t="str">
        <f aca="false">IF(LEN(AT26&amp;AU26&amp;AV26&amp;AW26&amp;AX26&amp;AY26)=0,"",LEFT(AT26&amp;AU26&amp;AV26&amp;AW26&amp;AX26&amp;AY26,LEN(AT26&amp;AU26&amp;AV26&amp;AW26&amp;AX26&amp;AY26)-2))</f>
        <v>ALBA, BRUNO, CARLA, DINO, ELSA, FABIO</v>
      </c>
      <c r="O26" s="5" t="str">
        <f aca="false">IF(LEN(BA26&amp;BB26&amp;BC26&amp;BD26&amp;BE26&amp;BF26)=0,"",LEFT(BA26&amp;BB26&amp;BC26&amp;BD26&amp;BE26&amp;BF26,LEN(BA26&amp;BB26&amp;BC26&amp;BD26&amp;BE26&amp;BF26)-2))</f>
        <v>ALBA, BRUNO, CARLA, DINO, ELSA, FABIO</v>
      </c>
      <c r="T26" s="4" t="str">
        <f aca="false">A26</f>
        <v>martedì</v>
      </c>
      <c r="U26" s="4" t="n">
        <f aca="false">B26</f>
        <v>23</v>
      </c>
      <c r="V26" s="5"/>
      <c r="W26" s="5"/>
      <c r="X26" s="5"/>
      <c r="Y26" s="5"/>
      <c r="Z26" s="5"/>
      <c r="AA26" s="5"/>
      <c r="AT26" s="10" t="str">
        <f aca="false">IF((V26="X")+(V26="F")&gt;0,"",IF(((V26&lt;&gt;"Xm"))+((V26&lt;&gt;"Xp"))+((V26&lt;&gt;"Xs")*(V26&lt;&gt;"Cs"))+((V26&lt;&gt;"Xn"))=0,"",IF(((V26&lt;&gt;"Xm"))+((V26&lt;&gt;"Xp"))+((V26&lt;&gt;"Xs")*(V26&lt;&gt;"Cs"))+((V26&lt;&gt;"Xn"))=4,V$3&amp;", ",V$3&amp;IF((V26&lt;&gt;"Xm"),"_m","")&amp;IF((V26&lt;&gt;"Xp"),"_p","")&amp;IF((V26&lt;&gt;"Xs")*(V26&lt;&gt;"Cs"),"_s","")&amp;IF((V26&lt;&gt;"Xn"),"_n","")&amp;", ")))</f>
        <v>ALBA, </v>
      </c>
      <c r="AU26" s="10" t="str">
        <f aca="false">IF((W26="X")+(W26="F")&gt;0,"",IF(((W26&lt;&gt;"Xm"))+((W26&lt;&gt;"Xp"))+((W26&lt;&gt;"Xs")*(W26&lt;&gt;"Cs"))+((W26&lt;&gt;"Xn"))=0,"",IF(((W26&lt;&gt;"Xm"))+((W26&lt;&gt;"Xp"))+((W26&lt;&gt;"Xs")*(W26&lt;&gt;"Cs"))+((W26&lt;&gt;"Xn"))=4,W$3&amp;", ",W$3&amp;IF((W26&lt;&gt;"Xm"),"_m","")&amp;IF((W26&lt;&gt;"Xp"),"_p","")&amp;IF((W26&lt;&gt;"Xs")*(W26&lt;&gt;"Cs"),"_s","")&amp;IF((W26&lt;&gt;"Xn"),"_n","")&amp;", ")))</f>
        <v>BRUNO, </v>
      </c>
      <c r="AV26" s="10" t="str">
        <f aca="false">IF((X26="X")+(X26="F")&gt;0,"",IF(((X26&lt;&gt;"Xm"))+((X26&lt;&gt;"Xp"))+((X26&lt;&gt;"Xs")*(X26&lt;&gt;"Cs"))+((X26&lt;&gt;"Xn"))=0,"",IF(((X26&lt;&gt;"Xm"))+((X26&lt;&gt;"Xp"))+((X26&lt;&gt;"Xs")*(X26&lt;&gt;"Cs"))+((X26&lt;&gt;"Xn"))=4,X$3&amp;", ",X$3&amp;IF((X26&lt;&gt;"Xm"),"_m","")&amp;IF((X26&lt;&gt;"Xp"),"_p","")&amp;IF((X26&lt;&gt;"Xs")*(X26&lt;&gt;"Cs"),"_s","")&amp;IF((X26&lt;&gt;"Xn"),"_n","")&amp;", ")))</f>
        <v>CARLA, </v>
      </c>
      <c r="AW26" s="10" t="str">
        <f aca="false">IF((Y26="X")+(Y26="F")&gt;0,"",IF(((Y26&lt;&gt;"Xm"))+((Y26&lt;&gt;"Xp"))+((Y26&lt;&gt;"Xs")*(Y26&lt;&gt;"Cs"))+((Y26&lt;&gt;"Xn"))=0,"",IF(((Y26&lt;&gt;"Xm"))+((Y26&lt;&gt;"Xp"))+((Y26&lt;&gt;"Xs")*(Y26&lt;&gt;"Cs"))+((Y26&lt;&gt;"Xn"))=4,Y$3&amp;", ",Y$3&amp;IF((Y26&lt;&gt;"Xm"),"_m","")&amp;IF((Y26&lt;&gt;"Xp"),"_p","")&amp;IF((Y26&lt;&gt;"Xs")*(Y26&lt;&gt;"Cs"),"_s","")&amp;IF((Y26&lt;&gt;"Xn"),"_n","")&amp;", ")))</f>
        <v>DINO, </v>
      </c>
      <c r="AX26" s="10" t="str">
        <f aca="false">IF((Z26="X")+(Z26="F")&gt;0,"",IF(((Z26&lt;&gt;"Xm"))+((Z26&lt;&gt;"Xp"))+((Z26&lt;&gt;"Xs")*(Z26&lt;&gt;"Cs"))+((Z26&lt;&gt;"Xn"))=0,"",IF(((Z26&lt;&gt;"Xm"))+((Z26&lt;&gt;"Xp"))+((Z26&lt;&gt;"Xs")*(Z26&lt;&gt;"Cs"))+((Z26&lt;&gt;"Xn"))=4,Z$3&amp;", ",Z$3&amp;IF((Z26&lt;&gt;"Xm"),"_m","")&amp;IF((Z26&lt;&gt;"Xp"),"_p","")&amp;IF((Z26&lt;&gt;"Xs")*(Z26&lt;&gt;"Cs"),"_s","")&amp;IF((Z26&lt;&gt;"Xn"),"_n","")&amp;", ")))</f>
        <v>ELSA, </v>
      </c>
      <c r="AY26" s="10" t="str">
        <f aca="false">IF((AA26="X")+(AA26="F")&gt;0,"",IF(((AA26&lt;&gt;"Xm"))+((AA26&lt;&gt;"Xp"))+((AA26&lt;&gt;"Xs")*(AA26&lt;&gt;"Cs"))+((AA26&lt;&gt;"Xn"))=0,"",IF(((AA26&lt;&gt;"Xm"))+((AA26&lt;&gt;"Xp"))+((AA26&lt;&gt;"Xs")*(AA26&lt;&gt;"Cs"))+((AA26&lt;&gt;"Xn"))=4,AA$3&amp;", ",AA$3&amp;IF((AA26&lt;&gt;"Xm"),"_m","")&amp;IF((AA26&lt;&gt;"Xp"),"_p","")&amp;IF((AA26&lt;&gt;"Xs")*(AA26&lt;&gt;"Cs"),"_s","")&amp;IF((AA26&lt;&gt;"Xn"),"_n","")&amp;", ")))</f>
        <v>FABIO, </v>
      </c>
      <c r="AZ26" s="10"/>
      <c r="BA26" s="10" t="str">
        <f aca="false">IF((V26="X")+(V26="F")&gt;0,"",IF(((V26&lt;&gt;"Xm")*(COUNTIFS($C$3:$K$3,"MAT",$C26:$K26,V$3)=0)*(COUNTIFS($C$3:$K$3,"NOTTE",$C26:$K26,V$3)=0))+((V26&lt;&gt;"Xp")*(COUNTIFS($C$3:$K$3,"POM",$C26:$K26,V$3)=0)*(COUNTIFS($C$3:$K$3,"NOTTE",$C26:$K26,V$3)=0))+((V26&lt;&gt;"Xs")*(V26&lt;&gt;"Cs")*(COUNTIFS($C$3:$K$3,"SERA",$C26:$K26,V$3)=0)*(COUNTIFS($C$3:$K$3,"NOTTE",$C26:$K26,V$3)=0))+((V26&lt;&gt;"Xn")*(COUNTIFS($C$3:$K$3,"MAT",$C26:$K26,V$3)=0)*(COUNTIFS($C$3:$K$3,"POM",$C26:$K26,V$3)=0)*(COUNTIFS($C$3:$K$3,"SERA",$C26:$K26,V$3)=0)*(COUNTIFS($C$3:$K$3,"NOTTE",$C26:$K26,V$3)=0))=0,"",IF(((V26&lt;&gt;"Xm")*(COUNTIFS($C$3:$K$3,"MAT",$C26:$K26,V$3)=0)*(COUNTIFS($C$3:$K$3,"NOTTE",$C26:$K26,V$3)=0))+((V26&lt;&gt;"Xp")*(COUNTIFS($C$3:$K$3,"POM",$C26:$K26,V$3)=0)*(COUNTIFS($C$3:$K$3,"NOTTE",$C26:$K26,V$3)=0))+((V26&lt;&gt;"Xs")*(V26&lt;&gt;"Cs")*(COUNTIFS($C$3:$K$3,"SERA",$C26:$K26,V$3)=0)*(COUNTIFS($C$3:$K$3,"NOTTE",$C26:$K26,V$3)=0))+((V26&lt;&gt;"Xn")*(COUNTIFS($C$3:$K$3,"MAT",$C26:$K26,V$3)=0)*(COUNTIFS($C$3:$K$3,"POM",$C26:$K26,V$3)=0)*(COUNTIFS($C$3:$K$3,"SERA",$C26:$K26,V$3)=0)*(COUNTIFS($C$3:$K$3,"NOTTE",$C26:$K26,V$3)=0))=4,V$3&amp;", ",V$3&amp;IF((V26&lt;&gt;"Xm")*(COUNTIFS($C$3:$K$3,"MAT",$C26:$K26,V$3)=0)*(COUNTIFS($C$3:$K$3,"NOTTE",$C26:$K26,V$3)=0),"_m","")&amp;IF((V26&lt;&gt;"Xp")*(COUNTIFS($C$3:$K$3,"POM",$C26:$K26,V$3)=0)*(COUNTIFS($C$3:$K$3,"NOTTE",$C26:$K26,V$3)=0),"_p","")&amp;IF((V26&lt;&gt;"Xs")*(V26&lt;&gt;"Cs")*(COUNTIFS($C$3:$K$3,"SERA",$C26:$K26,V$3)=0)*(COUNTIFS($C$3:$K$3,"NOTTE",$C26:$K26,V$3)=0),"_s","")&amp;IF((V26&lt;&gt;"Xn")*(COUNTIFS($C$3:$K$3,"MAT",$C26:$K26,V$3)=0)*(COUNTIFS($C$3:$K$3,"POM",$C26:$K26,V$3)=0)*(COUNTIFS($C$3:$K$3,"SERA",$C26:$K26,V$3)=0)*(COUNTIFS($C$3:$K$3,"NOTTE",$C26:$K26,V$3)=0),"_n","")&amp;", ")))</f>
        <v>ALBA, </v>
      </c>
      <c r="BB26" s="10" t="str">
        <f aca="false">IF((W26="X")+(W26="F")&gt;0,"",IF(((W26&lt;&gt;"Xm")*(COUNTIFS($C$3:$K$3,"MAT",$C26:$K26,W$3)=0)*(COUNTIFS($C$3:$K$3,"NOTTE",$C26:$K26,W$3)=0))+((W26&lt;&gt;"Xp")*(COUNTIFS($C$3:$K$3,"POM",$C26:$K26,W$3)=0)*(COUNTIFS($C$3:$K$3,"NOTTE",$C26:$K26,W$3)=0))+((W26&lt;&gt;"Xs")*(W26&lt;&gt;"Cs")*(COUNTIFS($C$3:$K$3,"SERA",$C26:$K26,W$3)=0)*(COUNTIFS($C$3:$K$3,"NOTTE",$C26:$K26,W$3)=0))+((W26&lt;&gt;"Xn")*(COUNTIFS($C$3:$K$3,"MAT",$C26:$K26,W$3)=0)*(COUNTIFS($C$3:$K$3,"POM",$C26:$K26,W$3)=0)*(COUNTIFS($C$3:$K$3,"SERA",$C26:$K26,W$3)=0)*(COUNTIFS($C$3:$K$3,"NOTTE",$C26:$K26,W$3)=0))=0,"",IF(((W26&lt;&gt;"Xm")*(COUNTIFS($C$3:$K$3,"MAT",$C26:$K26,W$3)=0)*(COUNTIFS($C$3:$K$3,"NOTTE",$C26:$K26,W$3)=0))+((W26&lt;&gt;"Xp")*(COUNTIFS($C$3:$K$3,"POM",$C26:$K26,W$3)=0)*(COUNTIFS($C$3:$K$3,"NOTTE",$C26:$K26,W$3)=0))+((W26&lt;&gt;"Xs")*(W26&lt;&gt;"Cs")*(COUNTIFS($C$3:$K$3,"SERA",$C26:$K26,W$3)=0)*(COUNTIFS($C$3:$K$3,"NOTTE",$C26:$K26,W$3)=0))+((W26&lt;&gt;"Xn")*(COUNTIFS($C$3:$K$3,"MAT",$C26:$K26,W$3)=0)*(COUNTIFS($C$3:$K$3,"POM",$C26:$K26,W$3)=0)*(COUNTIFS($C$3:$K$3,"SERA",$C26:$K26,W$3)=0)*(COUNTIFS($C$3:$K$3,"NOTTE",$C26:$K26,W$3)=0))=4,W$3&amp;", ",W$3&amp;IF((W26&lt;&gt;"Xm")*(COUNTIFS($C$3:$K$3,"MAT",$C26:$K26,W$3)=0)*(COUNTIFS($C$3:$K$3,"NOTTE",$C26:$K26,W$3)=0),"_m","")&amp;IF((W26&lt;&gt;"Xp")*(COUNTIFS($C$3:$K$3,"POM",$C26:$K26,W$3)=0)*(COUNTIFS($C$3:$K$3,"NOTTE",$C26:$K26,W$3)=0),"_p","")&amp;IF((W26&lt;&gt;"Xs")*(W26&lt;&gt;"Cs")*(COUNTIFS($C$3:$K$3,"SERA",$C26:$K26,W$3)=0)*(COUNTIFS($C$3:$K$3,"NOTTE",$C26:$K26,W$3)=0),"_s","")&amp;IF((W26&lt;&gt;"Xn")*(COUNTIFS($C$3:$K$3,"MAT",$C26:$K26,W$3)=0)*(COUNTIFS($C$3:$K$3,"POM",$C26:$K26,W$3)=0)*(COUNTIFS($C$3:$K$3,"SERA",$C26:$K26,W$3)=0)*(COUNTIFS($C$3:$K$3,"NOTTE",$C26:$K26,W$3)=0),"_n","")&amp;", ")))</f>
        <v>BRUNO, </v>
      </c>
      <c r="BC26" s="10" t="str">
        <f aca="false">IF((X26="X")+(X26="F")&gt;0,"",IF(((X26&lt;&gt;"Xm")*(COUNTIFS($C$3:$K$3,"MAT",$C26:$K26,X$3)=0)*(COUNTIFS($C$3:$K$3,"NOTTE",$C26:$K26,X$3)=0))+((X26&lt;&gt;"Xp")*(COUNTIFS($C$3:$K$3,"POM",$C26:$K26,X$3)=0)*(COUNTIFS($C$3:$K$3,"NOTTE",$C26:$K26,X$3)=0))+((X26&lt;&gt;"Xs")*(X26&lt;&gt;"Cs")*(COUNTIFS($C$3:$K$3,"SERA",$C26:$K26,X$3)=0)*(COUNTIFS($C$3:$K$3,"NOTTE",$C26:$K26,X$3)=0))+((X26&lt;&gt;"Xn")*(COUNTIFS($C$3:$K$3,"MAT",$C26:$K26,X$3)=0)*(COUNTIFS($C$3:$K$3,"POM",$C26:$K26,X$3)=0)*(COUNTIFS($C$3:$K$3,"SERA",$C26:$K26,X$3)=0)*(COUNTIFS($C$3:$K$3,"NOTTE",$C26:$K26,X$3)=0))=0,"",IF(((X26&lt;&gt;"Xm")*(COUNTIFS($C$3:$K$3,"MAT",$C26:$K26,X$3)=0)*(COUNTIFS($C$3:$K$3,"NOTTE",$C26:$K26,X$3)=0))+((X26&lt;&gt;"Xp")*(COUNTIFS($C$3:$K$3,"POM",$C26:$K26,X$3)=0)*(COUNTIFS($C$3:$K$3,"NOTTE",$C26:$K26,X$3)=0))+((X26&lt;&gt;"Xs")*(X26&lt;&gt;"Cs")*(COUNTIFS($C$3:$K$3,"SERA",$C26:$K26,X$3)=0)*(COUNTIFS($C$3:$K$3,"NOTTE",$C26:$K26,X$3)=0))+((X26&lt;&gt;"Xn")*(COUNTIFS($C$3:$K$3,"MAT",$C26:$K26,X$3)=0)*(COUNTIFS($C$3:$K$3,"POM",$C26:$K26,X$3)=0)*(COUNTIFS($C$3:$K$3,"SERA",$C26:$K26,X$3)=0)*(COUNTIFS($C$3:$K$3,"NOTTE",$C26:$K26,X$3)=0))=4,X$3&amp;", ",X$3&amp;IF((X26&lt;&gt;"Xm")*(COUNTIFS($C$3:$K$3,"MAT",$C26:$K26,X$3)=0)*(COUNTIFS($C$3:$K$3,"NOTTE",$C26:$K26,X$3)=0),"_m","")&amp;IF((X26&lt;&gt;"Xp")*(COUNTIFS($C$3:$K$3,"POM",$C26:$K26,X$3)=0)*(COUNTIFS($C$3:$K$3,"NOTTE",$C26:$K26,X$3)=0),"_p","")&amp;IF((X26&lt;&gt;"Xs")*(X26&lt;&gt;"Cs")*(COUNTIFS($C$3:$K$3,"SERA",$C26:$K26,X$3)=0)*(COUNTIFS($C$3:$K$3,"NOTTE",$C26:$K26,X$3)=0),"_s","")&amp;IF((X26&lt;&gt;"Xn")*(COUNTIFS($C$3:$K$3,"MAT",$C26:$K26,X$3)=0)*(COUNTIFS($C$3:$K$3,"POM",$C26:$K26,X$3)=0)*(COUNTIFS($C$3:$K$3,"SERA",$C26:$K26,X$3)=0)*(COUNTIFS($C$3:$K$3,"NOTTE",$C26:$K26,X$3)=0),"_n","")&amp;", ")))</f>
        <v>CARLA, </v>
      </c>
      <c r="BD26" s="10" t="str">
        <f aca="false">IF((Y26="X")+(Y26="F")&gt;0,"",IF(((Y26&lt;&gt;"Xm")*(COUNTIFS($C$3:$K$3,"MAT",$C26:$K26,Y$3)=0)*(COUNTIFS($C$3:$K$3,"NOTTE",$C26:$K26,Y$3)=0))+((Y26&lt;&gt;"Xp")*(COUNTIFS($C$3:$K$3,"POM",$C26:$K26,Y$3)=0)*(COUNTIFS($C$3:$K$3,"NOTTE",$C26:$K26,Y$3)=0))+((Y26&lt;&gt;"Xs")*(Y26&lt;&gt;"Cs")*(COUNTIFS($C$3:$K$3,"SERA",$C26:$K26,Y$3)=0)*(COUNTIFS($C$3:$K$3,"NOTTE",$C26:$K26,Y$3)=0))+((Y26&lt;&gt;"Xn")*(COUNTIFS($C$3:$K$3,"MAT",$C26:$K26,Y$3)=0)*(COUNTIFS($C$3:$K$3,"POM",$C26:$K26,Y$3)=0)*(COUNTIFS($C$3:$K$3,"SERA",$C26:$K26,Y$3)=0)*(COUNTIFS($C$3:$K$3,"NOTTE",$C26:$K26,Y$3)=0))=0,"",IF(((Y26&lt;&gt;"Xm")*(COUNTIFS($C$3:$K$3,"MAT",$C26:$K26,Y$3)=0)*(COUNTIFS($C$3:$K$3,"NOTTE",$C26:$K26,Y$3)=0))+((Y26&lt;&gt;"Xp")*(COUNTIFS($C$3:$K$3,"POM",$C26:$K26,Y$3)=0)*(COUNTIFS($C$3:$K$3,"NOTTE",$C26:$K26,Y$3)=0))+((Y26&lt;&gt;"Xs")*(Y26&lt;&gt;"Cs")*(COUNTIFS($C$3:$K$3,"SERA",$C26:$K26,Y$3)=0)*(COUNTIFS($C$3:$K$3,"NOTTE",$C26:$K26,Y$3)=0))+((Y26&lt;&gt;"Xn")*(COUNTIFS($C$3:$K$3,"MAT",$C26:$K26,Y$3)=0)*(COUNTIFS($C$3:$K$3,"POM",$C26:$K26,Y$3)=0)*(COUNTIFS($C$3:$K$3,"SERA",$C26:$K26,Y$3)=0)*(COUNTIFS($C$3:$K$3,"NOTTE",$C26:$K26,Y$3)=0))=4,Y$3&amp;", ",Y$3&amp;IF((Y26&lt;&gt;"Xm")*(COUNTIFS($C$3:$K$3,"MAT",$C26:$K26,Y$3)=0)*(COUNTIFS($C$3:$K$3,"NOTTE",$C26:$K26,Y$3)=0),"_m","")&amp;IF((Y26&lt;&gt;"Xp")*(COUNTIFS($C$3:$K$3,"POM",$C26:$K26,Y$3)=0)*(COUNTIFS($C$3:$K$3,"NOTTE",$C26:$K26,Y$3)=0),"_p","")&amp;IF((Y26&lt;&gt;"Xs")*(Y26&lt;&gt;"Cs")*(COUNTIFS($C$3:$K$3,"SERA",$C26:$K26,Y$3)=0)*(COUNTIFS($C$3:$K$3,"NOTTE",$C26:$K26,Y$3)=0),"_s","")&amp;IF((Y26&lt;&gt;"Xn")*(COUNTIFS($C$3:$K$3,"MAT",$C26:$K26,Y$3)=0)*(COUNTIFS($C$3:$K$3,"POM",$C26:$K26,Y$3)=0)*(COUNTIFS($C$3:$K$3,"SERA",$C26:$K26,Y$3)=0)*(COUNTIFS($C$3:$K$3,"NOTTE",$C26:$K26,Y$3)=0),"_n","")&amp;", ")))</f>
        <v>DINO, </v>
      </c>
      <c r="BE26" s="10" t="str">
        <f aca="false">IF((Z26="X")+(Z26="F")&gt;0,"",IF(((Z26&lt;&gt;"Xm")*(COUNTIFS($C$3:$K$3,"MAT",$C26:$K26,Z$3)=0)*(COUNTIFS($C$3:$K$3,"NOTTE",$C26:$K26,Z$3)=0))+((Z26&lt;&gt;"Xp")*(COUNTIFS($C$3:$K$3,"POM",$C26:$K26,Z$3)=0)*(COUNTIFS($C$3:$K$3,"NOTTE",$C26:$K26,Z$3)=0))+((Z26&lt;&gt;"Xs")*(Z26&lt;&gt;"Cs")*(COUNTIFS($C$3:$K$3,"SERA",$C26:$K26,Z$3)=0)*(COUNTIFS($C$3:$K$3,"NOTTE",$C26:$K26,Z$3)=0))+((Z26&lt;&gt;"Xn")*(COUNTIFS($C$3:$K$3,"MAT",$C26:$K26,Z$3)=0)*(COUNTIFS($C$3:$K$3,"POM",$C26:$K26,Z$3)=0)*(COUNTIFS($C$3:$K$3,"SERA",$C26:$K26,Z$3)=0)*(COUNTIFS($C$3:$K$3,"NOTTE",$C26:$K26,Z$3)=0))=0,"",IF(((Z26&lt;&gt;"Xm")*(COUNTIFS($C$3:$K$3,"MAT",$C26:$K26,Z$3)=0)*(COUNTIFS($C$3:$K$3,"NOTTE",$C26:$K26,Z$3)=0))+((Z26&lt;&gt;"Xp")*(COUNTIFS($C$3:$K$3,"POM",$C26:$K26,Z$3)=0)*(COUNTIFS($C$3:$K$3,"NOTTE",$C26:$K26,Z$3)=0))+((Z26&lt;&gt;"Xs")*(Z26&lt;&gt;"Cs")*(COUNTIFS($C$3:$K$3,"SERA",$C26:$K26,Z$3)=0)*(COUNTIFS($C$3:$K$3,"NOTTE",$C26:$K26,Z$3)=0))+((Z26&lt;&gt;"Xn")*(COUNTIFS($C$3:$K$3,"MAT",$C26:$K26,Z$3)=0)*(COUNTIFS($C$3:$K$3,"POM",$C26:$K26,Z$3)=0)*(COUNTIFS($C$3:$K$3,"SERA",$C26:$K26,Z$3)=0)*(COUNTIFS($C$3:$K$3,"NOTTE",$C26:$K26,Z$3)=0))=4,Z$3&amp;", ",Z$3&amp;IF((Z26&lt;&gt;"Xm")*(COUNTIFS($C$3:$K$3,"MAT",$C26:$K26,Z$3)=0)*(COUNTIFS($C$3:$K$3,"NOTTE",$C26:$K26,Z$3)=0),"_m","")&amp;IF((Z26&lt;&gt;"Xp")*(COUNTIFS($C$3:$K$3,"POM",$C26:$K26,Z$3)=0)*(COUNTIFS($C$3:$K$3,"NOTTE",$C26:$K26,Z$3)=0),"_p","")&amp;IF((Z26&lt;&gt;"Xs")*(Z26&lt;&gt;"Cs")*(COUNTIFS($C$3:$K$3,"SERA",$C26:$K26,Z$3)=0)*(COUNTIFS($C$3:$K$3,"NOTTE",$C26:$K26,Z$3)=0),"_s","")&amp;IF((Z26&lt;&gt;"Xn")*(COUNTIFS($C$3:$K$3,"MAT",$C26:$K26,Z$3)=0)*(COUNTIFS($C$3:$K$3,"POM",$C26:$K26,Z$3)=0)*(COUNTIFS($C$3:$K$3,"SERA",$C26:$K26,Z$3)=0)*(COUNTIFS($C$3:$K$3,"NOTTE",$C26:$K26,Z$3)=0),"_n","")&amp;", ")))</f>
        <v>ELSA, </v>
      </c>
      <c r="BF26" s="10" t="str">
        <f aca="false">IF((AA26="X")+(AA26="F")&gt;0,"",IF(((AA26&lt;&gt;"Xm")*(COUNTIFS($C$3:$K$3,"MAT",$C26:$K26,AA$3)=0)*(COUNTIFS($C$3:$K$3,"NOTTE",$C26:$K26,AA$3)=0))+((AA26&lt;&gt;"Xp")*(COUNTIFS($C$3:$K$3,"POM",$C26:$K26,AA$3)=0)*(COUNTIFS($C$3:$K$3,"NOTTE",$C26:$K26,AA$3)=0))+((AA26&lt;&gt;"Xs")*(AA26&lt;&gt;"Cs")*(COUNTIFS($C$3:$K$3,"SERA",$C26:$K26,AA$3)=0)*(COUNTIFS($C$3:$K$3,"NOTTE",$C26:$K26,AA$3)=0))+((AA26&lt;&gt;"Xn")*(COUNTIFS($C$3:$K$3,"MAT",$C26:$K26,AA$3)=0)*(COUNTIFS($C$3:$K$3,"POM",$C26:$K26,AA$3)=0)*(COUNTIFS($C$3:$K$3,"SERA",$C26:$K26,AA$3)=0)*(COUNTIFS($C$3:$K$3,"NOTTE",$C26:$K26,AA$3)=0))=0,"",IF(((AA26&lt;&gt;"Xm")*(COUNTIFS($C$3:$K$3,"MAT",$C26:$K26,AA$3)=0)*(COUNTIFS($C$3:$K$3,"NOTTE",$C26:$K26,AA$3)=0))+((AA26&lt;&gt;"Xp")*(COUNTIFS($C$3:$K$3,"POM",$C26:$K26,AA$3)=0)*(COUNTIFS($C$3:$K$3,"NOTTE",$C26:$K26,AA$3)=0))+((AA26&lt;&gt;"Xs")*(AA26&lt;&gt;"Cs")*(COUNTIFS($C$3:$K$3,"SERA",$C26:$K26,AA$3)=0)*(COUNTIFS($C$3:$K$3,"NOTTE",$C26:$K26,AA$3)=0))+((AA26&lt;&gt;"Xn")*(COUNTIFS($C$3:$K$3,"MAT",$C26:$K26,AA$3)=0)*(COUNTIFS($C$3:$K$3,"POM",$C26:$K26,AA$3)=0)*(COUNTIFS($C$3:$K$3,"SERA",$C26:$K26,AA$3)=0)*(COUNTIFS($C$3:$K$3,"NOTTE",$C26:$K26,AA$3)=0))=4,AA$3&amp;", ",AA$3&amp;IF((AA26&lt;&gt;"Xm")*(COUNTIFS($C$3:$K$3,"MAT",$C26:$K26,AA$3)=0)*(COUNTIFS($C$3:$K$3,"NOTTE",$C26:$K26,AA$3)=0),"_m","")&amp;IF((AA26&lt;&gt;"Xp")*(COUNTIFS($C$3:$K$3,"POM",$C26:$K26,AA$3)=0)*(COUNTIFS($C$3:$K$3,"NOTTE",$C26:$K26,AA$3)=0),"_p","")&amp;IF((AA26&lt;&gt;"Xs")*(AA26&lt;&gt;"Cs")*(COUNTIFS($C$3:$K$3,"SERA",$C26:$K26,AA$3)=0)*(COUNTIFS($C$3:$K$3,"NOTTE",$C26:$K26,AA$3)=0),"_s","")&amp;IF((AA26&lt;&gt;"Xn")*(COUNTIFS($C$3:$K$3,"MAT",$C26:$K26,AA$3)=0)*(COUNTIFS($C$3:$K$3,"POM",$C26:$K26,AA$3)=0)*(COUNTIFS($C$3:$K$3,"SERA",$C26:$K26,AA$3)=0)*(COUNTIFS($C$3:$K$3,"NOTTE",$C26:$K26,AA$3)=0),"_n","")&amp;", ")))</f>
        <v>FABIO, </v>
      </c>
    </row>
    <row r="27" customFormat="false" ht="15" hidden="false" customHeight="false" outlineLevel="0" collapsed="false">
      <c r="A27" s="4" t="str">
        <f aca="false">CHOOSE(WEEKDAY(DATE($B$1,$A$2,B27),2),"lunedì","martedì","mercoledì","giovedì","venerdì","sabato","domenica")</f>
        <v>mercoledì</v>
      </c>
      <c r="B27" s="4" t="n">
        <v>24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 t="str">
        <f aca="false">IF(SUMPRODUCT(($C$3:$K$3&lt;&gt;"")*($C27:$K27&lt;&gt;"")*(COUNTIFS($C27:$K27,$C27:$K27,$C$3:$K$3,$C$3:$K$3)&gt;1))&gt;0,"X","")</f>
        <v/>
      </c>
      <c r="N27" s="5" t="str">
        <f aca="false">IF(LEN(AT27&amp;AU27&amp;AV27&amp;AW27&amp;AX27&amp;AY27)=0,"",LEFT(AT27&amp;AU27&amp;AV27&amp;AW27&amp;AX27&amp;AY27,LEN(AT27&amp;AU27&amp;AV27&amp;AW27&amp;AX27&amp;AY27)-2))</f>
        <v>ALBA, BRUNO, CARLA, DINO, ELSA, FABIO</v>
      </c>
      <c r="O27" s="5" t="str">
        <f aca="false">IF(LEN(BA27&amp;BB27&amp;BC27&amp;BD27&amp;BE27&amp;BF27)=0,"",LEFT(BA27&amp;BB27&amp;BC27&amp;BD27&amp;BE27&amp;BF27,LEN(BA27&amp;BB27&amp;BC27&amp;BD27&amp;BE27&amp;BF27)-2))</f>
        <v>ALBA, BRUNO, CARLA, DINO, ELSA, FABIO</v>
      </c>
      <c r="T27" s="4" t="str">
        <f aca="false">A27</f>
        <v>mercoledì</v>
      </c>
      <c r="U27" s="4" t="n">
        <f aca="false">B27</f>
        <v>24</v>
      </c>
      <c r="V27" s="5"/>
      <c r="W27" s="5"/>
      <c r="X27" s="5"/>
      <c r="Y27" s="5"/>
      <c r="Z27" s="5"/>
      <c r="AA27" s="5"/>
      <c r="AT27" s="10" t="str">
        <f aca="false">IF((V27="X")+(V27="F")&gt;0,"",IF(((V27&lt;&gt;"Xm"))+((V27&lt;&gt;"Xp"))+((V27&lt;&gt;"Xs")*(V27&lt;&gt;"Cs"))+((V27&lt;&gt;"Xn"))=0,"",IF(((V27&lt;&gt;"Xm"))+((V27&lt;&gt;"Xp"))+((V27&lt;&gt;"Xs")*(V27&lt;&gt;"Cs"))+((V27&lt;&gt;"Xn"))=4,V$3&amp;", ",V$3&amp;IF((V27&lt;&gt;"Xm"),"_m","")&amp;IF((V27&lt;&gt;"Xp"),"_p","")&amp;IF((V27&lt;&gt;"Xs")*(V27&lt;&gt;"Cs"),"_s","")&amp;IF((V27&lt;&gt;"Xn"),"_n","")&amp;", ")))</f>
        <v>ALBA, </v>
      </c>
      <c r="AU27" s="10" t="str">
        <f aca="false">IF((W27="X")+(W27="F")&gt;0,"",IF(((W27&lt;&gt;"Xm"))+((W27&lt;&gt;"Xp"))+((W27&lt;&gt;"Xs")*(W27&lt;&gt;"Cs"))+((W27&lt;&gt;"Xn"))=0,"",IF(((W27&lt;&gt;"Xm"))+((W27&lt;&gt;"Xp"))+((W27&lt;&gt;"Xs")*(W27&lt;&gt;"Cs"))+((W27&lt;&gt;"Xn"))=4,W$3&amp;", ",W$3&amp;IF((W27&lt;&gt;"Xm"),"_m","")&amp;IF((W27&lt;&gt;"Xp"),"_p","")&amp;IF((W27&lt;&gt;"Xs")*(W27&lt;&gt;"Cs"),"_s","")&amp;IF((W27&lt;&gt;"Xn"),"_n","")&amp;", ")))</f>
        <v>BRUNO, </v>
      </c>
      <c r="AV27" s="10" t="str">
        <f aca="false">IF((X27="X")+(X27="F")&gt;0,"",IF(((X27&lt;&gt;"Xm"))+((X27&lt;&gt;"Xp"))+((X27&lt;&gt;"Xs")*(X27&lt;&gt;"Cs"))+((X27&lt;&gt;"Xn"))=0,"",IF(((X27&lt;&gt;"Xm"))+((X27&lt;&gt;"Xp"))+((X27&lt;&gt;"Xs")*(X27&lt;&gt;"Cs"))+((X27&lt;&gt;"Xn"))=4,X$3&amp;", ",X$3&amp;IF((X27&lt;&gt;"Xm"),"_m","")&amp;IF((X27&lt;&gt;"Xp"),"_p","")&amp;IF((X27&lt;&gt;"Xs")*(X27&lt;&gt;"Cs"),"_s","")&amp;IF((X27&lt;&gt;"Xn"),"_n","")&amp;", ")))</f>
        <v>CARLA, </v>
      </c>
      <c r="AW27" s="10" t="str">
        <f aca="false">IF((Y27="X")+(Y27="F")&gt;0,"",IF(((Y27&lt;&gt;"Xm"))+((Y27&lt;&gt;"Xp"))+((Y27&lt;&gt;"Xs")*(Y27&lt;&gt;"Cs"))+((Y27&lt;&gt;"Xn"))=0,"",IF(((Y27&lt;&gt;"Xm"))+((Y27&lt;&gt;"Xp"))+((Y27&lt;&gt;"Xs")*(Y27&lt;&gt;"Cs"))+((Y27&lt;&gt;"Xn"))=4,Y$3&amp;", ",Y$3&amp;IF((Y27&lt;&gt;"Xm"),"_m","")&amp;IF((Y27&lt;&gt;"Xp"),"_p","")&amp;IF((Y27&lt;&gt;"Xs")*(Y27&lt;&gt;"Cs"),"_s","")&amp;IF((Y27&lt;&gt;"Xn"),"_n","")&amp;", ")))</f>
        <v>DINO, </v>
      </c>
      <c r="AX27" s="10" t="str">
        <f aca="false">IF((Z27="X")+(Z27="F")&gt;0,"",IF(((Z27&lt;&gt;"Xm"))+((Z27&lt;&gt;"Xp"))+((Z27&lt;&gt;"Xs")*(Z27&lt;&gt;"Cs"))+((Z27&lt;&gt;"Xn"))=0,"",IF(((Z27&lt;&gt;"Xm"))+((Z27&lt;&gt;"Xp"))+((Z27&lt;&gt;"Xs")*(Z27&lt;&gt;"Cs"))+((Z27&lt;&gt;"Xn"))=4,Z$3&amp;", ",Z$3&amp;IF((Z27&lt;&gt;"Xm"),"_m","")&amp;IF((Z27&lt;&gt;"Xp"),"_p","")&amp;IF((Z27&lt;&gt;"Xs")*(Z27&lt;&gt;"Cs"),"_s","")&amp;IF((Z27&lt;&gt;"Xn"),"_n","")&amp;", ")))</f>
        <v>ELSA, </v>
      </c>
      <c r="AY27" s="10" t="str">
        <f aca="false">IF((AA27="X")+(AA27="F")&gt;0,"",IF(((AA27&lt;&gt;"Xm"))+((AA27&lt;&gt;"Xp"))+((AA27&lt;&gt;"Xs")*(AA27&lt;&gt;"Cs"))+((AA27&lt;&gt;"Xn"))=0,"",IF(((AA27&lt;&gt;"Xm"))+((AA27&lt;&gt;"Xp"))+((AA27&lt;&gt;"Xs")*(AA27&lt;&gt;"Cs"))+((AA27&lt;&gt;"Xn"))=4,AA$3&amp;", ",AA$3&amp;IF((AA27&lt;&gt;"Xm"),"_m","")&amp;IF((AA27&lt;&gt;"Xp"),"_p","")&amp;IF((AA27&lt;&gt;"Xs")*(AA27&lt;&gt;"Cs"),"_s","")&amp;IF((AA27&lt;&gt;"Xn"),"_n","")&amp;", ")))</f>
        <v>FABIO, </v>
      </c>
      <c r="AZ27" s="10"/>
      <c r="BA27" s="10" t="str">
        <f aca="false">IF((V27="X")+(V27="F")&gt;0,"",IF(((V27&lt;&gt;"Xm")*(COUNTIFS($C$3:$K$3,"MAT",$C27:$K27,V$3)=0)*(COUNTIFS($C$3:$K$3,"NOTTE",$C27:$K27,V$3)=0))+((V27&lt;&gt;"Xp")*(COUNTIFS($C$3:$K$3,"POM",$C27:$K27,V$3)=0)*(COUNTIFS($C$3:$K$3,"NOTTE",$C27:$K27,V$3)=0))+((V27&lt;&gt;"Xs")*(V27&lt;&gt;"Cs")*(COUNTIFS($C$3:$K$3,"SERA",$C27:$K27,V$3)=0)*(COUNTIFS($C$3:$K$3,"NOTTE",$C27:$K27,V$3)=0))+((V27&lt;&gt;"Xn")*(COUNTIFS($C$3:$K$3,"MAT",$C27:$K27,V$3)=0)*(COUNTIFS($C$3:$K$3,"POM",$C27:$K27,V$3)=0)*(COUNTIFS($C$3:$K$3,"SERA",$C27:$K27,V$3)=0)*(COUNTIFS($C$3:$K$3,"NOTTE",$C27:$K27,V$3)=0))=0,"",IF(((V27&lt;&gt;"Xm")*(COUNTIFS($C$3:$K$3,"MAT",$C27:$K27,V$3)=0)*(COUNTIFS($C$3:$K$3,"NOTTE",$C27:$K27,V$3)=0))+((V27&lt;&gt;"Xp")*(COUNTIFS($C$3:$K$3,"POM",$C27:$K27,V$3)=0)*(COUNTIFS($C$3:$K$3,"NOTTE",$C27:$K27,V$3)=0))+((V27&lt;&gt;"Xs")*(V27&lt;&gt;"Cs")*(COUNTIFS($C$3:$K$3,"SERA",$C27:$K27,V$3)=0)*(COUNTIFS($C$3:$K$3,"NOTTE",$C27:$K27,V$3)=0))+((V27&lt;&gt;"Xn")*(COUNTIFS($C$3:$K$3,"MAT",$C27:$K27,V$3)=0)*(COUNTIFS($C$3:$K$3,"POM",$C27:$K27,V$3)=0)*(COUNTIFS($C$3:$K$3,"SERA",$C27:$K27,V$3)=0)*(COUNTIFS($C$3:$K$3,"NOTTE",$C27:$K27,V$3)=0))=4,V$3&amp;", ",V$3&amp;IF((V27&lt;&gt;"Xm")*(COUNTIFS($C$3:$K$3,"MAT",$C27:$K27,V$3)=0)*(COUNTIFS($C$3:$K$3,"NOTTE",$C27:$K27,V$3)=0),"_m","")&amp;IF((V27&lt;&gt;"Xp")*(COUNTIFS($C$3:$K$3,"POM",$C27:$K27,V$3)=0)*(COUNTIFS($C$3:$K$3,"NOTTE",$C27:$K27,V$3)=0),"_p","")&amp;IF((V27&lt;&gt;"Xs")*(V27&lt;&gt;"Cs")*(COUNTIFS($C$3:$K$3,"SERA",$C27:$K27,V$3)=0)*(COUNTIFS($C$3:$K$3,"NOTTE",$C27:$K27,V$3)=0),"_s","")&amp;IF((V27&lt;&gt;"Xn")*(COUNTIFS($C$3:$K$3,"MAT",$C27:$K27,V$3)=0)*(COUNTIFS($C$3:$K$3,"POM",$C27:$K27,V$3)=0)*(COUNTIFS($C$3:$K$3,"SERA",$C27:$K27,V$3)=0)*(COUNTIFS($C$3:$K$3,"NOTTE",$C27:$K27,V$3)=0),"_n","")&amp;", ")))</f>
        <v>ALBA, </v>
      </c>
      <c r="BB27" s="10" t="str">
        <f aca="false">IF((W27="X")+(W27="F")&gt;0,"",IF(((W27&lt;&gt;"Xm")*(COUNTIFS($C$3:$K$3,"MAT",$C27:$K27,W$3)=0)*(COUNTIFS($C$3:$K$3,"NOTTE",$C27:$K27,W$3)=0))+((W27&lt;&gt;"Xp")*(COUNTIFS($C$3:$K$3,"POM",$C27:$K27,W$3)=0)*(COUNTIFS($C$3:$K$3,"NOTTE",$C27:$K27,W$3)=0))+((W27&lt;&gt;"Xs")*(W27&lt;&gt;"Cs")*(COUNTIFS($C$3:$K$3,"SERA",$C27:$K27,W$3)=0)*(COUNTIFS($C$3:$K$3,"NOTTE",$C27:$K27,W$3)=0))+((W27&lt;&gt;"Xn")*(COUNTIFS($C$3:$K$3,"MAT",$C27:$K27,W$3)=0)*(COUNTIFS($C$3:$K$3,"POM",$C27:$K27,W$3)=0)*(COUNTIFS($C$3:$K$3,"SERA",$C27:$K27,W$3)=0)*(COUNTIFS($C$3:$K$3,"NOTTE",$C27:$K27,W$3)=0))=0,"",IF(((W27&lt;&gt;"Xm")*(COUNTIFS($C$3:$K$3,"MAT",$C27:$K27,W$3)=0)*(COUNTIFS($C$3:$K$3,"NOTTE",$C27:$K27,W$3)=0))+((W27&lt;&gt;"Xp")*(COUNTIFS($C$3:$K$3,"POM",$C27:$K27,W$3)=0)*(COUNTIFS($C$3:$K$3,"NOTTE",$C27:$K27,W$3)=0))+((W27&lt;&gt;"Xs")*(W27&lt;&gt;"Cs")*(COUNTIFS($C$3:$K$3,"SERA",$C27:$K27,W$3)=0)*(COUNTIFS($C$3:$K$3,"NOTTE",$C27:$K27,W$3)=0))+((W27&lt;&gt;"Xn")*(COUNTIFS($C$3:$K$3,"MAT",$C27:$K27,W$3)=0)*(COUNTIFS($C$3:$K$3,"POM",$C27:$K27,W$3)=0)*(COUNTIFS($C$3:$K$3,"SERA",$C27:$K27,W$3)=0)*(COUNTIFS($C$3:$K$3,"NOTTE",$C27:$K27,W$3)=0))=4,W$3&amp;", ",W$3&amp;IF((W27&lt;&gt;"Xm")*(COUNTIFS($C$3:$K$3,"MAT",$C27:$K27,W$3)=0)*(COUNTIFS($C$3:$K$3,"NOTTE",$C27:$K27,W$3)=0),"_m","")&amp;IF((W27&lt;&gt;"Xp")*(COUNTIFS($C$3:$K$3,"POM",$C27:$K27,W$3)=0)*(COUNTIFS($C$3:$K$3,"NOTTE",$C27:$K27,W$3)=0),"_p","")&amp;IF((W27&lt;&gt;"Xs")*(W27&lt;&gt;"Cs")*(COUNTIFS($C$3:$K$3,"SERA",$C27:$K27,W$3)=0)*(COUNTIFS($C$3:$K$3,"NOTTE",$C27:$K27,W$3)=0),"_s","")&amp;IF((W27&lt;&gt;"Xn")*(COUNTIFS($C$3:$K$3,"MAT",$C27:$K27,W$3)=0)*(COUNTIFS($C$3:$K$3,"POM",$C27:$K27,W$3)=0)*(COUNTIFS($C$3:$K$3,"SERA",$C27:$K27,W$3)=0)*(COUNTIFS($C$3:$K$3,"NOTTE",$C27:$K27,W$3)=0),"_n","")&amp;", ")))</f>
        <v>BRUNO, </v>
      </c>
      <c r="BC27" s="10" t="str">
        <f aca="false">IF((X27="X")+(X27="F")&gt;0,"",IF(((X27&lt;&gt;"Xm")*(COUNTIFS($C$3:$K$3,"MAT",$C27:$K27,X$3)=0)*(COUNTIFS($C$3:$K$3,"NOTTE",$C27:$K27,X$3)=0))+((X27&lt;&gt;"Xp")*(COUNTIFS($C$3:$K$3,"POM",$C27:$K27,X$3)=0)*(COUNTIFS($C$3:$K$3,"NOTTE",$C27:$K27,X$3)=0))+((X27&lt;&gt;"Xs")*(X27&lt;&gt;"Cs")*(COUNTIFS($C$3:$K$3,"SERA",$C27:$K27,X$3)=0)*(COUNTIFS($C$3:$K$3,"NOTTE",$C27:$K27,X$3)=0))+((X27&lt;&gt;"Xn")*(COUNTIFS($C$3:$K$3,"MAT",$C27:$K27,X$3)=0)*(COUNTIFS($C$3:$K$3,"POM",$C27:$K27,X$3)=0)*(COUNTIFS($C$3:$K$3,"SERA",$C27:$K27,X$3)=0)*(COUNTIFS($C$3:$K$3,"NOTTE",$C27:$K27,X$3)=0))=0,"",IF(((X27&lt;&gt;"Xm")*(COUNTIFS($C$3:$K$3,"MAT",$C27:$K27,X$3)=0)*(COUNTIFS($C$3:$K$3,"NOTTE",$C27:$K27,X$3)=0))+((X27&lt;&gt;"Xp")*(COUNTIFS($C$3:$K$3,"POM",$C27:$K27,X$3)=0)*(COUNTIFS($C$3:$K$3,"NOTTE",$C27:$K27,X$3)=0))+((X27&lt;&gt;"Xs")*(X27&lt;&gt;"Cs")*(COUNTIFS($C$3:$K$3,"SERA",$C27:$K27,X$3)=0)*(COUNTIFS($C$3:$K$3,"NOTTE",$C27:$K27,X$3)=0))+((X27&lt;&gt;"Xn")*(COUNTIFS($C$3:$K$3,"MAT",$C27:$K27,X$3)=0)*(COUNTIFS($C$3:$K$3,"POM",$C27:$K27,X$3)=0)*(COUNTIFS($C$3:$K$3,"SERA",$C27:$K27,X$3)=0)*(COUNTIFS($C$3:$K$3,"NOTTE",$C27:$K27,X$3)=0))=4,X$3&amp;", ",X$3&amp;IF((X27&lt;&gt;"Xm")*(COUNTIFS($C$3:$K$3,"MAT",$C27:$K27,X$3)=0)*(COUNTIFS($C$3:$K$3,"NOTTE",$C27:$K27,X$3)=0),"_m","")&amp;IF((X27&lt;&gt;"Xp")*(COUNTIFS($C$3:$K$3,"POM",$C27:$K27,X$3)=0)*(COUNTIFS($C$3:$K$3,"NOTTE",$C27:$K27,X$3)=0),"_p","")&amp;IF((X27&lt;&gt;"Xs")*(X27&lt;&gt;"Cs")*(COUNTIFS($C$3:$K$3,"SERA",$C27:$K27,X$3)=0)*(COUNTIFS($C$3:$K$3,"NOTTE",$C27:$K27,X$3)=0),"_s","")&amp;IF((X27&lt;&gt;"Xn")*(COUNTIFS($C$3:$K$3,"MAT",$C27:$K27,X$3)=0)*(COUNTIFS($C$3:$K$3,"POM",$C27:$K27,X$3)=0)*(COUNTIFS($C$3:$K$3,"SERA",$C27:$K27,X$3)=0)*(COUNTIFS($C$3:$K$3,"NOTTE",$C27:$K27,X$3)=0),"_n","")&amp;", ")))</f>
        <v>CARLA, </v>
      </c>
      <c r="BD27" s="10" t="str">
        <f aca="false">IF((Y27="X")+(Y27="F")&gt;0,"",IF(((Y27&lt;&gt;"Xm")*(COUNTIFS($C$3:$K$3,"MAT",$C27:$K27,Y$3)=0)*(COUNTIFS($C$3:$K$3,"NOTTE",$C27:$K27,Y$3)=0))+((Y27&lt;&gt;"Xp")*(COUNTIFS($C$3:$K$3,"POM",$C27:$K27,Y$3)=0)*(COUNTIFS($C$3:$K$3,"NOTTE",$C27:$K27,Y$3)=0))+((Y27&lt;&gt;"Xs")*(Y27&lt;&gt;"Cs")*(COUNTIFS($C$3:$K$3,"SERA",$C27:$K27,Y$3)=0)*(COUNTIFS($C$3:$K$3,"NOTTE",$C27:$K27,Y$3)=0))+((Y27&lt;&gt;"Xn")*(COUNTIFS($C$3:$K$3,"MAT",$C27:$K27,Y$3)=0)*(COUNTIFS($C$3:$K$3,"POM",$C27:$K27,Y$3)=0)*(COUNTIFS($C$3:$K$3,"SERA",$C27:$K27,Y$3)=0)*(COUNTIFS($C$3:$K$3,"NOTTE",$C27:$K27,Y$3)=0))=0,"",IF(((Y27&lt;&gt;"Xm")*(COUNTIFS($C$3:$K$3,"MAT",$C27:$K27,Y$3)=0)*(COUNTIFS($C$3:$K$3,"NOTTE",$C27:$K27,Y$3)=0))+((Y27&lt;&gt;"Xp")*(COUNTIFS($C$3:$K$3,"POM",$C27:$K27,Y$3)=0)*(COUNTIFS($C$3:$K$3,"NOTTE",$C27:$K27,Y$3)=0))+((Y27&lt;&gt;"Xs")*(Y27&lt;&gt;"Cs")*(COUNTIFS($C$3:$K$3,"SERA",$C27:$K27,Y$3)=0)*(COUNTIFS($C$3:$K$3,"NOTTE",$C27:$K27,Y$3)=0))+((Y27&lt;&gt;"Xn")*(COUNTIFS($C$3:$K$3,"MAT",$C27:$K27,Y$3)=0)*(COUNTIFS($C$3:$K$3,"POM",$C27:$K27,Y$3)=0)*(COUNTIFS($C$3:$K$3,"SERA",$C27:$K27,Y$3)=0)*(COUNTIFS($C$3:$K$3,"NOTTE",$C27:$K27,Y$3)=0))=4,Y$3&amp;", ",Y$3&amp;IF((Y27&lt;&gt;"Xm")*(COUNTIFS($C$3:$K$3,"MAT",$C27:$K27,Y$3)=0)*(COUNTIFS($C$3:$K$3,"NOTTE",$C27:$K27,Y$3)=0),"_m","")&amp;IF((Y27&lt;&gt;"Xp")*(COUNTIFS($C$3:$K$3,"POM",$C27:$K27,Y$3)=0)*(COUNTIFS($C$3:$K$3,"NOTTE",$C27:$K27,Y$3)=0),"_p","")&amp;IF((Y27&lt;&gt;"Xs")*(Y27&lt;&gt;"Cs")*(COUNTIFS($C$3:$K$3,"SERA",$C27:$K27,Y$3)=0)*(COUNTIFS($C$3:$K$3,"NOTTE",$C27:$K27,Y$3)=0),"_s","")&amp;IF((Y27&lt;&gt;"Xn")*(COUNTIFS($C$3:$K$3,"MAT",$C27:$K27,Y$3)=0)*(COUNTIFS($C$3:$K$3,"POM",$C27:$K27,Y$3)=0)*(COUNTIFS($C$3:$K$3,"SERA",$C27:$K27,Y$3)=0)*(COUNTIFS($C$3:$K$3,"NOTTE",$C27:$K27,Y$3)=0),"_n","")&amp;", ")))</f>
        <v>DINO, </v>
      </c>
      <c r="BE27" s="10" t="str">
        <f aca="false">IF((Z27="X")+(Z27="F")&gt;0,"",IF(((Z27&lt;&gt;"Xm")*(COUNTIFS($C$3:$K$3,"MAT",$C27:$K27,Z$3)=0)*(COUNTIFS($C$3:$K$3,"NOTTE",$C27:$K27,Z$3)=0))+((Z27&lt;&gt;"Xp")*(COUNTIFS($C$3:$K$3,"POM",$C27:$K27,Z$3)=0)*(COUNTIFS($C$3:$K$3,"NOTTE",$C27:$K27,Z$3)=0))+((Z27&lt;&gt;"Xs")*(Z27&lt;&gt;"Cs")*(COUNTIFS($C$3:$K$3,"SERA",$C27:$K27,Z$3)=0)*(COUNTIFS($C$3:$K$3,"NOTTE",$C27:$K27,Z$3)=0))+((Z27&lt;&gt;"Xn")*(COUNTIFS($C$3:$K$3,"MAT",$C27:$K27,Z$3)=0)*(COUNTIFS($C$3:$K$3,"POM",$C27:$K27,Z$3)=0)*(COUNTIFS($C$3:$K$3,"SERA",$C27:$K27,Z$3)=0)*(COUNTIFS($C$3:$K$3,"NOTTE",$C27:$K27,Z$3)=0))=0,"",IF(((Z27&lt;&gt;"Xm")*(COUNTIFS($C$3:$K$3,"MAT",$C27:$K27,Z$3)=0)*(COUNTIFS($C$3:$K$3,"NOTTE",$C27:$K27,Z$3)=0))+((Z27&lt;&gt;"Xp")*(COUNTIFS($C$3:$K$3,"POM",$C27:$K27,Z$3)=0)*(COUNTIFS($C$3:$K$3,"NOTTE",$C27:$K27,Z$3)=0))+((Z27&lt;&gt;"Xs")*(Z27&lt;&gt;"Cs")*(COUNTIFS($C$3:$K$3,"SERA",$C27:$K27,Z$3)=0)*(COUNTIFS($C$3:$K$3,"NOTTE",$C27:$K27,Z$3)=0))+((Z27&lt;&gt;"Xn")*(COUNTIFS($C$3:$K$3,"MAT",$C27:$K27,Z$3)=0)*(COUNTIFS($C$3:$K$3,"POM",$C27:$K27,Z$3)=0)*(COUNTIFS($C$3:$K$3,"SERA",$C27:$K27,Z$3)=0)*(COUNTIFS($C$3:$K$3,"NOTTE",$C27:$K27,Z$3)=0))=4,Z$3&amp;", ",Z$3&amp;IF((Z27&lt;&gt;"Xm")*(COUNTIFS($C$3:$K$3,"MAT",$C27:$K27,Z$3)=0)*(COUNTIFS($C$3:$K$3,"NOTTE",$C27:$K27,Z$3)=0),"_m","")&amp;IF((Z27&lt;&gt;"Xp")*(COUNTIFS($C$3:$K$3,"POM",$C27:$K27,Z$3)=0)*(COUNTIFS($C$3:$K$3,"NOTTE",$C27:$K27,Z$3)=0),"_p","")&amp;IF((Z27&lt;&gt;"Xs")*(Z27&lt;&gt;"Cs")*(COUNTIFS($C$3:$K$3,"SERA",$C27:$K27,Z$3)=0)*(COUNTIFS($C$3:$K$3,"NOTTE",$C27:$K27,Z$3)=0),"_s","")&amp;IF((Z27&lt;&gt;"Xn")*(COUNTIFS($C$3:$K$3,"MAT",$C27:$K27,Z$3)=0)*(COUNTIFS($C$3:$K$3,"POM",$C27:$K27,Z$3)=0)*(COUNTIFS($C$3:$K$3,"SERA",$C27:$K27,Z$3)=0)*(COUNTIFS($C$3:$K$3,"NOTTE",$C27:$K27,Z$3)=0),"_n","")&amp;", ")))</f>
        <v>ELSA, </v>
      </c>
      <c r="BF27" s="10" t="str">
        <f aca="false">IF((AA27="X")+(AA27="F")&gt;0,"",IF(((AA27&lt;&gt;"Xm")*(COUNTIFS($C$3:$K$3,"MAT",$C27:$K27,AA$3)=0)*(COUNTIFS($C$3:$K$3,"NOTTE",$C27:$K27,AA$3)=0))+((AA27&lt;&gt;"Xp")*(COUNTIFS($C$3:$K$3,"POM",$C27:$K27,AA$3)=0)*(COUNTIFS($C$3:$K$3,"NOTTE",$C27:$K27,AA$3)=0))+((AA27&lt;&gt;"Xs")*(AA27&lt;&gt;"Cs")*(COUNTIFS($C$3:$K$3,"SERA",$C27:$K27,AA$3)=0)*(COUNTIFS($C$3:$K$3,"NOTTE",$C27:$K27,AA$3)=0))+((AA27&lt;&gt;"Xn")*(COUNTIFS($C$3:$K$3,"MAT",$C27:$K27,AA$3)=0)*(COUNTIFS($C$3:$K$3,"POM",$C27:$K27,AA$3)=0)*(COUNTIFS($C$3:$K$3,"SERA",$C27:$K27,AA$3)=0)*(COUNTIFS($C$3:$K$3,"NOTTE",$C27:$K27,AA$3)=0))=0,"",IF(((AA27&lt;&gt;"Xm")*(COUNTIFS($C$3:$K$3,"MAT",$C27:$K27,AA$3)=0)*(COUNTIFS($C$3:$K$3,"NOTTE",$C27:$K27,AA$3)=0))+((AA27&lt;&gt;"Xp")*(COUNTIFS($C$3:$K$3,"POM",$C27:$K27,AA$3)=0)*(COUNTIFS($C$3:$K$3,"NOTTE",$C27:$K27,AA$3)=0))+((AA27&lt;&gt;"Xs")*(AA27&lt;&gt;"Cs")*(COUNTIFS($C$3:$K$3,"SERA",$C27:$K27,AA$3)=0)*(COUNTIFS($C$3:$K$3,"NOTTE",$C27:$K27,AA$3)=0))+((AA27&lt;&gt;"Xn")*(COUNTIFS($C$3:$K$3,"MAT",$C27:$K27,AA$3)=0)*(COUNTIFS($C$3:$K$3,"POM",$C27:$K27,AA$3)=0)*(COUNTIFS($C$3:$K$3,"SERA",$C27:$K27,AA$3)=0)*(COUNTIFS($C$3:$K$3,"NOTTE",$C27:$K27,AA$3)=0))=4,AA$3&amp;", ",AA$3&amp;IF((AA27&lt;&gt;"Xm")*(COUNTIFS($C$3:$K$3,"MAT",$C27:$K27,AA$3)=0)*(COUNTIFS($C$3:$K$3,"NOTTE",$C27:$K27,AA$3)=0),"_m","")&amp;IF((AA27&lt;&gt;"Xp")*(COUNTIFS($C$3:$K$3,"POM",$C27:$K27,AA$3)=0)*(COUNTIFS($C$3:$K$3,"NOTTE",$C27:$K27,AA$3)=0),"_p","")&amp;IF((AA27&lt;&gt;"Xs")*(AA27&lt;&gt;"Cs")*(COUNTIFS($C$3:$K$3,"SERA",$C27:$K27,AA$3)=0)*(COUNTIFS($C$3:$K$3,"NOTTE",$C27:$K27,AA$3)=0),"_s","")&amp;IF((AA27&lt;&gt;"Xn")*(COUNTIFS($C$3:$K$3,"MAT",$C27:$K27,AA$3)=0)*(COUNTIFS($C$3:$K$3,"POM",$C27:$K27,AA$3)=0)*(COUNTIFS($C$3:$K$3,"SERA",$C27:$K27,AA$3)=0)*(COUNTIFS($C$3:$K$3,"NOTTE",$C27:$K27,AA$3)=0),"_n","")&amp;", ")))</f>
        <v>FABIO, </v>
      </c>
    </row>
    <row r="28" customFormat="false" ht="15" hidden="false" customHeight="false" outlineLevel="0" collapsed="false">
      <c r="A28" s="4" t="str">
        <f aca="false">CHOOSE(WEEKDAY(DATE($B$1,$A$2,B28),2),"lunedì","martedì","mercoledì","giovedì","venerdì","sabato","domenica")</f>
        <v>giovedì</v>
      </c>
      <c r="B28" s="4" t="n">
        <v>25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 t="str">
        <f aca="false">IF(SUMPRODUCT(($C$3:$K$3&lt;&gt;"")*($C28:$K28&lt;&gt;"")*(COUNTIFS($C28:$K28,$C28:$K28,$C$3:$K$3,$C$3:$K$3)&gt;1))&gt;0,"X","")</f>
        <v/>
      </c>
      <c r="N28" s="5" t="str">
        <f aca="false">IF(LEN(AT28&amp;AU28&amp;AV28&amp;AW28&amp;AX28&amp;AY28)=0,"",LEFT(AT28&amp;AU28&amp;AV28&amp;AW28&amp;AX28&amp;AY28,LEN(AT28&amp;AU28&amp;AV28&amp;AW28&amp;AX28&amp;AY28)-2))</f>
        <v>ALBA, BRUNO, CARLA, DINO, ELSA, FABIO</v>
      </c>
      <c r="O28" s="5" t="str">
        <f aca="false">IF(LEN(BA28&amp;BB28&amp;BC28&amp;BD28&amp;BE28&amp;BF28)=0,"",LEFT(BA28&amp;BB28&amp;BC28&amp;BD28&amp;BE28&amp;BF28,LEN(BA28&amp;BB28&amp;BC28&amp;BD28&amp;BE28&amp;BF28)-2))</f>
        <v>ALBA, BRUNO, CARLA, DINO, ELSA, FABIO</v>
      </c>
      <c r="T28" s="4" t="str">
        <f aca="false">A28</f>
        <v>giovedì</v>
      </c>
      <c r="U28" s="4" t="n">
        <f aca="false">B28</f>
        <v>25</v>
      </c>
      <c r="V28" s="5"/>
      <c r="W28" s="5"/>
      <c r="X28" s="5"/>
      <c r="Y28" s="5"/>
      <c r="Z28" s="5"/>
      <c r="AA28" s="5"/>
      <c r="AT28" s="10" t="str">
        <f aca="false">IF((V28="X")+(V28="F")&gt;0,"",IF(((V28&lt;&gt;"Xm"))+((V28&lt;&gt;"Xp"))+((V28&lt;&gt;"Xs")*(V28&lt;&gt;"Cs"))+((V28&lt;&gt;"Xn"))=0,"",IF(((V28&lt;&gt;"Xm"))+((V28&lt;&gt;"Xp"))+((V28&lt;&gt;"Xs")*(V28&lt;&gt;"Cs"))+((V28&lt;&gt;"Xn"))=4,V$3&amp;", ",V$3&amp;IF((V28&lt;&gt;"Xm"),"_m","")&amp;IF((V28&lt;&gt;"Xp"),"_p","")&amp;IF((V28&lt;&gt;"Xs")*(V28&lt;&gt;"Cs"),"_s","")&amp;IF((V28&lt;&gt;"Xn"),"_n","")&amp;", ")))</f>
        <v>ALBA, </v>
      </c>
      <c r="AU28" s="10" t="str">
        <f aca="false">IF((W28="X")+(W28="F")&gt;0,"",IF(((W28&lt;&gt;"Xm"))+((W28&lt;&gt;"Xp"))+((W28&lt;&gt;"Xs")*(W28&lt;&gt;"Cs"))+((W28&lt;&gt;"Xn"))=0,"",IF(((W28&lt;&gt;"Xm"))+((W28&lt;&gt;"Xp"))+((W28&lt;&gt;"Xs")*(W28&lt;&gt;"Cs"))+((W28&lt;&gt;"Xn"))=4,W$3&amp;", ",W$3&amp;IF((W28&lt;&gt;"Xm"),"_m","")&amp;IF((W28&lt;&gt;"Xp"),"_p","")&amp;IF((W28&lt;&gt;"Xs")*(W28&lt;&gt;"Cs"),"_s","")&amp;IF((W28&lt;&gt;"Xn"),"_n","")&amp;", ")))</f>
        <v>BRUNO, </v>
      </c>
      <c r="AV28" s="10" t="str">
        <f aca="false">IF((X28="X")+(X28="F")&gt;0,"",IF(((X28&lt;&gt;"Xm"))+((X28&lt;&gt;"Xp"))+((X28&lt;&gt;"Xs")*(X28&lt;&gt;"Cs"))+((X28&lt;&gt;"Xn"))=0,"",IF(((X28&lt;&gt;"Xm"))+((X28&lt;&gt;"Xp"))+((X28&lt;&gt;"Xs")*(X28&lt;&gt;"Cs"))+((X28&lt;&gt;"Xn"))=4,X$3&amp;", ",X$3&amp;IF((X28&lt;&gt;"Xm"),"_m","")&amp;IF((X28&lt;&gt;"Xp"),"_p","")&amp;IF((X28&lt;&gt;"Xs")*(X28&lt;&gt;"Cs"),"_s","")&amp;IF((X28&lt;&gt;"Xn"),"_n","")&amp;", ")))</f>
        <v>CARLA, </v>
      </c>
      <c r="AW28" s="10" t="str">
        <f aca="false">IF((Y28="X")+(Y28="F")&gt;0,"",IF(((Y28&lt;&gt;"Xm"))+((Y28&lt;&gt;"Xp"))+((Y28&lt;&gt;"Xs")*(Y28&lt;&gt;"Cs"))+((Y28&lt;&gt;"Xn"))=0,"",IF(((Y28&lt;&gt;"Xm"))+((Y28&lt;&gt;"Xp"))+((Y28&lt;&gt;"Xs")*(Y28&lt;&gt;"Cs"))+((Y28&lt;&gt;"Xn"))=4,Y$3&amp;", ",Y$3&amp;IF((Y28&lt;&gt;"Xm"),"_m","")&amp;IF((Y28&lt;&gt;"Xp"),"_p","")&amp;IF((Y28&lt;&gt;"Xs")*(Y28&lt;&gt;"Cs"),"_s","")&amp;IF((Y28&lt;&gt;"Xn"),"_n","")&amp;", ")))</f>
        <v>DINO, </v>
      </c>
      <c r="AX28" s="10" t="str">
        <f aca="false">IF((Z28="X")+(Z28="F")&gt;0,"",IF(((Z28&lt;&gt;"Xm"))+((Z28&lt;&gt;"Xp"))+((Z28&lt;&gt;"Xs")*(Z28&lt;&gt;"Cs"))+((Z28&lt;&gt;"Xn"))=0,"",IF(((Z28&lt;&gt;"Xm"))+((Z28&lt;&gt;"Xp"))+((Z28&lt;&gt;"Xs")*(Z28&lt;&gt;"Cs"))+((Z28&lt;&gt;"Xn"))=4,Z$3&amp;", ",Z$3&amp;IF((Z28&lt;&gt;"Xm"),"_m","")&amp;IF((Z28&lt;&gt;"Xp"),"_p","")&amp;IF((Z28&lt;&gt;"Xs")*(Z28&lt;&gt;"Cs"),"_s","")&amp;IF((Z28&lt;&gt;"Xn"),"_n","")&amp;", ")))</f>
        <v>ELSA, </v>
      </c>
      <c r="AY28" s="10" t="str">
        <f aca="false">IF((AA28="X")+(AA28="F")&gt;0,"",IF(((AA28&lt;&gt;"Xm"))+((AA28&lt;&gt;"Xp"))+((AA28&lt;&gt;"Xs")*(AA28&lt;&gt;"Cs"))+((AA28&lt;&gt;"Xn"))=0,"",IF(((AA28&lt;&gt;"Xm"))+((AA28&lt;&gt;"Xp"))+((AA28&lt;&gt;"Xs")*(AA28&lt;&gt;"Cs"))+((AA28&lt;&gt;"Xn"))=4,AA$3&amp;", ",AA$3&amp;IF((AA28&lt;&gt;"Xm"),"_m","")&amp;IF((AA28&lt;&gt;"Xp"),"_p","")&amp;IF((AA28&lt;&gt;"Xs")*(AA28&lt;&gt;"Cs"),"_s","")&amp;IF((AA28&lt;&gt;"Xn"),"_n","")&amp;", ")))</f>
        <v>FABIO, </v>
      </c>
      <c r="AZ28" s="10"/>
      <c r="BA28" s="10" t="str">
        <f aca="false">IF((V28="X")+(V28="F")&gt;0,"",IF(((V28&lt;&gt;"Xm")*(COUNTIFS($C$3:$K$3,"MAT",$C28:$K28,V$3)=0)*(COUNTIFS($C$3:$K$3,"NOTTE",$C28:$K28,V$3)=0))+((V28&lt;&gt;"Xp")*(COUNTIFS($C$3:$K$3,"POM",$C28:$K28,V$3)=0)*(COUNTIFS($C$3:$K$3,"NOTTE",$C28:$K28,V$3)=0))+((V28&lt;&gt;"Xs")*(V28&lt;&gt;"Cs")*(COUNTIFS($C$3:$K$3,"SERA",$C28:$K28,V$3)=0)*(COUNTIFS($C$3:$K$3,"NOTTE",$C28:$K28,V$3)=0))+((V28&lt;&gt;"Xn")*(COUNTIFS($C$3:$K$3,"MAT",$C28:$K28,V$3)=0)*(COUNTIFS($C$3:$K$3,"POM",$C28:$K28,V$3)=0)*(COUNTIFS($C$3:$K$3,"SERA",$C28:$K28,V$3)=0)*(COUNTIFS($C$3:$K$3,"NOTTE",$C28:$K28,V$3)=0))=0,"",IF(((V28&lt;&gt;"Xm")*(COUNTIFS($C$3:$K$3,"MAT",$C28:$K28,V$3)=0)*(COUNTIFS($C$3:$K$3,"NOTTE",$C28:$K28,V$3)=0))+((V28&lt;&gt;"Xp")*(COUNTIFS($C$3:$K$3,"POM",$C28:$K28,V$3)=0)*(COUNTIFS($C$3:$K$3,"NOTTE",$C28:$K28,V$3)=0))+((V28&lt;&gt;"Xs")*(V28&lt;&gt;"Cs")*(COUNTIFS($C$3:$K$3,"SERA",$C28:$K28,V$3)=0)*(COUNTIFS($C$3:$K$3,"NOTTE",$C28:$K28,V$3)=0))+((V28&lt;&gt;"Xn")*(COUNTIFS($C$3:$K$3,"MAT",$C28:$K28,V$3)=0)*(COUNTIFS($C$3:$K$3,"POM",$C28:$K28,V$3)=0)*(COUNTIFS($C$3:$K$3,"SERA",$C28:$K28,V$3)=0)*(COUNTIFS($C$3:$K$3,"NOTTE",$C28:$K28,V$3)=0))=4,V$3&amp;", ",V$3&amp;IF((V28&lt;&gt;"Xm")*(COUNTIFS($C$3:$K$3,"MAT",$C28:$K28,V$3)=0)*(COUNTIFS($C$3:$K$3,"NOTTE",$C28:$K28,V$3)=0),"_m","")&amp;IF((V28&lt;&gt;"Xp")*(COUNTIFS($C$3:$K$3,"POM",$C28:$K28,V$3)=0)*(COUNTIFS($C$3:$K$3,"NOTTE",$C28:$K28,V$3)=0),"_p","")&amp;IF((V28&lt;&gt;"Xs")*(V28&lt;&gt;"Cs")*(COUNTIFS($C$3:$K$3,"SERA",$C28:$K28,V$3)=0)*(COUNTIFS($C$3:$K$3,"NOTTE",$C28:$K28,V$3)=0),"_s","")&amp;IF((V28&lt;&gt;"Xn")*(COUNTIFS($C$3:$K$3,"MAT",$C28:$K28,V$3)=0)*(COUNTIFS($C$3:$K$3,"POM",$C28:$K28,V$3)=0)*(COUNTIFS($C$3:$K$3,"SERA",$C28:$K28,V$3)=0)*(COUNTIFS($C$3:$K$3,"NOTTE",$C28:$K28,V$3)=0),"_n","")&amp;", ")))</f>
        <v>ALBA, </v>
      </c>
      <c r="BB28" s="10" t="str">
        <f aca="false">IF((W28="X")+(W28="F")&gt;0,"",IF(((W28&lt;&gt;"Xm")*(COUNTIFS($C$3:$K$3,"MAT",$C28:$K28,W$3)=0)*(COUNTIFS($C$3:$K$3,"NOTTE",$C28:$K28,W$3)=0))+((W28&lt;&gt;"Xp")*(COUNTIFS($C$3:$K$3,"POM",$C28:$K28,W$3)=0)*(COUNTIFS($C$3:$K$3,"NOTTE",$C28:$K28,W$3)=0))+((W28&lt;&gt;"Xs")*(W28&lt;&gt;"Cs")*(COUNTIFS($C$3:$K$3,"SERA",$C28:$K28,W$3)=0)*(COUNTIFS($C$3:$K$3,"NOTTE",$C28:$K28,W$3)=0))+((W28&lt;&gt;"Xn")*(COUNTIFS($C$3:$K$3,"MAT",$C28:$K28,W$3)=0)*(COUNTIFS($C$3:$K$3,"POM",$C28:$K28,W$3)=0)*(COUNTIFS($C$3:$K$3,"SERA",$C28:$K28,W$3)=0)*(COUNTIFS($C$3:$K$3,"NOTTE",$C28:$K28,W$3)=0))=0,"",IF(((W28&lt;&gt;"Xm")*(COUNTIFS($C$3:$K$3,"MAT",$C28:$K28,W$3)=0)*(COUNTIFS($C$3:$K$3,"NOTTE",$C28:$K28,W$3)=0))+((W28&lt;&gt;"Xp")*(COUNTIFS($C$3:$K$3,"POM",$C28:$K28,W$3)=0)*(COUNTIFS($C$3:$K$3,"NOTTE",$C28:$K28,W$3)=0))+((W28&lt;&gt;"Xs")*(W28&lt;&gt;"Cs")*(COUNTIFS($C$3:$K$3,"SERA",$C28:$K28,W$3)=0)*(COUNTIFS($C$3:$K$3,"NOTTE",$C28:$K28,W$3)=0))+((W28&lt;&gt;"Xn")*(COUNTIFS($C$3:$K$3,"MAT",$C28:$K28,W$3)=0)*(COUNTIFS($C$3:$K$3,"POM",$C28:$K28,W$3)=0)*(COUNTIFS($C$3:$K$3,"SERA",$C28:$K28,W$3)=0)*(COUNTIFS($C$3:$K$3,"NOTTE",$C28:$K28,W$3)=0))=4,W$3&amp;", ",W$3&amp;IF((W28&lt;&gt;"Xm")*(COUNTIFS($C$3:$K$3,"MAT",$C28:$K28,W$3)=0)*(COUNTIFS($C$3:$K$3,"NOTTE",$C28:$K28,W$3)=0),"_m","")&amp;IF((W28&lt;&gt;"Xp")*(COUNTIFS($C$3:$K$3,"POM",$C28:$K28,W$3)=0)*(COUNTIFS($C$3:$K$3,"NOTTE",$C28:$K28,W$3)=0),"_p","")&amp;IF((W28&lt;&gt;"Xs")*(W28&lt;&gt;"Cs")*(COUNTIFS($C$3:$K$3,"SERA",$C28:$K28,W$3)=0)*(COUNTIFS($C$3:$K$3,"NOTTE",$C28:$K28,W$3)=0),"_s","")&amp;IF((W28&lt;&gt;"Xn")*(COUNTIFS($C$3:$K$3,"MAT",$C28:$K28,W$3)=0)*(COUNTIFS($C$3:$K$3,"POM",$C28:$K28,W$3)=0)*(COUNTIFS($C$3:$K$3,"SERA",$C28:$K28,W$3)=0)*(COUNTIFS($C$3:$K$3,"NOTTE",$C28:$K28,W$3)=0),"_n","")&amp;", ")))</f>
        <v>BRUNO, </v>
      </c>
      <c r="BC28" s="10" t="str">
        <f aca="false">IF((X28="X")+(X28="F")&gt;0,"",IF(((X28&lt;&gt;"Xm")*(COUNTIFS($C$3:$K$3,"MAT",$C28:$K28,X$3)=0)*(COUNTIFS($C$3:$K$3,"NOTTE",$C28:$K28,X$3)=0))+((X28&lt;&gt;"Xp")*(COUNTIFS($C$3:$K$3,"POM",$C28:$K28,X$3)=0)*(COUNTIFS($C$3:$K$3,"NOTTE",$C28:$K28,X$3)=0))+((X28&lt;&gt;"Xs")*(X28&lt;&gt;"Cs")*(COUNTIFS($C$3:$K$3,"SERA",$C28:$K28,X$3)=0)*(COUNTIFS($C$3:$K$3,"NOTTE",$C28:$K28,X$3)=0))+((X28&lt;&gt;"Xn")*(COUNTIFS($C$3:$K$3,"MAT",$C28:$K28,X$3)=0)*(COUNTIFS($C$3:$K$3,"POM",$C28:$K28,X$3)=0)*(COUNTIFS($C$3:$K$3,"SERA",$C28:$K28,X$3)=0)*(COUNTIFS($C$3:$K$3,"NOTTE",$C28:$K28,X$3)=0))=0,"",IF(((X28&lt;&gt;"Xm")*(COUNTIFS($C$3:$K$3,"MAT",$C28:$K28,X$3)=0)*(COUNTIFS($C$3:$K$3,"NOTTE",$C28:$K28,X$3)=0))+((X28&lt;&gt;"Xp")*(COUNTIFS($C$3:$K$3,"POM",$C28:$K28,X$3)=0)*(COUNTIFS($C$3:$K$3,"NOTTE",$C28:$K28,X$3)=0))+((X28&lt;&gt;"Xs")*(X28&lt;&gt;"Cs")*(COUNTIFS($C$3:$K$3,"SERA",$C28:$K28,X$3)=0)*(COUNTIFS($C$3:$K$3,"NOTTE",$C28:$K28,X$3)=0))+((X28&lt;&gt;"Xn")*(COUNTIFS($C$3:$K$3,"MAT",$C28:$K28,X$3)=0)*(COUNTIFS($C$3:$K$3,"POM",$C28:$K28,X$3)=0)*(COUNTIFS($C$3:$K$3,"SERA",$C28:$K28,X$3)=0)*(COUNTIFS($C$3:$K$3,"NOTTE",$C28:$K28,X$3)=0))=4,X$3&amp;", ",X$3&amp;IF((X28&lt;&gt;"Xm")*(COUNTIFS($C$3:$K$3,"MAT",$C28:$K28,X$3)=0)*(COUNTIFS($C$3:$K$3,"NOTTE",$C28:$K28,X$3)=0),"_m","")&amp;IF((X28&lt;&gt;"Xp")*(COUNTIFS($C$3:$K$3,"POM",$C28:$K28,X$3)=0)*(COUNTIFS($C$3:$K$3,"NOTTE",$C28:$K28,X$3)=0),"_p","")&amp;IF((X28&lt;&gt;"Xs")*(X28&lt;&gt;"Cs")*(COUNTIFS($C$3:$K$3,"SERA",$C28:$K28,X$3)=0)*(COUNTIFS($C$3:$K$3,"NOTTE",$C28:$K28,X$3)=0),"_s","")&amp;IF((X28&lt;&gt;"Xn")*(COUNTIFS($C$3:$K$3,"MAT",$C28:$K28,X$3)=0)*(COUNTIFS($C$3:$K$3,"POM",$C28:$K28,X$3)=0)*(COUNTIFS($C$3:$K$3,"SERA",$C28:$K28,X$3)=0)*(COUNTIFS($C$3:$K$3,"NOTTE",$C28:$K28,X$3)=0),"_n","")&amp;", ")))</f>
        <v>CARLA, </v>
      </c>
      <c r="BD28" s="10" t="str">
        <f aca="false">IF((Y28="X")+(Y28="F")&gt;0,"",IF(((Y28&lt;&gt;"Xm")*(COUNTIFS($C$3:$K$3,"MAT",$C28:$K28,Y$3)=0)*(COUNTIFS($C$3:$K$3,"NOTTE",$C28:$K28,Y$3)=0))+((Y28&lt;&gt;"Xp")*(COUNTIFS($C$3:$K$3,"POM",$C28:$K28,Y$3)=0)*(COUNTIFS($C$3:$K$3,"NOTTE",$C28:$K28,Y$3)=0))+((Y28&lt;&gt;"Xs")*(Y28&lt;&gt;"Cs")*(COUNTIFS($C$3:$K$3,"SERA",$C28:$K28,Y$3)=0)*(COUNTIFS($C$3:$K$3,"NOTTE",$C28:$K28,Y$3)=0))+((Y28&lt;&gt;"Xn")*(COUNTIFS($C$3:$K$3,"MAT",$C28:$K28,Y$3)=0)*(COUNTIFS($C$3:$K$3,"POM",$C28:$K28,Y$3)=0)*(COUNTIFS($C$3:$K$3,"SERA",$C28:$K28,Y$3)=0)*(COUNTIFS($C$3:$K$3,"NOTTE",$C28:$K28,Y$3)=0))=0,"",IF(((Y28&lt;&gt;"Xm")*(COUNTIFS($C$3:$K$3,"MAT",$C28:$K28,Y$3)=0)*(COUNTIFS($C$3:$K$3,"NOTTE",$C28:$K28,Y$3)=0))+((Y28&lt;&gt;"Xp")*(COUNTIFS($C$3:$K$3,"POM",$C28:$K28,Y$3)=0)*(COUNTIFS($C$3:$K$3,"NOTTE",$C28:$K28,Y$3)=0))+((Y28&lt;&gt;"Xs")*(Y28&lt;&gt;"Cs")*(COUNTIFS($C$3:$K$3,"SERA",$C28:$K28,Y$3)=0)*(COUNTIFS($C$3:$K$3,"NOTTE",$C28:$K28,Y$3)=0))+((Y28&lt;&gt;"Xn")*(COUNTIFS($C$3:$K$3,"MAT",$C28:$K28,Y$3)=0)*(COUNTIFS($C$3:$K$3,"POM",$C28:$K28,Y$3)=0)*(COUNTIFS($C$3:$K$3,"SERA",$C28:$K28,Y$3)=0)*(COUNTIFS($C$3:$K$3,"NOTTE",$C28:$K28,Y$3)=0))=4,Y$3&amp;", ",Y$3&amp;IF((Y28&lt;&gt;"Xm")*(COUNTIFS($C$3:$K$3,"MAT",$C28:$K28,Y$3)=0)*(COUNTIFS($C$3:$K$3,"NOTTE",$C28:$K28,Y$3)=0),"_m","")&amp;IF((Y28&lt;&gt;"Xp")*(COUNTIFS($C$3:$K$3,"POM",$C28:$K28,Y$3)=0)*(COUNTIFS($C$3:$K$3,"NOTTE",$C28:$K28,Y$3)=0),"_p","")&amp;IF((Y28&lt;&gt;"Xs")*(Y28&lt;&gt;"Cs")*(COUNTIFS($C$3:$K$3,"SERA",$C28:$K28,Y$3)=0)*(COUNTIFS($C$3:$K$3,"NOTTE",$C28:$K28,Y$3)=0),"_s","")&amp;IF((Y28&lt;&gt;"Xn")*(COUNTIFS($C$3:$K$3,"MAT",$C28:$K28,Y$3)=0)*(COUNTIFS($C$3:$K$3,"POM",$C28:$K28,Y$3)=0)*(COUNTIFS($C$3:$K$3,"SERA",$C28:$K28,Y$3)=0)*(COUNTIFS($C$3:$K$3,"NOTTE",$C28:$K28,Y$3)=0),"_n","")&amp;", ")))</f>
        <v>DINO, </v>
      </c>
      <c r="BE28" s="10" t="str">
        <f aca="false">IF((Z28="X")+(Z28="F")&gt;0,"",IF(((Z28&lt;&gt;"Xm")*(COUNTIFS($C$3:$K$3,"MAT",$C28:$K28,Z$3)=0)*(COUNTIFS($C$3:$K$3,"NOTTE",$C28:$K28,Z$3)=0))+((Z28&lt;&gt;"Xp")*(COUNTIFS($C$3:$K$3,"POM",$C28:$K28,Z$3)=0)*(COUNTIFS($C$3:$K$3,"NOTTE",$C28:$K28,Z$3)=0))+((Z28&lt;&gt;"Xs")*(Z28&lt;&gt;"Cs")*(COUNTIFS($C$3:$K$3,"SERA",$C28:$K28,Z$3)=0)*(COUNTIFS($C$3:$K$3,"NOTTE",$C28:$K28,Z$3)=0))+((Z28&lt;&gt;"Xn")*(COUNTIFS($C$3:$K$3,"MAT",$C28:$K28,Z$3)=0)*(COUNTIFS($C$3:$K$3,"POM",$C28:$K28,Z$3)=0)*(COUNTIFS($C$3:$K$3,"SERA",$C28:$K28,Z$3)=0)*(COUNTIFS($C$3:$K$3,"NOTTE",$C28:$K28,Z$3)=0))=0,"",IF(((Z28&lt;&gt;"Xm")*(COUNTIFS($C$3:$K$3,"MAT",$C28:$K28,Z$3)=0)*(COUNTIFS($C$3:$K$3,"NOTTE",$C28:$K28,Z$3)=0))+((Z28&lt;&gt;"Xp")*(COUNTIFS($C$3:$K$3,"POM",$C28:$K28,Z$3)=0)*(COUNTIFS($C$3:$K$3,"NOTTE",$C28:$K28,Z$3)=0))+((Z28&lt;&gt;"Xs")*(Z28&lt;&gt;"Cs")*(COUNTIFS($C$3:$K$3,"SERA",$C28:$K28,Z$3)=0)*(COUNTIFS($C$3:$K$3,"NOTTE",$C28:$K28,Z$3)=0))+((Z28&lt;&gt;"Xn")*(COUNTIFS($C$3:$K$3,"MAT",$C28:$K28,Z$3)=0)*(COUNTIFS($C$3:$K$3,"POM",$C28:$K28,Z$3)=0)*(COUNTIFS($C$3:$K$3,"SERA",$C28:$K28,Z$3)=0)*(COUNTIFS($C$3:$K$3,"NOTTE",$C28:$K28,Z$3)=0))=4,Z$3&amp;", ",Z$3&amp;IF((Z28&lt;&gt;"Xm")*(COUNTIFS($C$3:$K$3,"MAT",$C28:$K28,Z$3)=0)*(COUNTIFS($C$3:$K$3,"NOTTE",$C28:$K28,Z$3)=0),"_m","")&amp;IF((Z28&lt;&gt;"Xp")*(COUNTIFS($C$3:$K$3,"POM",$C28:$K28,Z$3)=0)*(COUNTIFS($C$3:$K$3,"NOTTE",$C28:$K28,Z$3)=0),"_p","")&amp;IF((Z28&lt;&gt;"Xs")*(Z28&lt;&gt;"Cs")*(COUNTIFS($C$3:$K$3,"SERA",$C28:$K28,Z$3)=0)*(COUNTIFS($C$3:$K$3,"NOTTE",$C28:$K28,Z$3)=0),"_s","")&amp;IF((Z28&lt;&gt;"Xn")*(COUNTIFS($C$3:$K$3,"MAT",$C28:$K28,Z$3)=0)*(COUNTIFS($C$3:$K$3,"POM",$C28:$K28,Z$3)=0)*(COUNTIFS($C$3:$K$3,"SERA",$C28:$K28,Z$3)=0)*(COUNTIFS($C$3:$K$3,"NOTTE",$C28:$K28,Z$3)=0),"_n","")&amp;", ")))</f>
        <v>ELSA, </v>
      </c>
      <c r="BF28" s="10" t="str">
        <f aca="false">IF((AA28="X")+(AA28="F")&gt;0,"",IF(((AA28&lt;&gt;"Xm")*(COUNTIFS($C$3:$K$3,"MAT",$C28:$K28,AA$3)=0)*(COUNTIFS($C$3:$K$3,"NOTTE",$C28:$K28,AA$3)=0))+((AA28&lt;&gt;"Xp")*(COUNTIFS($C$3:$K$3,"POM",$C28:$K28,AA$3)=0)*(COUNTIFS($C$3:$K$3,"NOTTE",$C28:$K28,AA$3)=0))+((AA28&lt;&gt;"Xs")*(AA28&lt;&gt;"Cs")*(COUNTIFS($C$3:$K$3,"SERA",$C28:$K28,AA$3)=0)*(COUNTIFS($C$3:$K$3,"NOTTE",$C28:$K28,AA$3)=0))+((AA28&lt;&gt;"Xn")*(COUNTIFS($C$3:$K$3,"MAT",$C28:$K28,AA$3)=0)*(COUNTIFS($C$3:$K$3,"POM",$C28:$K28,AA$3)=0)*(COUNTIFS($C$3:$K$3,"SERA",$C28:$K28,AA$3)=0)*(COUNTIFS($C$3:$K$3,"NOTTE",$C28:$K28,AA$3)=0))=0,"",IF(((AA28&lt;&gt;"Xm")*(COUNTIFS($C$3:$K$3,"MAT",$C28:$K28,AA$3)=0)*(COUNTIFS($C$3:$K$3,"NOTTE",$C28:$K28,AA$3)=0))+((AA28&lt;&gt;"Xp")*(COUNTIFS($C$3:$K$3,"POM",$C28:$K28,AA$3)=0)*(COUNTIFS($C$3:$K$3,"NOTTE",$C28:$K28,AA$3)=0))+((AA28&lt;&gt;"Xs")*(AA28&lt;&gt;"Cs")*(COUNTIFS($C$3:$K$3,"SERA",$C28:$K28,AA$3)=0)*(COUNTIFS($C$3:$K$3,"NOTTE",$C28:$K28,AA$3)=0))+((AA28&lt;&gt;"Xn")*(COUNTIFS($C$3:$K$3,"MAT",$C28:$K28,AA$3)=0)*(COUNTIFS($C$3:$K$3,"POM",$C28:$K28,AA$3)=0)*(COUNTIFS($C$3:$K$3,"SERA",$C28:$K28,AA$3)=0)*(COUNTIFS($C$3:$K$3,"NOTTE",$C28:$K28,AA$3)=0))=4,AA$3&amp;", ",AA$3&amp;IF((AA28&lt;&gt;"Xm")*(COUNTIFS($C$3:$K$3,"MAT",$C28:$K28,AA$3)=0)*(COUNTIFS($C$3:$K$3,"NOTTE",$C28:$K28,AA$3)=0),"_m","")&amp;IF((AA28&lt;&gt;"Xp")*(COUNTIFS($C$3:$K$3,"POM",$C28:$K28,AA$3)=0)*(COUNTIFS($C$3:$K$3,"NOTTE",$C28:$K28,AA$3)=0),"_p","")&amp;IF((AA28&lt;&gt;"Xs")*(AA28&lt;&gt;"Cs")*(COUNTIFS($C$3:$K$3,"SERA",$C28:$K28,AA$3)=0)*(COUNTIFS($C$3:$K$3,"NOTTE",$C28:$K28,AA$3)=0),"_s","")&amp;IF((AA28&lt;&gt;"Xn")*(COUNTIFS($C$3:$K$3,"MAT",$C28:$K28,AA$3)=0)*(COUNTIFS($C$3:$K$3,"POM",$C28:$K28,AA$3)=0)*(COUNTIFS($C$3:$K$3,"SERA",$C28:$K28,AA$3)=0)*(COUNTIFS($C$3:$K$3,"NOTTE",$C28:$K28,AA$3)=0),"_n","")&amp;", ")))</f>
        <v>FABIO, </v>
      </c>
    </row>
    <row r="29" customFormat="false" ht="15" hidden="false" customHeight="false" outlineLevel="0" collapsed="false">
      <c r="A29" s="4" t="str">
        <f aca="false">CHOOSE(WEEKDAY(DATE($B$1,$A$2,B29),2),"lunedì","martedì","mercoledì","giovedì","venerdì","sabato","domenica")</f>
        <v>venerdì</v>
      </c>
      <c r="B29" s="4" t="n">
        <v>26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 t="str">
        <f aca="false">IF(SUMPRODUCT(($C$3:$K$3&lt;&gt;"")*($C29:$K29&lt;&gt;"")*(COUNTIFS($C29:$K29,$C29:$K29,$C$3:$K$3,$C$3:$K$3)&gt;1))&gt;0,"X","")</f>
        <v/>
      </c>
      <c r="N29" s="5" t="str">
        <f aca="false">IF(LEN(AT29&amp;AU29&amp;AV29&amp;AW29&amp;AX29&amp;AY29)=0,"",LEFT(AT29&amp;AU29&amp;AV29&amp;AW29&amp;AX29&amp;AY29,LEN(AT29&amp;AU29&amp;AV29&amp;AW29&amp;AX29&amp;AY29)-2))</f>
        <v>ALBA, BRUNO, CARLA, DINO, ELSA, FABIO</v>
      </c>
      <c r="O29" s="5" t="str">
        <f aca="false">IF(LEN(BA29&amp;BB29&amp;BC29&amp;BD29&amp;BE29&amp;BF29)=0,"",LEFT(BA29&amp;BB29&amp;BC29&amp;BD29&amp;BE29&amp;BF29,LEN(BA29&amp;BB29&amp;BC29&amp;BD29&amp;BE29&amp;BF29)-2))</f>
        <v>ALBA, BRUNO, CARLA, DINO, ELSA, FABIO</v>
      </c>
      <c r="T29" s="4" t="str">
        <f aca="false">A29</f>
        <v>venerdì</v>
      </c>
      <c r="U29" s="4" t="n">
        <f aca="false">B29</f>
        <v>26</v>
      </c>
      <c r="V29" s="5"/>
      <c r="W29" s="5"/>
      <c r="X29" s="5"/>
      <c r="Y29" s="5"/>
      <c r="Z29" s="5"/>
      <c r="AA29" s="5"/>
      <c r="AT29" s="10" t="str">
        <f aca="false">IF((V29="X")+(V29="F")&gt;0,"",IF(((V29&lt;&gt;"Xm"))+((V29&lt;&gt;"Xp"))+((V29&lt;&gt;"Xs")*(V29&lt;&gt;"Cs"))+((V29&lt;&gt;"Xn"))=0,"",IF(((V29&lt;&gt;"Xm"))+((V29&lt;&gt;"Xp"))+((V29&lt;&gt;"Xs")*(V29&lt;&gt;"Cs"))+((V29&lt;&gt;"Xn"))=4,V$3&amp;", ",V$3&amp;IF((V29&lt;&gt;"Xm"),"_m","")&amp;IF((V29&lt;&gt;"Xp"),"_p","")&amp;IF((V29&lt;&gt;"Xs")*(V29&lt;&gt;"Cs"),"_s","")&amp;IF((V29&lt;&gt;"Xn"),"_n","")&amp;", ")))</f>
        <v>ALBA, </v>
      </c>
      <c r="AU29" s="10" t="str">
        <f aca="false">IF((W29="X")+(W29="F")&gt;0,"",IF(((W29&lt;&gt;"Xm"))+((W29&lt;&gt;"Xp"))+((W29&lt;&gt;"Xs")*(W29&lt;&gt;"Cs"))+((W29&lt;&gt;"Xn"))=0,"",IF(((W29&lt;&gt;"Xm"))+((W29&lt;&gt;"Xp"))+((W29&lt;&gt;"Xs")*(W29&lt;&gt;"Cs"))+((W29&lt;&gt;"Xn"))=4,W$3&amp;", ",W$3&amp;IF((W29&lt;&gt;"Xm"),"_m","")&amp;IF((W29&lt;&gt;"Xp"),"_p","")&amp;IF((W29&lt;&gt;"Xs")*(W29&lt;&gt;"Cs"),"_s","")&amp;IF((W29&lt;&gt;"Xn"),"_n","")&amp;", ")))</f>
        <v>BRUNO, </v>
      </c>
      <c r="AV29" s="10" t="str">
        <f aca="false">IF((X29="X")+(X29="F")&gt;0,"",IF(((X29&lt;&gt;"Xm"))+((X29&lt;&gt;"Xp"))+((X29&lt;&gt;"Xs")*(X29&lt;&gt;"Cs"))+((X29&lt;&gt;"Xn"))=0,"",IF(((X29&lt;&gt;"Xm"))+((X29&lt;&gt;"Xp"))+((X29&lt;&gt;"Xs")*(X29&lt;&gt;"Cs"))+((X29&lt;&gt;"Xn"))=4,X$3&amp;", ",X$3&amp;IF((X29&lt;&gt;"Xm"),"_m","")&amp;IF((X29&lt;&gt;"Xp"),"_p","")&amp;IF((X29&lt;&gt;"Xs")*(X29&lt;&gt;"Cs"),"_s","")&amp;IF((X29&lt;&gt;"Xn"),"_n","")&amp;", ")))</f>
        <v>CARLA, </v>
      </c>
      <c r="AW29" s="10" t="str">
        <f aca="false">IF((Y29="X")+(Y29="F")&gt;0,"",IF(((Y29&lt;&gt;"Xm"))+((Y29&lt;&gt;"Xp"))+((Y29&lt;&gt;"Xs")*(Y29&lt;&gt;"Cs"))+((Y29&lt;&gt;"Xn"))=0,"",IF(((Y29&lt;&gt;"Xm"))+((Y29&lt;&gt;"Xp"))+((Y29&lt;&gt;"Xs")*(Y29&lt;&gt;"Cs"))+((Y29&lt;&gt;"Xn"))=4,Y$3&amp;", ",Y$3&amp;IF((Y29&lt;&gt;"Xm"),"_m","")&amp;IF((Y29&lt;&gt;"Xp"),"_p","")&amp;IF((Y29&lt;&gt;"Xs")*(Y29&lt;&gt;"Cs"),"_s","")&amp;IF((Y29&lt;&gt;"Xn"),"_n","")&amp;", ")))</f>
        <v>DINO, </v>
      </c>
      <c r="AX29" s="10" t="str">
        <f aca="false">IF((Z29="X")+(Z29="F")&gt;0,"",IF(((Z29&lt;&gt;"Xm"))+((Z29&lt;&gt;"Xp"))+((Z29&lt;&gt;"Xs")*(Z29&lt;&gt;"Cs"))+((Z29&lt;&gt;"Xn"))=0,"",IF(((Z29&lt;&gt;"Xm"))+((Z29&lt;&gt;"Xp"))+((Z29&lt;&gt;"Xs")*(Z29&lt;&gt;"Cs"))+((Z29&lt;&gt;"Xn"))=4,Z$3&amp;", ",Z$3&amp;IF((Z29&lt;&gt;"Xm"),"_m","")&amp;IF((Z29&lt;&gt;"Xp"),"_p","")&amp;IF((Z29&lt;&gt;"Xs")*(Z29&lt;&gt;"Cs"),"_s","")&amp;IF((Z29&lt;&gt;"Xn"),"_n","")&amp;", ")))</f>
        <v>ELSA, </v>
      </c>
      <c r="AY29" s="10" t="str">
        <f aca="false">IF((AA29="X")+(AA29="F")&gt;0,"",IF(((AA29&lt;&gt;"Xm"))+((AA29&lt;&gt;"Xp"))+((AA29&lt;&gt;"Xs")*(AA29&lt;&gt;"Cs"))+((AA29&lt;&gt;"Xn"))=0,"",IF(((AA29&lt;&gt;"Xm"))+((AA29&lt;&gt;"Xp"))+((AA29&lt;&gt;"Xs")*(AA29&lt;&gt;"Cs"))+((AA29&lt;&gt;"Xn"))=4,AA$3&amp;", ",AA$3&amp;IF((AA29&lt;&gt;"Xm"),"_m","")&amp;IF((AA29&lt;&gt;"Xp"),"_p","")&amp;IF((AA29&lt;&gt;"Xs")*(AA29&lt;&gt;"Cs"),"_s","")&amp;IF((AA29&lt;&gt;"Xn"),"_n","")&amp;", ")))</f>
        <v>FABIO, </v>
      </c>
      <c r="AZ29" s="10"/>
      <c r="BA29" s="10" t="str">
        <f aca="false">IF((V29="X")+(V29="F")&gt;0,"",IF(((V29&lt;&gt;"Xm")*(COUNTIFS($C$3:$K$3,"MAT",$C29:$K29,V$3)=0)*(COUNTIFS($C$3:$K$3,"NOTTE",$C29:$K29,V$3)=0))+((V29&lt;&gt;"Xp")*(COUNTIFS($C$3:$K$3,"POM",$C29:$K29,V$3)=0)*(COUNTIFS($C$3:$K$3,"NOTTE",$C29:$K29,V$3)=0))+((V29&lt;&gt;"Xs")*(V29&lt;&gt;"Cs")*(COUNTIFS($C$3:$K$3,"SERA",$C29:$K29,V$3)=0)*(COUNTIFS($C$3:$K$3,"NOTTE",$C29:$K29,V$3)=0))+((V29&lt;&gt;"Xn")*(COUNTIFS($C$3:$K$3,"MAT",$C29:$K29,V$3)=0)*(COUNTIFS($C$3:$K$3,"POM",$C29:$K29,V$3)=0)*(COUNTIFS($C$3:$K$3,"SERA",$C29:$K29,V$3)=0)*(COUNTIFS($C$3:$K$3,"NOTTE",$C29:$K29,V$3)=0))=0,"",IF(((V29&lt;&gt;"Xm")*(COUNTIFS($C$3:$K$3,"MAT",$C29:$K29,V$3)=0)*(COUNTIFS($C$3:$K$3,"NOTTE",$C29:$K29,V$3)=0))+((V29&lt;&gt;"Xp")*(COUNTIFS($C$3:$K$3,"POM",$C29:$K29,V$3)=0)*(COUNTIFS($C$3:$K$3,"NOTTE",$C29:$K29,V$3)=0))+((V29&lt;&gt;"Xs")*(V29&lt;&gt;"Cs")*(COUNTIFS($C$3:$K$3,"SERA",$C29:$K29,V$3)=0)*(COUNTIFS($C$3:$K$3,"NOTTE",$C29:$K29,V$3)=0))+((V29&lt;&gt;"Xn")*(COUNTIFS($C$3:$K$3,"MAT",$C29:$K29,V$3)=0)*(COUNTIFS($C$3:$K$3,"POM",$C29:$K29,V$3)=0)*(COUNTIFS($C$3:$K$3,"SERA",$C29:$K29,V$3)=0)*(COUNTIFS($C$3:$K$3,"NOTTE",$C29:$K29,V$3)=0))=4,V$3&amp;", ",V$3&amp;IF((V29&lt;&gt;"Xm")*(COUNTIFS($C$3:$K$3,"MAT",$C29:$K29,V$3)=0)*(COUNTIFS($C$3:$K$3,"NOTTE",$C29:$K29,V$3)=0),"_m","")&amp;IF((V29&lt;&gt;"Xp")*(COUNTIFS($C$3:$K$3,"POM",$C29:$K29,V$3)=0)*(COUNTIFS($C$3:$K$3,"NOTTE",$C29:$K29,V$3)=0),"_p","")&amp;IF((V29&lt;&gt;"Xs")*(V29&lt;&gt;"Cs")*(COUNTIFS($C$3:$K$3,"SERA",$C29:$K29,V$3)=0)*(COUNTIFS($C$3:$K$3,"NOTTE",$C29:$K29,V$3)=0),"_s","")&amp;IF((V29&lt;&gt;"Xn")*(COUNTIFS($C$3:$K$3,"MAT",$C29:$K29,V$3)=0)*(COUNTIFS($C$3:$K$3,"POM",$C29:$K29,V$3)=0)*(COUNTIFS($C$3:$K$3,"SERA",$C29:$K29,V$3)=0)*(COUNTIFS($C$3:$K$3,"NOTTE",$C29:$K29,V$3)=0),"_n","")&amp;", ")))</f>
        <v>ALBA, </v>
      </c>
      <c r="BB29" s="10" t="str">
        <f aca="false">IF((W29="X")+(W29="F")&gt;0,"",IF(((W29&lt;&gt;"Xm")*(COUNTIFS($C$3:$K$3,"MAT",$C29:$K29,W$3)=0)*(COUNTIFS($C$3:$K$3,"NOTTE",$C29:$K29,W$3)=0))+((W29&lt;&gt;"Xp")*(COUNTIFS($C$3:$K$3,"POM",$C29:$K29,W$3)=0)*(COUNTIFS($C$3:$K$3,"NOTTE",$C29:$K29,W$3)=0))+((W29&lt;&gt;"Xs")*(W29&lt;&gt;"Cs")*(COUNTIFS($C$3:$K$3,"SERA",$C29:$K29,W$3)=0)*(COUNTIFS($C$3:$K$3,"NOTTE",$C29:$K29,W$3)=0))+((W29&lt;&gt;"Xn")*(COUNTIFS($C$3:$K$3,"MAT",$C29:$K29,W$3)=0)*(COUNTIFS($C$3:$K$3,"POM",$C29:$K29,W$3)=0)*(COUNTIFS($C$3:$K$3,"SERA",$C29:$K29,W$3)=0)*(COUNTIFS($C$3:$K$3,"NOTTE",$C29:$K29,W$3)=0))=0,"",IF(((W29&lt;&gt;"Xm")*(COUNTIFS($C$3:$K$3,"MAT",$C29:$K29,W$3)=0)*(COUNTIFS($C$3:$K$3,"NOTTE",$C29:$K29,W$3)=0))+((W29&lt;&gt;"Xp")*(COUNTIFS($C$3:$K$3,"POM",$C29:$K29,W$3)=0)*(COUNTIFS($C$3:$K$3,"NOTTE",$C29:$K29,W$3)=0))+((W29&lt;&gt;"Xs")*(W29&lt;&gt;"Cs")*(COUNTIFS($C$3:$K$3,"SERA",$C29:$K29,W$3)=0)*(COUNTIFS($C$3:$K$3,"NOTTE",$C29:$K29,W$3)=0))+((W29&lt;&gt;"Xn")*(COUNTIFS($C$3:$K$3,"MAT",$C29:$K29,W$3)=0)*(COUNTIFS($C$3:$K$3,"POM",$C29:$K29,W$3)=0)*(COUNTIFS($C$3:$K$3,"SERA",$C29:$K29,W$3)=0)*(COUNTIFS($C$3:$K$3,"NOTTE",$C29:$K29,W$3)=0))=4,W$3&amp;", ",W$3&amp;IF((W29&lt;&gt;"Xm")*(COUNTIFS($C$3:$K$3,"MAT",$C29:$K29,W$3)=0)*(COUNTIFS($C$3:$K$3,"NOTTE",$C29:$K29,W$3)=0),"_m","")&amp;IF((W29&lt;&gt;"Xp")*(COUNTIFS($C$3:$K$3,"POM",$C29:$K29,W$3)=0)*(COUNTIFS($C$3:$K$3,"NOTTE",$C29:$K29,W$3)=0),"_p","")&amp;IF((W29&lt;&gt;"Xs")*(W29&lt;&gt;"Cs")*(COUNTIFS($C$3:$K$3,"SERA",$C29:$K29,W$3)=0)*(COUNTIFS($C$3:$K$3,"NOTTE",$C29:$K29,W$3)=0),"_s","")&amp;IF((W29&lt;&gt;"Xn")*(COUNTIFS($C$3:$K$3,"MAT",$C29:$K29,W$3)=0)*(COUNTIFS($C$3:$K$3,"POM",$C29:$K29,W$3)=0)*(COUNTIFS($C$3:$K$3,"SERA",$C29:$K29,W$3)=0)*(COUNTIFS($C$3:$K$3,"NOTTE",$C29:$K29,W$3)=0),"_n","")&amp;", ")))</f>
        <v>BRUNO, </v>
      </c>
      <c r="BC29" s="10" t="str">
        <f aca="false">IF((X29="X")+(X29="F")&gt;0,"",IF(((X29&lt;&gt;"Xm")*(COUNTIFS($C$3:$K$3,"MAT",$C29:$K29,X$3)=0)*(COUNTIFS($C$3:$K$3,"NOTTE",$C29:$K29,X$3)=0))+((X29&lt;&gt;"Xp")*(COUNTIFS($C$3:$K$3,"POM",$C29:$K29,X$3)=0)*(COUNTIFS($C$3:$K$3,"NOTTE",$C29:$K29,X$3)=0))+((X29&lt;&gt;"Xs")*(X29&lt;&gt;"Cs")*(COUNTIFS($C$3:$K$3,"SERA",$C29:$K29,X$3)=0)*(COUNTIFS($C$3:$K$3,"NOTTE",$C29:$K29,X$3)=0))+((X29&lt;&gt;"Xn")*(COUNTIFS($C$3:$K$3,"MAT",$C29:$K29,X$3)=0)*(COUNTIFS($C$3:$K$3,"POM",$C29:$K29,X$3)=0)*(COUNTIFS($C$3:$K$3,"SERA",$C29:$K29,X$3)=0)*(COUNTIFS($C$3:$K$3,"NOTTE",$C29:$K29,X$3)=0))=0,"",IF(((X29&lt;&gt;"Xm")*(COUNTIFS($C$3:$K$3,"MAT",$C29:$K29,X$3)=0)*(COUNTIFS($C$3:$K$3,"NOTTE",$C29:$K29,X$3)=0))+((X29&lt;&gt;"Xp")*(COUNTIFS($C$3:$K$3,"POM",$C29:$K29,X$3)=0)*(COUNTIFS($C$3:$K$3,"NOTTE",$C29:$K29,X$3)=0))+((X29&lt;&gt;"Xs")*(X29&lt;&gt;"Cs")*(COUNTIFS($C$3:$K$3,"SERA",$C29:$K29,X$3)=0)*(COUNTIFS($C$3:$K$3,"NOTTE",$C29:$K29,X$3)=0))+((X29&lt;&gt;"Xn")*(COUNTIFS($C$3:$K$3,"MAT",$C29:$K29,X$3)=0)*(COUNTIFS($C$3:$K$3,"POM",$C29:$K29,X$3)=0)*(COUNTIFS($C$3:$K$3,"SERA",$C29:$K29,X$3)=0)*(COUNTIFS($C$3:$K$3,"NOTTE",$C29:$K29,X$3)=0))=4,X$3&amp;", ",X$3&amp;IF((X29&lt;&gt;"Xm")*(COUNTIFS($C$3:$K$3,"MAT",$C29:$K29,X$3)=0)*(COUNTIFS($C$3:$K$3,"NOTTE",$C29:$K29,X$3)=0),"_m","")&amp;IF((X29&lt;&gt;"Xp")*(COUNTIFS($C$3:$K$3,"POM",$C29:$K29,X$3)=0)*(COUNTIFS($C$3:$K$3,"NOTTE",$C29:$K29,X$3)=0),"_p","")&amp;IF((X29&lt;&gt;"Xs")*(X29&lt;&gt;"Cs")*(COUNTIFS($C$3:$K$3,"SERA",$C29:$K29,X$3)=0)*(COUNTIFS($C$3:$K$3,"NOTTE",$C29:$K29,X$3)=0),"_s","")&amp;IF((X29&lt;&gt;"Xn")*(COUNTIFS($C$3:$K$3,"MAT",$C29:$K29,X$3)=0)*(COUNTIFS($C$3:$K$3,"POM",$C29:$K29,X$3)=0)*(COUNTIFS($C$3:$K$3,"SERA",$C29:$K29,X$3)=0)*(COUNTIFS($C$3:$K$3,"NOTTE",$C29:$K29,X$3)=0),"_n","")&amp;", ")))</f>
        <v>CARLA, </v>
      </c>
      <c r="BD29" s="10" t="str">
        <f aca="false">IF((Y29="X")+(Y29="F")&gt;0,"",IF(((Y29&lt;&gt;"Xm")*(COUNTIFS($C$3:$K$3,"MAT",$C29:$K29,Y$3)=0)*(COUNTIFS($C$3:$K$3,"NOTTE",$C29:$K29,Y$3)=0))+((Y29&lt;&gt;"Xp")*(COUNTIFS($C$3:$K$3,"POM",$C29:$K29,Y$3)=0)*(COUNTIFS($C$3:$K$3,"NOTTE",$C29:$K29,Y$3)=0))+((Y29&lt;&gt;"Xs")*(Y29&lt;&gt;"Cs")*(COUNTIFS($C$3:$K$3,"SERA",$C29:$K29,Y$3)=0)*(COUNTIFS($C$3:$K$3,"NOTTE",$C29:$K29,Y$3)=0))+((Y29&lt;&gt;"Xn")*(COUNTIFS($C$3:$K$3,"MAT",$C29:$K29,Y$3)=0)*(COUNTIFS($C$3:$K$3,"POM",$C29:$K29,Y$3)=0)*(COUNTIFS($C$3:$K$3,"SERA",$C29:$K29,Y$3)=0)*(COUNTIFS($C$3:$K$3,"NOTTE",$C29:$K29,Y$3)=0))=0,"",IF(((Y29&lt;&gt;"Xm")*(COUNTIFS($C$3:$K$3,"MAT",$C29:$K29,Y$3)=0)*(COUNTIFS($C$3:$K$3,"NOTTE",$C29:$K29,Y$3)=0))+((Y29&lt;&gt;"Xp")*(COUNTIFS($C$3:$K$3,"POM",$C29:$K29,Y$3)=0)*(COUNTIFS($C$3:$K$3,"NOTTE",$C29:$K29,Y$3)=0))+((Y29&lt;&gt;"Xs")*(Y29&lt;&gt;"Cs")*(COUNTIFS($C$3:$K$3,"SERA",$C29:$K29,Y$3)=0)*(COUNTIFS($C$3:$K$3,"NOTTE",$C29:$K29,Y$3)=0))+((Y29&lt;&gt;"Xn")*(COUNTIFS($C$3:$K$3,"MAT",$C29:$K29,Y$3)=0)*(COUNTIFS($C$3:$K$3,"POM",$C29:$K29,Y$3)=0)*(COUNTIFS($C$3:$K$3,"SERA",$C29:$K29,Y$3)=0)*(COUNTIFS($C$3:$K$3,"NOTTE",$C29:$K29,Y$3)=0))=4,Y$3&amp;", ",Y$3&amp;IF((Y29&lt;&gt;"Xm")*(COUNTIFS($C$3:$K$3,"MAT",$C29:$K29,Y$3)=0)*(COUNTIFS($C$3:$K$3,"NOTTE",$C29:$K29,Y$3)=0),"_m","")&amp;IF((Y29&lt;&gt;"Xp")*(COUNTIFS($C$3:$K$3,"POM",$C29:$K29,Y$3)=0)*(COUNTIFS($C$3:$K$3,"NOTTE",$C29:$K29,Y$3)=0),"_p","")&amp;IF((Y29&lt;&gt;"Xs")*(Y29&lt;&gt;"Cs")*(COUNTIFS($C$3:$K$3,"SERA",$C29:$K29,Y$3)=0)*(COUNTIFS($C$3:$K$3,"NOTTE",$C29:$K29,Y$3)=0),"_s","")&amp;IF((Y29&lt;&gt;"Xn")*(COUNTIFS($C$3:$K$3,"MAT",$C29:$K29,Y$3)=0)*(COUNTIFS($C$3:$K$3,"POM",$C29:$K29,Y$3)=0)*(COUNTIFS($C$3:$K$3,"SERA",$C29:$K29,Y$3)=0)*(COUNTIFS($C$3:$K$3,"NOTTE",$C29:$K29,Y$3)=0),"_n","")&amp;", ")))</f>
        <v>DINO, </v>
      </c>
      <c r="BE29" s="10" t="str">
        <f aca="false">IF((Z29="X")+(Z29="F")&gt;0,"",IF(((Z29&lt;&gt;"Xm")*(COUNTIFS($C$3:$K$3,"MAT",$C29:$K29,Z$3)=0)*(COUNTIFS($C$3:$K$3,"NOTTE",$C29:$K29,Z$3)=0))+((Z29&lt;&gt;"Xp")*(COUNTIFS($C$3:$K$3,"POM",$C29:$K29,Z$3)=0)*(COUNTIFS($C$3:$K$3,"NOTTE",$C29:$K29,Z$3)=0))+((Z29&lt;&gt;"Xs")*(Z29&lt;&gt;"Cs")*(COUNTIFS($C$3:$K$3,"SERA",$C29:$K29,Z$3)=0)*(COUNTIFS($C$3:$K$3,"NOTTE",$C29:$K29,Z$3)=0))+((Z29&lt;&gt;"Xn")*(COUNTIFS($C$3:$K$3,"MAT",$C29:$K29,Z$3)=0)*(COUNTIFS($C$3:$K$3,"POM",$C29:$K29,Z$3)=0)*(COUNTIFS($C$3:$K$3,"SERA",$C29:$K29,Z$3)=0)*(COUNTIFS($C$3:$K$3,"NOTTE",$C29:$K29,Z$3)=0))=0,"",IF(((Z29&lt;&gt;"Xm")*(COUNTIFS($C$3:$K$3,"MAT",$C29:$K29,Z$3)=0)*(COUNTIFS($C$3:$K$3,"NOTTE",$C29:$K29,Z$3)=0))+((Z29&lt;&gt;"Xp")*(COUNTIFS($C$3:$K$3,"POM",$C29:$K29,Z$3)=0)*(COUNTIFS($C$3:$K$3,"NOTTE",$C29:$K29,Z$3)=0))+((Z29&lt;&gt;"Xs")*(Z29&lt;&gt;"Cs")*(COUNTIFS($C$3:$K$3,"SERA",$C29:$K29,Z$3)=0)*(COUNTIFS($C$3:$K$3,"NOTTE",$C29:$K29,Z$3)=0))+((Z29&lt;&gt;"Xn")*(COUNTIFS($C$3:$K$3,"MAT",$C29:$K29,Z$3)=0)*(COUNTIFS($C$3:$K$3,"POM",$C29:$K29,Z$3)=0)*(COUNTIFS($C$3:$K$3,"SERA",$C29:$K29,Z$3)=0)*(COUNTIFS($C$3:$K$3,"NOTTE",$C29:$K29,Z$3)=0))=4,Z$3&amp;", ",Z$3&amp;IF((Z29&lt;&gt;"Xm")*(COUNTIFS($C$3:$K$3,"MAT",$C29:$K29,Z$3)=0)*(COUNTIFS($C$3:$K$3,"NOTTE",$C29:$K29,Z$3)=0),"_m","")&amp;IF((Z29&lt;&gt;"Xp")*(COUNTIFS($C$3:$K$3,"POM",$C29:$K29,Z$3)=0)*(COUNTIFS($C$3:$K$3,"NOTTE",$C29:$K29,Z$3)=0),"_p","")&amp;IF((Z29&lt;&gt;"Xs")*(Z29&lt;&gt;"Cs")*(COUNTIFS($C$3:$K$3,"SERA",$C29:$K29,Z$3)=0)*(COUNTIFS($C$3:$K$3,"NOTTE",$C29:$K29,Z$3)=0),"_s","")&amp;IF((Z29&lt;&gt;"Xn")*(COUNTIFS($C$3:$K$3,"MAT",$C29:$K29,Z$3)=0)*(COUNTIFS($C$3:$K$3,"POM",$C29:$K29,Z$3)=0)*(COUNTIFS($C$3:$K$3,"SERA",$C29:$K29,Z$3)=0)*(COUNTIFS($C$3:$K$3,"NOTTE",$C29:$K29,Z$3)=0),"_n","")&amp;", ")))</f>
        <v>ELSA, </v>
      </c>
      <c r="BF29" s="10" t="str">
        <f aca="false">IF((AA29="X")+(AA29="F")&gt;0,"",IF(((AA29&lt;&gt;"Xm")*(COUNTIFS($C$3:$K$3,"MAT",$C29:$K29,AA$3)=0)*(COUNTIFS($C$3:$K$3,"NOTTE",$C29:$K29,AA$3)=0))+((AA29&lt;&gt;"Xp")*(COUNTIFS($C$3:$K$3,"POM",$C29:$K29,AA$3)=0)*(COUNTIFS($C$3:$K$3,"NOTTE",$C29:$K29,AA$3)=0))+((AA29&lt;&gt;"Xs")*(AA29&lt;&gt;"Cs")*(COUNTIFS($C$3:$K$3,"SERA",$C29:$K29,AA$3)=0)*(COUNTIFS($C$3:$K$3,"NOTTE",$C29:$K29,AA$3)=0))+((AA29&lt;&gt;"Xn")*(COUNTIFS($C$3:$K$3,"MAT",$C29:$K29,AA$3)=0)*(COUNTIFS($C$3:$K$3,"POM",$C29:$K29,AA$3)=0)*(COUNTIFS($C$3:$K$3,"SERA",$C29:$K29,AA$3)=0)*(COUNTIFS($C$3:$K$3,"NOTTE",$C29:$K29,AA$3)=0))=0,"",IF(((AA29&lt;&gt;"Xm")*(COUNTIFS($C$3:$K$3,"MAT",$C29:$K29,AA$3)=0)*(COUNTIFS($C$3:$K$3,"NOTTE",$C29:$K29,AA$3)=0))+((AA29&lt;&gt;"Xp")*(COUNTIFS($C$3:$K$3,"POM",$C29:$K29,AA$3)=0)*(COUNTIFS($C$3:$K$3,"NOTTE",$C29:$K29,AA$3)=0))+((AA29&lt;&gt;"Xs")*(AA29&lt;&gt;"Cs")*(COUNTIFS($C$3:$K$3,"SERA",$C29:$K29,AA$3)=0)*(COUNTIFS($C$3:$K$3,"NOTTE",$C29:$K29,AA$3)=0))+((AA29&lt;&gt;"Xn")*(COUNTIFS($C$3:$K$3,"MAT",$C29:$K29,AA$3)=0)*(COUNTIFS($C$3:$K$3,"POM",$C29:$K29,AA$3)=0)*(COUNTIFS($C$3:$K$3,"SERA",$C29:$K29,AA$3)=0)*(COUNTIFS($C$3:$K$3,"NOTTE",$C29:$K29,AA$3)=0))=4,AA$3&amp;", ",AA$3&amp;IF((AA29&lt;&gt;"Xm")*(COUNTIFS($C$3:$K$3,"MAT",$C29:$K29,AA$3)=0)*(COUNTIFS($C$3:$K$3,"NOTTE",$C29:$K29,AA$3)=0),"_m","")&amp;IF((AA29&lt;&gt;"Xp")*(COUNTIFS($C$3:$K$3,"POM",$C29:$K29,AA$3)=0)*(COUNTIFS($C$3:$K$3,"NOTTE",$C29:$K29,AA$3)=0),"_p","")&amp;IF((AA29&lt;&gt;"Xs")*(AA29&lt;&gt;"Cs")*(COUNTIFS($C$3:$K$3,"SERA",$C29:$K29,AA$3)=0)*(COUNTIFS($C$3:$K$3,"NOTTE",$C29:$K29,AA$3)=0),"_s","")&amp;IF((AA29&lt;&gt;"Xn")*(COUNTIFS($C$3:$K$3,"MAT",$C29:$K29,AA$3)=0)*(COUNTIFS($C$3:$K$3,"POM",$C29:$K29,AA$3)=0)*(COUNTIFS($C$3:$K$3,"SERA",$C29:$K29,AA$3)=0)*(COUNTIFS($C$3:$K$3,"NOTTE",$C29:$K29,AA$3)=0),"_n","")&amp;", ")))</f>
        <v>FABIO, </v>
      </c>
    </row>
    <row r="30" customFormat="false" ht="15" hidden="false" customHeight="false" outlineLevel="0" collapsed="false">
      <c r="A30" s="11" t="str">
        <f aca="false">CHOOSE(WEEKDAY(DATE($B$1,$A$2,B30),2),"lunedì","martedì","mercoledì","giovedì","venerdì","sabato","domenica")</f>
        <v>sabato</v>
      </c>
      <c r="B30" s="11" t="n">
        <v>27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 t="str">
        <f aca="false">IF(SUMPRODUCT(($C$3:$K$3&lt;&gt;"")*($C30:$K30&lt;&gt;"")*(COUNTIFS($C30:$K30,$C30:$K30,$C$3:$K$3,$C$3:$K$3)&gt;1))&gt;0,"X","")</f>
        <v/>
      </c>
      <c r="N30" s="11" t="str">
        <f aca="false">IF(LEN(AT30&amp;AU30&amp;AV30&amp;AW30&amp;AX30&amp;AY30)=0,"",LEFT(AT30&amp;AU30&amp;AV30&amp;AW30&amp;AX30&amp;AY30,LEN(AT30&amp;AU30&amp;AV30&amp;AW30&amp;AX30&amp;AY30)-2))</f>
        <v>ALBA, BRUNO, CARLA, DINO, ELSA, FABIO</v>
      </c>
      <c r="O30" s="11" t="str">
        <f aca="false">IF(LEN(BA30&amp;BB30&amp;BC30&amp;BD30&amp;BE30&amp;BF30)=0,"",LEFT(BA30&amp;BB30&amp;BC30&amp;BD30&amp;BE30&amp;BF30,LEN(BA30&amp;BB30&amp;BC30&amp;BD30&amp;BE30&amp;BF30)-2))</f>
        <v>ALBA, BRUNO, CARLA, DINO, ELSA, FABIO</v>
      </c>
      <c r="T30" s="11" t="str">
        <f aca="false">A30</f>
        <v>sabato</v>
      </c>
      <c r="U30" s="11" t="n">
        <f aca="false">B30</f>
        <v>27</v>
      </c>
      <c r="V30" s="11"/>
      <c r="W30" s="11"/>
      <c r="X30" s="11"/>
      <c r="Y30" s="11"/>
      <c r="Z30" s="11"/>
      <c r="AA30" s="11"/>
      <c r="AT30" s="10" t="str">
        <f aca="false">IF((V30="X")+(V30="F")&gt;0,"",IF(((V30&lt;&gt;"Xm"))+((V30&lt;&gt;"Xp"))+((V30&lt;&gt;"Xs")*(V30&lt;&gt;"Cs"))+((V30&lt;&gt;"Xn"))=0,"",IF(((V30&lt;&gt;"Xm"))+((V30&lt;&gt;"Xp"))+((V30&lt;&gt;"Xs")*(V30&lt;&gt;"Cs"))+((V30&lt;&gt;"Xn"))=4,V$3&amp;", ",V$3&amp;IF((V30&lt;&gt;"Xm"),"_m","")&amp;IF((V30&lt;&gt;"Xp"),"_p","")&amp;IF((V30&lt;&gt;"Xs")*(V30&lt;&gt;"Cs"),"_s","")&amp;IF((V30&lt;&gt;"Xn"),"_n","")&amp;", ")))</f>
        <v>ALBA, </v>
      </c>
      <c r="AU30" s="10" t="str">
        <f aca="false">IF((W30="X")+(W30="F")&gt;0,"",IF(((W30&lt;&gt;"Xm"))+((W30&lt;&gt;"Xp"))+((W30&lt;&gt;"Xs")*(W30&lt;&gt;"Cs"))+((W30&lt;&gt;"Xn"))=0,"",IF(((W30&lt;&gt;"Xm"))+((W30&lt;&gt;"Xp"))+((W30&lt;&gt;"Xs")*(W30&lt;&gt;"Cs"))+((W30&lt;&gt;"Xn"))=4,W$3&amp;", ",W$3&amp;IF((W30&lt;&gt;"Xm"),"_m","")&amp;IF((W30&lt;&gt;"Xp"),"_p","")&amp;IF((W30&lt;&gt;"Xs")*(W30&lt;&gt;"Cs"),"_s","")&amp;IF((W30&lt;&gt;"Xn"),"_n","")&amp;", ")))</f>
        <v>BRUNO, </v>
      </c>
      <c r="AV30" s="10" t="str">
        <f aca="false">IF((X30="X")+(X30="F")&gt;0,"",IF(((X30&lt;&gt;"Xm"))+((X30&lt;&gt;"Xp"))+((X30&lt;&gt;"Xs")*(X30&lt;&gt;"Cs"))+((X30&lt;&gt;"Xn"))=0,"",IF(((X30&lt;&gt;"Xm"))+((X30&lt;&gt;"Xp"))+((X30&lt;&gt;"Xs")*(X30&lt;&gt;"Cs"))+((X30&lt;&gt;"Xn"))=4,X$3&amp;", ",X$3&amp;IF((X30&lt;&gt;"Xm"),"_m","")&amp;IF((X30&lt;&gt;"Xp"),"_p","")&amp;IF((X30&lt;&gt;"Xs")*(X30&lt;&gt;"Cs"),"_s","")&amp;IF((X30&lt;&gt;"Xn"),"_n","")&amp;", ")))</f>
        <v>CARLA, </v>
      </c>
      <c r="AW30" s="10" t="str">
        <f aca="false">IF((Y30="X")+(Y30="F")&gt;0,"",IF(((Y30&lt;&gt;"Xm"))+((Y30&lt;&gt;"Xp"))+((Y30&lt;&gt;"Xs")*(Y30&lt;&gt;"Cs"))+((Y30&lt;&gt;"Xn"))=0,"",IF(((Y30&lt;&gt;"Xm"))+((Y30&lt;&gt;"Xp"))+((Y30&lt;&gt;"Xs")*(Y30&lt;&gt;"Cs"))+((Y30&lt;&gt;"Xn"))=4,Y$3&amp;", ",Y$3&amp;IF((Y30&lt;&gt;"Xm"),"_m","")&amp;IF((Y30&lt;&gt;"Xp"),"_p","")&amp;IF((Y30&lt;&gt;"Xs")*(Y30&lt;&gt;"Cs"),"_s","")&amp;IF((Y30&lt;&gt;"Xn"),"_n","")&amp;", ")))</f>
        <v>DINO, </v>
      </c>
      <c r="AX30" s="10" t="str">
        <f aca="false">IF((Z30="X")+(Z30="F")&gt;0,"",IF(((Z30&lt;&gt;"Xm"))+((Z30&lt;&gt;"Xp"))+((Z30&lt;&gt;"Xs")*(Z30&lt;&gt;"Cs"))+((Z30&lt;&gt;"Xn"))=0,"",IF(((Z30&lt;&gt;"Xm"))+((Z30&lt;&gt;"Xp"))+((Z30&lt;&gt;"Xs")*(Z30&lt;&gt;"Cs"))+((Z30&lt;&gt;"Xn"))=4,Z$3&amp;", ",Z$3&amp;IF((Z30&lt;&gt;"Xm"),"_m","")&amp;IF((Z30&lt;&gt;"Xp"),"_p","")&amp;IF((Z30&lt;&gt;"Xs")*(Z30&lt;&gt;"Cs"),"_s","")&amp;IF((Z30&lt;&gt;"Xn"),"_n","")&amp;", ")))</f>
        <v>ELSA, </v>
      </c>
      <c r="AY30" s="10" t="str">
        <f aca="false">IF((AA30="X")+(AA30="F")&gt;0,"",IF(((AA30&lt;&gt;"Xm"))+((AA30&lt;&gt;"Xp"))+((AA30&lt;&gt;"Xs")*(AA30&lt;&gt;"Cs"))+((AA30&lt;&gt;"Xn"))=0,"",IF(((AA30&lt;&gt;"Xm"))+((AA30&lt;&gt;"Xp"))+((AA30&lt;&gt;"Xs")*(AA30&lt;&gt;"Cs"))+((AA30&lt;&gt;"Xn"))=4,AA$3&amp;", ",AA$3&amp;IF((AA30&lt;&gt;"Xm"),"_m","")&amp;IF((AA30&lt;&gt;"Xp"),"_p","")&amp;IF((AA30&lt;&gt;"Xs")*(AA30&lt;&gt;"Cs"),"_s","")&amp;IF((AA30&lt;&gt;"Xn"),"_n","")&amp;", ")))</f>
        <v>FABIO, </v>
      </c>
      <c r="AZ30" s="10"/>
      <c r="BA30" s="10" t="str">
        <f aca="false">IF((V30="X")+(V30="F")&gt;0,"",IF(((V30&lt;&gt;"Xm")*(COUNTIFS($C$3:$K$3,"MAT",$C30:$K30,V$3)=0)*(COUNTIFS($C$3:$K$3,"NOTTE",$C30:$K30,V$3)=0))+((V30&lt;&gt;"Xp")*(COUNTIFS($C$3:$K$3,"POM",$C30:$K30,V$3)=0)*(COUNTIFS($C$3:$K$3,"NOTTE",$C30:$K30,V$3)=0))+((V30&lt;&gt;"Xs")*(V30&lt;&gt;"Cs")*(COUNTIFS($C$3:$K$3,"SERA",$C30:$K30,V$3)=0)*(COUNTIFS($C$3:$K$3,"NOTTE",$C30:$K30,V$3)=0))+((V30&lt;&gt;"Xn")*(COUNTIFS($C$3:$K$3,"MAT",$C30:$K30,V$3)=0)*(COUNTIFS($C$3:$K$3,"POM",$C30:$K30,V$3)=0)*(COUNTIFS($C$3:$K$3,"SERA",$C30:$K30,V$3)=0)*(COUNTIFS($C$3:$K$3,"NOTTE",$C30:$K30,V$3)=0))=0,"",IF(((V30&lt;&gt;"Xm")*(COUNTIFS($C$3:$K$3,"MAT",$C30:$K30,V$3)=0)*(COUNTIFS($C$3:$K$3,"NOTTE",$C30:$K30,V$3)=0))+((V30&lt;&gt;"Xp")*(COUNTIFS($C$3:$K$3,"POM",$C30:$K30,V$3)=0)*(COUNTIFS($C$3:$K$3,"NOTTE",$C30:$K30,V$3)=0))+((V30&lt;&gt;"Xs")*(V30&lt;&gt;"Cs")*(COUNTIFS($C$3:$K$3,"SERA",$C30:$K30,V$3)=0)*(COUNTIFS($C$3:$K$3,"NOTTE",$C30:$K30,V$3)=0))+((V30&lt;&gt;"Xn")*(COUNTIFS($C$3:$K$3,"MAT",$C30:$K30,V$3)=0)*(COUNTIFS($C$3:$K$3,"POM",$C30:$K30,V$3)=0)*(COUNTIFS($C$3:$K$3,"SERA",$C30:$K30,V$3)=0)*(COUNTIFS($C$3:$K$3,"NOTTE",$C30:$K30,V$3)=0))=4,V$3&amp;", ",V$3&amp;IF((V30&lt;&gt;"Xm")*(COUNTIFS($C$3:$K$3,"MAT",$C30:$K30,V$3)=0)*(COUNTIFS($C$3:$K$3,"NOTTE",$C30:$K30,V$3)=0),"_m","")&amp;IF((V30&lt;&gt;"Xp")*(COUNTIFS($C$3:$K$3,"POM",$C30:$K30,V$3)=0)*(COUNTIFS($C$3:$K$3,"NOTTE",$C30:$K30,V$3)=0),"_p","")&amp;IF((V30&lt;&gt;"Xs")*(V30&lt;&gt;"Cs")*(COUNTIFS($C$3:$K$3,"SERA",$C30:$K30,V$3)=0)*(COUNTIFS($C$3:$K$3,"NOTTE",$C30:$K30,V$3)=0),"_s","")&amp;IF((V30&lt;&gt;"Xn")*(COUNTIFS($C$3:$K$3,"MAT",$C30:$K30,V$3)=0)*(COUNTIFS($C$3:$K$3,"POM",$C30:$K30,V$3)=0)*(COUNTIFS($C$3:$K$3,"SERA",$C30:$K30,V$3)=0)*(COUNTIFS($C$3:$K$3,"NOTTE",$C30:$K30,V$3)=0),"_n","")&amp;", ")))</f>
        <v>ALBA, </v>
      </c>
      <c r="BB30" s="10" t="str">
        <f aca="false">IF((W30="X")+(W30="F")&gt;0,"",IF(((W30&lt;&gt;"Xm")*(COUNTIFS($C$3:$K$3,"MAT",$C30:$K30,W$3)=0)*(COUNTIFS($C$3:$K$3,"NOTTE",$C30:$K30,W$3)=0))+((W30&lt;&gt;"Xp")*(COUNTIFS($C$3:$K$3,"POM",$C30:$K30,W$3)=0)*(COUNTIFS($C$3:$K$3,"NOTTE",$C30:$K30,W$3)=0))+((W30&lt;&gt;"Xs")*(W30&lt;&gt;"Cs")*(COUNTIFS($C$3:$K$3,"SERA",$C30:$K30,W$3)=0)*(COUNTIFS($C$3:$K$3,"NOTTE",$C30:$K30,W$3)=0))+((W30&lt;&gt;"Xn")*(COUNTIFS($C$3:$K$3,"MAT",$C30:$K30,W$3)=0)*(COUNTIFS($C$3:$K$3,"POM",$C30:$K30,W$3)=0)*(COUNTIFS($C$3:$K$3,"SERA",$C30:$K30,W$3)=0)*(COUNTIFS($C$3:$K$3,"NOTTE",$C30:$K30,W$3)=0))=0,"",IF(((W30&lt;&gt;"Xm")*(COUNTIFS($C$3:$K$3,"MAT",$C30:$K30,W$3)=0)*(COUNTIFS($C$3:$K$3,"NOTTE",$C30:$K30,W$3)=0))+((W30&lt;&gt;"Xp")*(COUNTIFS($C$3:$K$3,"POM",$C30:$K30,W$3)=0)*(COUNTIFS($C$3:$K$3,"NOTTE",$C30:$K30,W$3)=0))+((W30&lt;&gt;"Xs")*(W30&lt;&gt;"Cs")*(COUNTIFS($C$3:$K$3,"SERA",$C30:$K30,W$3)=0)*(COUNTIFS($C$3:$K$3,"NOTTE",$C30:$K30,W$3)=0))+((W30&lt;&gt;"Xn")*(COUNTIFS($C$3:$K$3,"MAT",$C30:$K30,W$3)=0)*(COUNTIFS($C$3:$K$3,"POM",$C30:$K30,W$3)=0)*(COUNTIFS($C$3:$K$3,"SERA",$C30:$K30,W$3)=0)*(COUNTIFS($C$3:$K$3,"NOTTE",$C30:$K30,W$3)=0))=4,W$3&amp;", ",W$3&amp;IF((W30&lt;&gt;"Xm")*(COUNTIFS($C$3:$K$3,"MAT",$C30:$K30,W$3)=0)*(COUNTIFS($C$3:$K$3,"NOTTE",$C30:$K30,W$3)=0),"_m","")&amp;IF((W30&lt;&gt;"Xp")*(COUNTIFS($C$3:$K$3,"POM",$C30:$K30,W$3)=0)*(COUNTIFS($C$3:$K$3,"NOTTE",$C30:$K30,W$3)=0),"_p","")&amp;IF((W30&lt;&gt;"Xs")*(W30&lt;&gt;"Cs")*(COUNTIFS($C$3:$K$3,"SERA",$C30:$K30,W$3)=0)*(COUNTIFS($C$3:$K$3,"NOTTE",$C30:$K30,W$3)=0),"_s","")&amp;IF((W30&lt;&gt;"Xn")*(COUNTIFS($C$3:$K$3,"MAT",$C30:$K30,W$3)=0)*(COUNTIFS($C$3:$K$3,"POM",$C30:$K30,W$3)=0)*(COUNTIFS($C$3:$K$3,"SERA",$C30:$K30,W$3)=0)*(COUNTIFS($C$3:$K$3,"NOTTE",$C30:$K30,W$3)=0),"_n","")&amp;", ")))</f>
        <v>BRUNO, </v>
      </c>
      <c r="BC30" s="10" t="str">
        <f aca="false">IF((X30="X")+(X30="F")&gt;0,"",IF(((X30&lt;&gt;"Xm")*(COUNTIFS($C$3:$K$3,"MAT",$C30:$K30,X$3)=0)*(COUNTIFS($C$3:$K$3,"NOTTE",$C30:$K30,X$3)=0))+((X30&lt;&gt;"Xp")*(COUNTIFS($C$3:$K$3,"POM",$C30:$K30,X$3)=0)*(COUNTIFS($C$3:$K$3,"NOTTE",$C30:$K30,X$3)=0))+((X30&lt;&gt;"Xs")*(X30&lt;&gt;"Cs")*(COUNTIFS($C$3:$K$3,"SERA",$C30:$K30,X$3)=0)*(COUNTIFS($C$3:$K$3,"NOTTE",$C30:$K30,X$3)=0))+((X30&lt;&gt;"Xn")*(COUNTIFS($C$3:$K$3,"MAT",$C30:$K30,X$3)=0)*(COUNTIFS($C$3:$K$3,"POM",$C30:$K30,X$3)=0)*(COUNTIFS($C$3:$K$3,"SERA",$C30:$K30,X$3)=0)*(COUNTIFS($C$3:$K$3,"NOTTE",$C30:$K30,X$3)=0))=0,"",IF(((X30&lt;&gt;"Xm")*(COUNTIFS($C$3:$K$3,"MAT",$C30:$K30,X$3)=0)*(COUNTIFS($C$3:$K$3,"NOTTE",$C30:$K30,X$3)=0))+((X30&lt;&gt;"Xp")*(COUNTIFS($C$3:$K$3,"POM",$C30:$K30,X$3)=0)*(COUNTIFS($C$3:$K$3,"NOTTE",$C30:$K30,X$3)=0))+((X30&lt;&gt;"Xs")*(X30&lt;&gt;"Cs")*(COUNTIFS($C$3:$K$3,"SERA",$C30:$K30,X$3)=0)*(COUNTIFS($C$3:$K$3,"NOTTE",$C30:$K30,X$3)=0))+((X30&lt;&gt;"Xn")*(COUNTIFS($C$3:$K$3,"MAT",$C30:$K30,X$3)=0)*(COUNTIFS($C$3:$K$3,"POM",$C30:$K30,X$3)=0)*(COUNTIFS($C$3:$K$3,"SERA",$C30:$K30,X$3)=0)*(COUNTIFS($C$3:$K$3,"NOTTE",$C30:$K30,X$3)=0))=4,X$3&amp;", ",X$3&amp;IF((X30&lt;&gt;"Xm")*(COUNTIFS($C$3:$K$3,"MAT",$C30:$K30,X$3)=0)*(COUNTIFS($C$3:$K$3,"NOTTE",$C30:$K30,X$3)=0),"_m","")&amp;IF((X30&lt;&gt;"Xp")*(COUNTIFS($C$3:$K$3,"POM",$C30:$K30,X$3)=0)*(COUNTIFS($C$3:$K$3,"NOTTE",$C30:$K30,X$3)=0),"_p","")&amp;IF((X30&lt;&gt;"Xs")*(X30&lt;&gt;"Cs")*(COUNTIFS($C$3:$K$3,"SERA",$C30:$K30,X$3)=0)*(COUNTIFS($C$3:$K$3,"NOTTE",$C30:$K30,X$3)=0),"_s","")&amp;IF((X30&lt;&gt;"Xn")*(COUNTIFS($C$3:$K$3,"MAT",$C30:$K30,X$3)=0)*(COUNTIFS($C$3:$K$3,"POM",$C30:$K30,X$3)=0)*(COUNTIFS($C$3:$K$3,"SERA",$C30:$K30,X$3)=0)*(COUNTIFS($C$3:$K$3,"NOTTE",$C30:$K30,X$3)=0),"_n","")&amp;", ")))</f>
        <v>CARLA, </v>
      </c>
      <c r="BD30" s="10" t="str">
        <f aca="false">IF((Y30="X")+(Y30="F")&gt;0,"",IF(((Y30&lt;&gt;"Xm")*(COUNTIFS($C$3:$K$3,"MAT",$C30:$K30,Y$3)=0)*(COUNTIFS($C$3:$K$3,"NOTTE",$C30:$K30,Y$3)=0))+((Y30&lt;&gt;"Xp")*(COUNTIFS($C$3:$K$3,"POM",$C30:$K30,Y$3)=0)*(COUNTIFS($C$3:$K$3,"NOTTE",$C30:$K30,Y$3)=0))+((Y30&lt;&gt;"Xs")*(Y30&lt;&gt;"Cs")*(COUNTIFS($C$3:$K$3,"SERA",$C30:$K30,Y$3)=0)*(COUNTIFS($C$3:$K$3,"NOTTE",$C30:$K30,Y$3)=0))+((Y30&lt;&gt;"Xn")*(COUNTIFS($C$3:$K$3,"MAT",$C30:$K30,Y$3)=0)*(COUNTIFS($C$3:$K$3,"POM",$C30:$K30,Y$3)=0)*(COUNTIFS($C$3:$K$3,"SERA",$C30:$K30,Y$3)=0)*(COUNTIFS($C$3:$K$3,"NOTTE",$C30:$K30,Y$3)=0))=0,"",IF(((Y30&lt;&gt;"Xm")*(COUNTIFS($C$3:$K$3,"MAT",$C30:$K30,Y$3)=0)*(COUNTIFS($C$3:$K$3,"NOTTE",$C30:$K30,Y$3)=0))+((Y30&lt;&gt;"Xp")*(COUNTIFS($C$3:$K$3,"POM",$C30:$K30,Y$3)=0)*(COUNTIFS($C$3:$K$3,"NOTTE",$C30:$K30,Y$3)=0))+((Y30&lt;&gt;"Xs")*(Y30&lt;&gt;"Cs")*(COUNTIFS($C$3:$K$3,"SERA",$C30:$K30,Y$3)=0)*(COUNTIFS($C$3:$K$3,"NOTTE",$C30:$K30,Y$3)=0))+((Y30&lt;&gt;"Xn")*(COUNTIFS($C$3:$K$3,"MAT",$C30:$K30,Y$3)=0)*(COUNTIFS($C$3:$K$3,"POM",$C30:$K30,Y$3)=0)*(COUNTIFS($C$3:$K$3,"SERA",$C30:$K30,Y$3)=0)*(COUNTIFS($C$3:$K$3,"NOTTE",$C30:$K30,Y$3)=0))=4,Y$3&amp;", ",Y$3&amp;IF((Y30&lt;&gt;"Xm")*(COUNTIFS($C$3:$K$3,"MAT",$C30:$K30,Y$3)=0)*(COUNTIFS($C$3:$K$3,"NOTTE",$C30:$K30,Y$3)=0),"_m","")&amp;IF((Y30&lt;&gt;"Xp")*(COUNTIFS($C$3:$K$3,"POM",$C30:$K30,Y$3)=0)*(COUNTIFS($C$3:$K$3,"NOTTE",$C30:$K30,Y$3)=0),"_p","")&amp;IF((Y30&lt;&gt;"Xs")*(Y30&lt;&gt;"Cs")*(COUNTIFS($C$3:$K$3,"SERA",$C30:$K30,Y$3)=0)*(COUNTIFS($C$3:$K$3,"NOTTE",$C30:$K30,Y$3)=0),"_s","")&amp;IF((Y30&lt;&gt;"Xn")*(COUNTIFS($C$3:$K$3,"MAT",$C30:$K30,Y$3)=0)*(COUNTIFS($C$3:$K$3,"POM",$C30:$K30,Y$3)=0)*(COUNTIFS($C$3:$K$3,"SERA",$C30:$K30,Y$3)=0)*(COUNTIFS($C$3:$K$3,"NOTTE",$C30:$K30,Y$3)=0),"_n","")&amp;", ")))</f>
        <v>DINO, </v>
      </c>
      <c r="BE30" s="10" t="str">
        <f aca="false">IF((Z30="X")+(Z30="F")&gt;0,"",IF(((Z30&lt;&gt;"Xm")*(COUNTIFS($C$3:$K$3,"MAT",$C30:$K30,Z$3)=0)*(COUNTIFS($C$3:$K$3,"NOTTE",$C30:$K30,Z$3)=0))+((Z30&lt;&gt;"Xp")*(COUNTIFS($C$3:$K$3,"POM",$C30:$K30,Z$3)=0)*(COUNTIFS($C$3:$K$3,"NOTTE",$C30:$K30,Z$3)=0))+((Z30&lt;&gt;"Xs")*(Z30&lt;&gt;"Cs")*(COUNTIFS($C$3:$K$3,"SERA",$C30:$K30,Z$3)=0)*(COUNTIFS($C$3:$K$3,"NOTTE",$C30:$K30,Z$3)=0))+((Z30&lt;&gt;"Xn")*(COUNTIFS($C$3:$K$3,"MAT",$C30:$K30,Z$3)=0)*(COUNTIFS($C$3:$K$3,"POM",$C30:$K30,Z$3)=0)*(COUNTIFS($C$3:$K$3,"SERA",$C30:$K30,Z$3)=0)*(COUNTIFS($C$3:$K$3,"NOTTE",$C30:$K30,Z$3)=0))=0,"",IF(((Z30&lt;&gt;"Xm")*(COUNTIFS($C$3:$K$3,"MAT",$C30:$K30,Z$3)=0)*(COUNTIFS($C$3:$K$3,"NOTTE",$C30:$K30,Z$3)=0))+((Z30&lt;&gt;"Xp")*(COUNTIFS($C$3:$K$3,"POM",$C30:$K30,Z$3)=0)*(COUNTIFS($C$3:$K$3,"NOTTE",$C30:$K30,Z$3)=0))+((Z30&lt;&gt;"Xs")*(Z30&lt;&gt;"Cs")*(COUNTIFS($C$3:$K$3,"SERA",$C30:$K30,Z$3)=0)*(COUNTIFS($C$3:$K$3,"NOTTE",$C30:$K30,Z$3)=0))+((Z30&lt;&gt;"Xn")*(COUNTIFS($C$3:$K$3,"MAT",$C30:$K30,Z$3)=0)*(COUNTIFS($C$3:$K$3,"POM",$C30:$K30,Z$3)=0)*(COUNTIFS($C$3:$K$3,"SERA",$C30:$K30,Z$3)=0)*(COUNTIFS($C$3:$K$3,"NOTTE",$C30:$K30,Z$3)=0))=4,Z$3&amp;", ",Z$3&amp;IF((Z30&lt;&gt;"Xm")*(COUNTIFS($C$3:$K$3,"MAT",$C30:$K30,Z$3)=0)*(COUNTIFS($C$3:$K$3,"NOTTE",$C30:$K30,Z$3)=0),"_m","")&amp;IF((Z30&lt;&gt;"Xp")*(COUNTIFS($C$3:$K$3,"POM",$C30:$K30,Z$3)=0)*(COUNTIFS($C$3:$K$3,"NOTTE",$C30:$K30,Z$3)=0),"_p","")&amp;IF((Z30&lt;&gt;"Xs")*(Z30&lt;&gt;"Cs")*(COUNTIFS($C$3:$K$3,"SERA",$C30:$K30,Z$3)=0)*(COUNTIFS($C$3:$K$3,"NOTTE",$C30:$K30,Z$3)=0),"_s","")&amp;IF((Z30&lt;&gt;"Xn")*(COUNTIFS($C$3:$K$3,"MAT",$C30:$K30,Z$3)=0)*(COUNTIFS($C$3:$K$3,"POM",$C30:$K30,Z$3)=0)*(COUNTIFS($C$3:$K$3,"SERA",$C30:$K30,Z$3)=0)*(COUNTIFS($C$3:$K$3,"NOTTE",$C30:$K30,Z$3)=0),"_n","")&amp;", ")))</f>
        <v>ELSA, </v>
      </c>
      <c r="BF30" s="10" t="str">
        <f aca="false">IF((AA30="X")+(AA30="F")&gt;0,"",IF(((AA30&lt;&gt;"Xm")*(COUNTIFS($C$3:$K$3,"MAT",$C30:$K30,AA$3)=0)*(COUNTIFS($C$3:$K$3,"NOTTE",$C30:$K30,AA$3)=0))+((AA30&lt;&gt;"Xp")*(COUNTIFS($C$3:$K$3,"POM",$C30:$K30,AA$3)=0)*(COUNTIFS($C$3:$K$3,"NOTTE",$C30:$K30,AA$3)=0))+((AA30&lt;&gt;"Xs")*(AA30&lt;&gt;"Cs")*(COUNTIFS($C$3:$K$3,"SERA",$C30:$K30,AA$3)=0)*(COUNTIFS($C$3:$K$3,"NOTTE",$C30:$K30,AA$3)=0))+((AA30&lt;&gt;"Xn")*(COUNTIFS($C$3:$K$3,"MAT",$C30:$K30,AA$3)=0)*(COUNTIFS($C$3:$K$3,"POM",$C30:$K30,AA$3)=0)*(COUNTIFS($C$3:$K$3,"SERA",$C30:$K30,AA$3)=0)*(COUNTIFS($C$3:$K$3,"NOTTE",$C30:$K30,AA$3)=0))=0,"",IF(((AA30&lt;&gt;"Xm")*(COUNTIFS($C$3:$K$3,"MAT",$C30:$K30,AA$3)=0)*(COUNTIFS($C$3:$K$3,"NOTTE",$C30:$K30,AA$3)=0))+((AA30&lt;&gt;"Xp")*(COUNTIFS($C$3:$K$3,"POM",$C30:$K30,AA$3)=0)*(COUNTIFS($C$3:$K$3,"NOTTE",$C30:$K30,AA$3)=0))+((AA30&lt;&gt;"Xs")*(AA30&lt;&gt;"Cs")*(COUNTIFS($C$3:$K$3,"SERA",$C30:$K30,AA$3)=0)*(COUNTIFS($C$3:$K$3,"NOTTE",$C30:$K30,AA$3)=0))+((AA30&lt;&gt;"Xn")*(COUNTIFS($C$3:$K$3,"MAT",$C30:$K30,AA$3)=0)*(COUNTIFS($C$3:$K$3,"POM",$C30:$K30,AA$3)=0)*(COUNTIFS($C$3:$K$3,"SERA",$C30:$K30,AA$3)=0)*(COUNTIFS($C$3:$K$3,"NOTTE",$C30:$K30,AA$3)=0))=4,AA$3&amp;", ",AA$3&amp;IF((AA30&lt;&gt;"Xm")*(COUNTIFS($C$3:$K$3,"MAT",$C30:$K30,AA$3)=0)*(COUNTIFS($C$3:$K$3,"NOTTE",$C30:$K30,AA$3)=0),"_m","")&amp;IF((AA30&lt;&gt;"Xp")*(COUNTIFS($C$3:$K$3,"POM",$C30:$K30,AA$3)=0)*(COUNTIFS($C$3:$K$3,"NOTTE",$C30:$K30,AA$3)=0),"_p","")&amp;IF((AA30&lt;&gt;"Xs")*(AA30&lt;&gt;"Cs")*(COUNTIFS($C$3:$K$3,"SERA",$C30:$K30,AA$3)=0)*(COUNTIFS($C$3:$K$3,"NOTTE",$C30:$K30,AA$3)=0),"_s","")&amp;IF((AA30&lt;&gt;"Xn")*(COUNTIFS($C$3:$K$3,"MAT",$C30:$K30,AA$3)=0)*(COUNTIFS($C$3:$K$3,"POM",$C30:$K30,AA$3)=0)*(COUNTIFS($C$3:$K$3,"SERA",$C30:$K30,AA$3)=0)*(COUNTIFS($C$3:$K$3,"NOTTE",$C30:$K30,AA$3)=0),"_n","")&amp;", ")))</f>
        <v>FABIO, </v>
      </c>
    </row>
    <row r="31" customFormat="false" ht="15" hidden="false" customHeight="false" outlineLevel="0" collapsed="false">
      <c r="A31" s="11" t="str">
        <f aca="false">CHOOSE(WEEKDAY(DATE($B$1,$A$2,B31),2),"lunedì","martedì","mercoledì","giovedì","venerdì","sabato","domenica")</f>
        <v>domenica</v>
      </c>
      <c r="B31" s="11" t="n">
        <v>28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 t="str">
        <f aca="false">IF(SUMPRODUCT(($C$3:$K$3&lt;&gt;"")*($C31:$K31&lt;&gt;"")*(COUNTIFS($C31:$K31,$C31:$K31,$C$3:$K$3,$C$3:$K$3)&gt;1))&gt;0,"X","")</f>
        <v/>
      </c>
      <c r="N31" s="11" t="str">
        <f aca="false">IF(LEN(AT31&amp;AU31&amp;AV31&amp;AW31&amp;AX31&amp;AY31)=0,"",LEFT(AT31&amp;AU31&amp;AV31&amp;AW31&amp;AX31&amp;AY31,LEN(AT31&amp;AU31&amp;AV31&amp;AW31&amp;AX31&amp;AY31)-2))</f>
        <v>ALBA, BRUNO, CARLA, DINO, ELSA, FABIO</v>
      </c>
      <c r="O31" s="11" t="str">
        <f aca="false">IF(LEN(BA31&amp;BB31&amp;BC31&amp;BD31&amp;BE31&amp;BF31)=0,"",LEFT(BA31&amp;BB31&amp;BC31&amp;BD31&amp;BE31&amp;BF31,LEN(BA31&amp;BB31&amp;BC31&amp;BD31&amp;BE31&amp;BF31)-2))</f>
        <v>ALBA, BRUNO, CARLA, DINO, ELSA, FABIO</v>
      </c>
      <c r="T31" s="11" t="str">
        <f aca="false">A31</f>
        <v>domenica</v>
      </c>
      <c r="U31" s="11" t="n">
        <f aca="false">B31</f>
        <v>28</v>
      </c>
      <c r="V31" s="11"/>
      <c r="W31" s="11"/>
      <c r="X31" s="11"/>
      <c r="Y31" s="11"/>
      <c r="Z31" s="11"/>
      <c r="AA31" s="11"/>
      <c r="AT31" s="10" t="str">
        <f aca="false">IF((V31="X")+(V31="F")&gt;0,"",IF(((V31&lt;&gt;"Xm"))+((V31&lt;&gt;"Xp"))+((V31&lt;&gt;"Xs")*(V31&lt;&gt;"Cs"))+((V31&lt;&gt;"Xn"))=0,"",IF(((V31&lt;&gt;"Xm"))+((V31&lt;&gt;"Xp"))+((V31&lt;&gt;"Xs")*(V31&lt;&gt;"Cs"))+((V31&lt;&gt;"Xn"))=4,V$3&amp;", ",V$3&amp;IF((V31&lt;&gt;"Xm"),"_m","")&amp;IF((V31&lt;&gt;"Xp"),"_p","")&amp;IF((V31&lt;&gt;"Xs")*(V31&lt;&gt;"Cs"),"_s","")&amp;IF((V31&lt;&gt;"Xn"),"_n","")&amp;", ")))</f>
        <v>ALBA, </v>
      </c>
      <c r="AU31" s="10" t="str">
        <f aca="false">IF((W31="X")+(W31="F")&gt;0,"",IF(((W31&lt;&gt;"Xm"))+((W31&lt;&gt;"Xp"))+((W31&lt;&gt;"Xs")*(W31&lt;&gt;"Cs"))+((W31&lt;&gt;"Xn"))=0,"",IF(((W31&lt;&gt;"Xm"))+((W31&lt;&gt;"Xp"))+((W31&lt;&gt;"Xs")*(W31&lt;&gt;"Cs"))+((W31&lt;&gt;"Xn"))=4,W$3&amp;", ",W$3&amp;IF((W31&lt;&gt;"Xm"),"_m","")&amp;IF((W31&lt;&gt;"Xp"),"_p","")&amp;IF((W31&lt;&gt;"Xs")*(W31&lt;&gt;"Cs"),"_s","")&amp;IF((W31&lt;&gt;"Xn"),"_n","")&amp;", ")))</f>
        <v>BRUNO, </v>
      </c>
      <c r="AV31" s="10" t="str">
        <f aca="false">IF((X31="X")+(X31="F")&gt;0,"",IF(((X31&lt;&gt;"Xm"))+((X31&lt;&gt;"Xp"))+((X31&lt;&gt;"Xs")*(X31&lt;&gt;"Cs"))+((X31&lt;&gt;"Xn"))=0,"",IF(((X31&lt;&gt;"Xm"))+((X31&lt;&gt;"Xp"))+((X31&lt;&gt;"Xs")*(X31&lt;&gt;"Cs"))+((X31&lt;&gt;"Xn"))=4,X$3&amp;", ",X$3&amp;IF((X31&lt;&gt;"Xm"),"_m","")&amp;IF((X31&lt;&gt;"Xp"),"_p","")&amp;IF((X31&lt;&gt;"Xs")*(X31&lt;&gt;"Cs"),"_s","")&amp;IF((X31&lt;&gt;"Xn"),"_n","")&amp;", ")))</f>
        <v>CARLA, </v>
      </c>
      <c r="AW31" s="10" t="str">
        <f aca="false">IF((Y31="X")+(Y31="F")&gt;0,"",IF(((Y31&lt;&gt;"Xm"))+((Y31&lt;&gt;"Xp"))+((Y31&lt;&gt;"Xs")*(Y31&lt;&gt;"Cs"))+((Y31&lt;&gt;"Xn"))=0,"",IF(((Y31&lt;&gt;"Xm"))+((Y31&lt;&gt;"Xp"))+((Y31&lt;&gt;"Xs")*(Y31&lt;&gt;"Cs"))+((Y31&lt;&gt;"Xn"))=4,Y$3&amp;", ",Y$3&amp;IF((Y31&lt;&gt;"Xm"),"_m","")&amp;IF((Y31&lt;&gt;"Xp"),"_p","")&amp;IF((Y31&lt;&gt;"Xs")*(Y31&lt;&gt;"Cs"),"_s","")&amp;IF((Y31&lt;&gt;"Xn"),"_n","")&amp;", ")))</f>
        <v>DINO, </v>
      </c>
      <c r="AX31" s="10" t="str">
        <f aca="false">IF((Z31="X")+(Z31="F")&gt;0,"",IF(((Z31&lt;&gt;"Xm"))+((Z31&lt;&gt;"Xp"))+((Z31&lt;&gt;"Xs")*(Z31&lt;&gt;"Cs"))+((Z31&lt;&gt;"Xn"))=0,"",IF(((Z31&lt;&gt;"Xm"))+((Z31&lt;&gt;"Xp"))+((Z31&lt;&gt;"Xs")*(Z31&lt;&gt;"Cs"))+((Z31&lt;&gt;"Xn"))=4,Z$3&amp;", ",Z$3&amp;IF((Z31&lt;&gt;"Xm"),"_m","")&amp;IF((Z31&lt;&gt;"Xp"),"_p","")&amp;IF((Z31&lt;&gt;"Xs")*(Z31&lt;&gt;"Cs"),"_s","")&amp;IF((Z31&lt;&gt;"Xn"),"_n","")&amp;", ")))</f>
        <v>ELSA, </v>
      </c>
      <c r="AY31" s="10" t="str">
        <f aca="false">IF((AA31="X")+(AA31="F")&gt;0,"",IF(((AA31&lt;&gt;"Xm"))+((AA31&lt;&gt;"Xp"))+((AA31&lt;&gt;"Xs")*(AA31&lt;&gt;"Cs"))+((AA31&lt;&gt;"Xn"))=0,"",IF(((AA31&lt;&gt;"Xm"))+((AA31&lt;&gt;"Xp"))+((AA31&lt;&gt;"Xs")*(AA31&lt;&gt;"Cs"))+((AA31&lt;&gt;"Xn"))=4,AA$3&amp;", ",AA$3&amp;IF((AA31&lt;&gt;"Xm"),"_m","")&amp;IF((AA31&lt;&gt;"Xp"),"_p","")&amp;IF((AA31&lt;&gt;"Xs")*(AA31&lt;&gt;"Cs"),"_s","")&amp;IF((AA31&lt;&gt;"Xn"),"_n","")&amp;", ")))</f>
        <v>FABIO, </v>
      </c>
      <c r="AZ31" s="10"/>
      <c r="BA31" s="10" t="str">
        <f aca="false">IF((V31="X")+(V31="F")&gt;0,"",IF(((V31&lt;&gt;"Xm")*(COUNTIFS($C$3:$K$3,"MAT",$C31:$K31,V$3)=0)*(COUNTIFS($C$3:$K$3,"NOTTE",$C31:$K31,V$3)=0))+((V31&lt;&gt;"Xp")*(COUNTIFS($C$3:$K$3,"POM",$C31:$K31,V$3)=0)*(COUNTIFS($C$3:$K$3,"NOTTE",$C31:$K31,V$3)=0))+((V31&lt;&gt;"Xs")*(V31&lt;&gt;"Cs")*(COUNTIFS($C$3:$K$3,"SERA",$C31:$K31,V$3)=0)*(COUNTIFS($C$3:$K$3,"NOTTE",$C31:$K31,V$3)=0))+((V31&lt;&gt;"Xn")*(COUNTIFS($C$3:$K$3,"MAT",$C31:$K31,V$3)=0)*(COUNTIFS($C$3:$K$3,"POM",$C31:$K31,V$3)=0)*(COUNTIFS($C$3:$K$3,"SERA",$C31:$K31,V$3)=0)*(COUNTIFS($C$3:$K$3,"NOTTE",$C31:$K31,V$3)=0))=0,"",IF(((V31&lt;&gt;"Xm")*(COUNTIFS($C$3:$K$3,"MAT",$C31:$K31,V$3)=0)*(COUNTIFS($C$3:$K$3,"NOTTE",$C31:$K31,V$3)=0))+((V31&lt;&gt;"Xp")*(COUNTIFS($C$3:$K$3,"POM",$C31:$K31,V$3)=0)*(COUNTIFS($C$3:$K$3,"NOTTE",$C31:$K31,V$3)=0))+((V31&lt;&gt;"Xs")*(V31&lt;&gt;"Cs")*(COUNTIFS($C$3:$K$3,"SERA",$C31:$K31,V$3)=0)*(COUNTIFS($C$3:$K$3,"NOTTE",$C31:$K31,V$3)=0))+((V31&lt;&gt;"Xn")*(COUNTIFS($C$3:$K$3,"MAT",$C31:$K31,V$3)=0)*(COUNTIFS($C$3:$K$3,"POM",$C31:$K31,V$3)=0)*(COUNTIFS($C$3:$K$3,"SERA",$C31:$K31,V$3)=0)*(COUNTIFS($C$3:$K$3,"NOTTE",$C31:$K31,V$3)=0))=4,V$3&amp;", ",V$3&amp;IF((V31&lt;&gt;"Xm")*(COUNTIFS($C$3:$K$3,"MAT",$C31:$K31,V$3)=0)*(COUNTIFS($C$3:$K$3,"NOTTE",$C31:$K31,V$3)=0),"_m","")&amp;IF((V31&lt;&gt;"Xp")*(COUNTIFS($C$3:$K$3,"POM",$C31:$K31,V$3)=0)*(COUNTIFS($C$3:$K$3,"NOTTE",$C31:$K31,V$3)=0),"_p","")&amp;IF((V31&lt;&gt;"Xs")*(V31&lt;&gt;"Cs")*(COUNTIFS($C$3:$K$3,"SERA",$C31:$K31,V$3)=0)*(COUNTIFS($C$3:$K$3,"NOTTE",$C31:$K31,V$3)=0),"_s","")&amp;IF((V31&lt;&gt;"Xn")*(COUNTIFS($C$3:$K$3,"MAT",$C31:$K31,V$3)=0)*(COUNTIFS($C$3:$K$3,"POM",$C31:$K31,V$3)=0)*(COUNTIFS($C$3:$K$3,"SERA",$C31:$K31,V$3)=0)*(COUNTIFS($C$3:$K$3,"NOTTE",$C31:$K31,V$3)=0),"_n","")&amp;", ")))</f>
        <v>ALBA, </v>
      </c>
      <c r="BB31" s="10" t="str">
        <f aca="false">IF((W31="X")+(W31="F")&gt;0,"",IF(((W31&lt;&gt;"Xm")*(COUNTIFS($C$3:$K$3,"MAT",$C31:$K31,W$3)=0)*(COUNTIFS($C$3:$K$3,"NOTTE",$C31:$K31,W$3)=0))+((W31&lt;&gt;"Xp")*(COUNTIFS($C$3:$K$3,"POM",$C31:$K31,W$3)=0)*(COUNTIFS($C$3:$K$3,"NOTTE",$C31:$K31,W$3)=0))+((W31&lt;&gt;"Xs")*(W31&lt;&gt;"Cs")*(COUNTIFS($C$3:$K$3,"SERA",$C31:$K31,W$3)=0)*(COUNTIFS($C$3:$K$3,"NOTTE",$C31:$K31,W$3)=0))+((W31&lt;&gt;"Xn")*(COUNTIFS($C$3:$K$3,"MAT",$C31:$K31,W$3)=0)*(COUNTIFS($C$3:$K$3,"POM",$C31:$K31,W$3)=0)*(COUNTIFS($C$3:$K$3,"SERA",$C31:$K31,W$3)=0)*(COUNTIFS($C$3:$K$3,"NOTTE",$C31:$K31,W$3)=0))=0,"",IF(((W31&lt;&gt;"Xm")*(COUNTIFS($C$3:$K$3,"MAT",$C31:$K31,W$3)=0)*(COUNTIFS($C$3:$K$3,"NOTTE",$C31:$K31,W$3)=0))+((W31&lt;&gt;"Xp")*(COUNTIFS($C$3:$K$3,"POM",$C31:$K31,W$3)=0)*(COUNTIFS($C$3:$K$3,"NOTTE",$C31:$K31,W$3)=0))+((W31&lt;&gt;"Xs")*(W31&lt;&gt;"Cs")*(COUNTIFS($C$3:$K$3,"SERA",$C31:$K31,W$3)=0)*(COUNTIFS($C$3:$K$3,"NOTTE",$C31:$K31,W$3)=0))+((W31&lt;&gt;"Xn")*(COUNTIFS($C$3:$K$3,"MAT",$C31:$K31,W$3)=0)*(COUNTIFS($C$3:$K$3,"POM",$C31:$K31,W$3)=0)*(COUNTIFS($C$3:$K$3,"SERA",$C31:$K31,W$3)=0)*(COUNTIFS($C$3:$K$3,"NOTTE",$C31:$K31,W$3)=0))=4,W$3&amp;", ",W$3&amp;IF((W31&lt;&gt;"Xm")*(COUNTIFS($C$3:$K$3,"MAT",$C31:$K31,W$3)=0)*(COUNTIFS($C$3:$K$3,"NOTTE",$C31:$K31,W$3)=0),"_m","")&amp;IF((W31&lt;&gt;"Xp")*(COUNTIFS($C$3:$K$3,"POM",$C31:$K31,W$3)=0)*(COUNTIFS($C$3:$K$3,"NOTTE",$C31:$K31,W$3)=0),"_p","")&amp;IF((W31&lt;&gt;"Xs")*(W31&lt;&gt;"Cs")*(COUNTIFS($C$3:$K$3,"SERA",$C31:$K31,W$3)=0)*(COUNTIFS($C$3:$K$3,"NOTTE",$C31:$K31,W$3)=0),"_s","")&amp;IF((W31&lt;&gt;"Xn")*(COUNTIFS($C$3:$K$3,"MAT",$C31:$K31,W$3)=0)*(COUNTIFS($C$3:$K$3,"POM",$C31:$K31,W$3)=0)*(COUNTIFS($C$3:$K$3,"SERA",$C31:$K31,W$3)=0)*(COUNTIFS($C$3:$K$3,"NOTTE",$C31:$K31,W$3)=0),"_n","")&amp;", ")))</f>
        <v>BRUNO, </v>
      </c>
      <c r="BC31" s="10" t="str">
        <f aca="false">IF((X31="X")+(X31="F")&gt;0,"",IF(((X31&lt;&gt;"Xm")*(COUNTIFS($C$3:$K$3,"MAT",$C31:$K31,X$3)=0)*(COUNTIFS($C$3:$K$3,"NOTTE",$C31:$K31,X$3)=0))+((X31&lt;&gt;"Xp")*(COUNTIFS($C$3:$K$3,"POM",$C31:$K31,X$3)=0)*(COUNTIFS($C$3:$K$3,"NOTTE",$C31:$K31,X$3)=0))+((X31&lt;&gt;"Xs")*(X31&lt;&gt;"Cs")*(COUNTIFS($C$3:$K$3,"SERA",$C31:$K31,X$3)=0)*(COUNTIFS($C$3:$K$3,"NOTTE",$C31:$K31,X$3)=0))+((X31&lt;&gt;"Xn")*(COUNTIFS($C$3:$K$3,"MAT",$C31:$K31,X$3)=0)*(COUNTIFS($C$3:$K$3,"POM",$C31:$K31,X$3)=0)*(COUNTIFS($C$3:$K$3,"SERA",$C31:$K31,X$3)=0)*(COUNTIFS($C$3:$K$3,"NOTTE",$C31:$K31,X$3)=0))=0,"",IF(((X31&lt;&gt;"Xm")*(COUNTIFS($C$3:$K$3,"MAT",$C31:$K31,X$3)=0)*(COUNTIFS($C$3:$K$3,"NOTTE",$C31:$K31,X$3)=0))+((X31&lt;&gt;"Xp")*(COUNTIFS($C$3:$K$3,"POM",$C31:$K31,X$3)=0)*(COUNTIFS($C$3:$K$3,"NOTTE",$C31:$K31,X$3)=0))+((X31&lt;&gt;"Xs")*(X31&lt;&gt;"Cs")*(COUNTIFS($C$3:$K$3,"SERA",$C31:$K31,X$3)=0)*(COUNTIFS($C$3:$K$3,"NOTTE",$C31:$K31,X$3)=0))+((X31&lt;&gt;"Xn")*(COUNTIFS($C$3:$K$3,"MAT",$C31:$K31,X$3)=0)*(COUNTIFS($C$3:$K$3,"POM",$C31:$K31,X$3)=0)*(COUNTIFS($C$3:$K$3,"SERA",$C31:$K31,X$3)=0)*(COUNTIFS($C$3:$K$3,"NOTTE",$C31:$K31,X$3)=0))=4,X$3&amp;", ",X$3&amp;IF((X31&lt;&gt;"Xm")*(COUNTIFS($C$3:$K$3,"MAT",$C31:$K31,X$3)=0)*(COUNTIFS($C$3:$K$3,"NOTTE",$C31:$K31,X$3)=0),"_m","")&amp;IF((X31&lt;&gt;"Xp")*(COUNTIFS($C$3:$K$3,"POM",$C31:$K31,X$3)=0)*(COUNTIFS($C$3:$K$3,"NOTTE",$C31:$K31,X$3)=0),"_p","")&amp;IF((X31&lt;&gt;"Xs")*(X31&lt;&gt;"Cs")*(COUNTIFS($C$3:$K$3,"SERA",$C31:$K31,X$3)=0)*(COUNTIFS($C$3:$K$3,"NOTTE",$C31:$K31,X$3)=0),"_s","")&amp;IF((X31&lt;&gt;"Xn")*(COUNTIFS($C$3:$K$3,"MAT",$C31:$K31,X$3)=0)*(COUNTIFS($C$3:$K$3,"POM",$C31:$K31,X$3)=0)*(COUNTIFS($C$3:$K$3,"SERA",$C31:$K31,X$3)=0)*(COUNTIFS($C$3:$K$3,"NOTTE",$C31:$K31,X$3)=0),"_n","")&amp;", ")))</f>
        <v>CARLA, </v>
      </c>
      <c r="BD31" s="10" t="str">
        <f aca="false">IF((Y31="X")+(Y31="F")&gt;0,"",IF(((Y31&lt;&gt;"Xm")*(COUNTIFS($C$3:$K$3,"MAT",$C31:$K31,Y$3)=0)*(COUNTIFS($C$3:$K$3,"NOTTE",$C31:$K31,Y$3)=0))+((Y31&lt;&gt;"Xp")*(COUNTIFS($C$3:$K$3,"POM",$C31:$K31,Y$3)=0)*(COUNTIFS($C$3:$K$3,"NOTTE",$C31:$K31,Y$3)=0))+((Y31&lt;&gt;"Xs")*(Y31&lt;&gt;"Cs")*(COUNTIFS($C$3:$K$3,"SERA",$C31:$K31,Y$3)=0)*(COUNTIFS($C$3:$K$3,"NOTTE",$C31:$K31,Y$3)=0))+((Y31&lt;&gt;"Xn")*(COUNTIFS($C$3:$K$3,"MAT",$C31:$K31,Y$3)=0)*(COUNTIFS($C$3:$K$3,"POM",$C31:$K31,Y$3)=0)*(COUNTIFS($C$3:$K$3,"SERA",$C31:$K31,Y$3)=0)*(COUNTIFS($C$3:$K$3,"NOTTE",$C31:$K31,Y$3)=0))=0,"",IF(((Y31&lt;&gt;"Xm")*(COUNTIFS($C$3:$K$3,"MAT",$C31:$K31,Y$3)=0)*(COUNTIFS($C$3:$K$3,"NOTTE",$C31:$K31,Y$3)=0))+((Y31&lt;&gt;"Xp")*(COUNTIFS($C$3:$K$3,"POM",$C31:$K31,Y$3)=0)*(COUNTIFS($C$3:$K$3,"NOTTE",$C31:$K31,Y$3)=0))+((Y31&lt;&gt;"Xs")*(Y31&lt;&gt;"Cs")*(COUNTIFS($C$3:$K$3,"SERA",$C31:$K31,Y$3)=0)*(COUNTIFS($C$3:$K$3,"NOTTE",$C31:$K31,Y$3)=0))+((Y31&lt;&gt;"Xn")*(COUNTIFS($C$3:$K$3,"MAT",$C31:$K31,Y$3)=0)*(COUNTIFS($C$3:$K$3,"POM",$C31:$K31,Y$3)=0)*(COUNTIFS($C$3:$K$3,"SERA",$C31:$K31,Y$3)=0)*(COUNTIFS($C$3:$K$3,"NOTTE",$C31:$K31,Y$3)=0))=4,Y$3&amp;", ",Y$3&amp;IF((Y31&lt;&gt;"Xm")*(COUNTIFS($C$3:$K$3,"MAT",$C31:$K31,Y$3)=0)*(COUNTIFS($C$3:$K$3,"NOTTE",$C31:$K31,Y$3)=0),"_m","")&amp;IF((Y31&lt;&gt;"Xp")*(COUNTIFS($C$3:$K$3,"POM",$C31:$K31,Y$3)=0)*(COUNTIFS($C$3:$K$3,"NOTTE",$C31:$K31,Y$3)=0),"_p","")&amp;IF((Y31&lt;&gt;"Xs")*(Y31&lt;&gt;"Cs")*(COUNTIFS($C$3:$K$3,"SERA",$C31:$K31,Y$3)=0)*(COUNTIFS($C$3:$K$3,"NOTTE",$C31:$K31,Y$3)=0),"_s","")&amp;IF((Y31&lt;&gt;"Xn")*(COUNTIFS($C$3:$K$3,"MAT",$C31:$K31,Y$3)=0)*(COUNTIFS($C$3:$K$3,"POM",$C31:$K31,Y$3)=0)*(COUNTIFS($C$3:$K$3,"SERA",$C31:$K31,Y$3)=0)*(COUNTIFS($C$3:$K$3,"NOTTE",$C31:$K31,Y$3)=0),"_n","")&amp;", ")))</f>
        <v>DINO, </v>
      </c>
      <c r="BE31" s="10" t="str">
        <f aca="false">IF((Z31="X")+(Z31="F")&gt;0,"",IF(((Z31&lt;&gt;"Xm")*(COUNTIFS($C$3:$K$3,"MAT",$C31:$K31,Z$3)=0)*(COUNTIFS($C$3:$K$3,"NOTTE",$C31:$K31,Z$3)=0))+((Z31&lt;&gt;"Xp")*(COUNTIFS($C$3:$K$3,"POM",$C31:$K31,Z$3)=0)*(COUNTIFS($C$3:$K$3,"NOTTE",$C31:$K31,Z$3)=0))+((Z31&lt;&gt;"Xs")*(Z31&lt;&gt;"Cs")*(COUNTIFS($C$3:$K$3,"SERA",$C31:$K31,Z$3)=0)*(COUNTIFS($C$3:$K$3,"NOTTE",$C31:$K31,Z$3)=0))+((Z31&lt;&gt;"Xn")*(COUNTIFS($C$3:$K$3,"MAT",$C31:$K31,Z$3)=0)*(COUNTIFS($C$3:$K$3,"POM",$C31:$K31,Z$3)=0)*(COUNTIFS($C$3:$K$3,"SERA",$C31:$K31,Z$3)=0)*(COUNTIFS($C$3:$K$3,"NOTTE",$C31:$K31,Z$3)=0))=0,"",IF(((Z31&lt;&gt;"Xm")*(COUNTIFS($C$3:$K$3,"MAT",$C31:$K31,Z$3)=0)*(COUNTIFS($C$3:$K$3,"NOTTE",$C31:$K31,Z$3)=0))+((Z31&lt;&gt;"Xp")*(COUNTIFS($C$3:$K$3,"POM",$C31:$K31,Z$3)=0)*(COUNTIFS($C$3:$K$3,"NOTTE",$C31:$K31,Z$3)=0))+((Z31&lt;&gt;"Xs")*(Z31&lt;&gt;"Cs")*(COUNTIFS($C$3:$K$3,"SERA",$C31:$K31,Z$3)=0)*(COUNTIFS($C$3:$K$3,"NOTTE",$C31:$K31,Z$3)=0))+((Z31&lt;&gt;"Xn")*(COUNTIFS($C$3:$K$3,"MAT",$C31:$K31,Z$3)=0)*(COUNTIFS($C$3:$K$3,"POM",$C31:$K31,Z$3)=0)*(COUNTIFS($C$3:$K$3,"SERA",$C31:$K31,Z$3)=0)*(COUNTIFS($C$3:$K$3,"NOTTE",$C31:$K31,Z$3)=0))=4,Z$3&amp;", ",Z$3&amp;IF((Z31&lt;&gt;"Xm")*(COUNTIFS($C$3:$K$3,"MAT",$C31:$K31,Z$3)=0)*(COUNTIFS($C$3:$K$3,"NOTTE",$C31:$K31,Z$3)=0),"_m","")&amp;IF((Z31&lt;&gt;"Xp")*(COUNTIFS($C$3:$K$3,"POM",$C31:$K31,Z$3)=0)*(COUNTIFS($C$3:$K$3,"NOTTE",$C31:$K31,Z$3)=0),"_p","")&amp;IF((Z31&lt;&gt;"Xs")*(Z31&lt;&gt;"Cs")*(COUNTIFS($C$3:$K$3,"SERA",$C31:$K31,Z$3)=0)*(COUNTIFS($C$3:$K$3,"NOTTE",$C31:$K31,Z$3)=0),"_s","")&amp;IF((Z31&lt;&gt;"Xn")*(COUNTIFS($C$3:$K$3,"MAT",$C31:$K31,Z$3)=0)*(COUNTIFS($C$3:$K$3,"POM",$C31:$K31,Z$3)=0)*(COUNTIFS($C$3:$K$3,"SERA",$C31:$K31,Z$3)=0)*(COUNTIFS($C$3:$K$3,"NOTTE",$C31:$K31,Z$3)=0),"_n","")&amp;", ")))</f>
        <v>ELSA, </v>
      </c>
      <c r="BF31" s="10" t="str">
        <f aca="false">IF((AA31="X")+(AA31="F")&gt;0,"",IF(((AA31&lt;&gt;"Xm")*(COUNTIFS($C$3:$K$3,"MAT",$C31:$K31,AA$3)=0)*(COUNTIFS($C$3:$K$3,"NOTTE",$C31:$K31,AA$3)=0))+((AA31&lt;&gt;"Xp")*(COUNTIFS($C$3:$K$3,"POM",$C31:$K31,AA$3)=0)*(COUNTIFS($C$3:$K$3,"NOTTE",$C31:$K31,AA$3)=0))+((AA31&lt;&gt;"Xs")*(AA31&lt;&gt;"Cs")*(COUNTIFS($C$3:$K$3,"SERA",$C31:$K31,AA$3)=0)*(COUNTIFS($C$3:$K$3,"NOTTE",$C31:$K31,AA$3)=0))+((AA31&lt;&gt;"Xn")*(COUNTIFS($C$3:$K$3,"MAT",$C31:$K31,AA$3)=0)*(COUNTIFS($C$3:$K$3,"POM",$C31:$K31,AA$3)=0)*(COUNTIFS($C$3:$K$3,"SERA",$C31:$K31,AA$3)=0)*(COUNTIFS($C$3:$K$3,"NOTTE",$C31:$K31,AA$3)=0))=0,"",IF(((AA31&lt;&gt;"Xm")*(COUNTIFS($C$3:$K$3,"MAT",$C31:$K31,AA$3)=0)*(COUNTIFS($C$3:$K$3,"NOTTE",$C31:$K31,AA$3)=0))+((AA31&lt;&gt;"Xp")*(COUNTIFS($C$3:$K$3,"POM",$C31:$K31,AA$3)=0)*(COUNTIFS($C$3:$K$3,"NOTTE",$C31:$K31,AA$3)=0))+((AA31&lt;&gt;"Xs")*(AA31&lt;&gt;"Cs")*(COUNTIFS($C$3:$K$3,"SERA",$C31:$K31,AA$3)=0)*(COUNTIFS($C$3:$K$3,"NOTTE",$C31:$K31,AA$3)=0))+((AA31&lt;&gt;"Xn")*(COUNTIFS($C$3:$K$3,"MAT",$C31:$K31,AA$3)=0)*(COUNTIFS($C$3:$K$3,"POM",$C31:$K31,AA$3)=0)*(COUNTIFS($C$3:$K$3,"SERA",$C31:$K31,AA$3)=0)*(COUNTIFS($C$3:$K$3,"NOTTE",$C31:$K31,AA$3)=0))=4,AA$3&amp;", ",AA$3&amp;IF((AA31&lt;&gt;"Xm")*(COUNTIFS($C$3:$K$3,"MAT",$C31:$K31,AA$3)=0)*(COUNTIFS($C$3:$K$3,"NOTTE",$C31:$K31,AA$3)=0),"_m","")&amp;IF((AA31&lt;&gt;"Xp")*(COUNTIFS($C$3:$K$3,"POM",$C31:$K31,AA$3)=0)*(COUNTIFS($C$3:$K$3,"NOTTE",$C31:$K31,AA$3)=0),"_p","")&amp;IF((AA31&lt;&gt;"Xs")*(AA31&lt;&gt;"Cs")*(COUNTIFS($C$3:$K$3,"SERA",$C31:$K31,AA$3)=0)*(COUNTIFS($C$3:$K$3,"NOTTE",$C31:$K31,AA$3)=0),"_s","")&amp;IF((AA31&lt;&gt;"Xn")*(COUNTIFS($C$3:$K$3,"MAT",$C31:$K31,AA$3)=0)*(COUNTIFS($C$3:$K$3,"POM",$C31:$K31,AA$3)=0)*(COUNTIFS($C$3:$K$3,"SERA",$C31:$K31,AA$3)=0)*(COUNTIFS($C$3:$K$3,"NOTTE",$C31:$K31,AA$3)=0),"_n","")&amp;", ")))</f>
        <v>FABIO, </v>
      </c>
    </row>
    <row r="32" customFormat="false" ht="15" hidden="false" customHeight="false" outlineLevel="0" collapsed="false">
      <c r="A32" s="4" t="str">
        <f aca="false">CHOOSE(WEEKDAY(DATE($B$1,$A$2,B32),2),"lunedì","martedì","mercoledì","giovedì","venerdì","sabato","domenica")</f>
        <v>lunedì</v>
      </c>
      <c r="B32" s="4" t="n">
        <v>29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 t="str">
        <f aca="false">IF(SUMPRODUCT(($C$3:$K$3&lt;&gt;"")*($C32:$K32&lt;&gt;"")*(COUNTIFS($C32:$K32,$C32:$K32,$C$3:$K$3,$C$3:$K$3)&gt;1))&gt;0,"X","")</f>
        <v/>
      </c>
      <c r="N32" s="5" t="str">
        <f aca="false">IF(LEN(AT32&amp;AU32&amp;AV32&amp;AW32&amp;AX32&amp;AY32)=0,"",LEFT(AT32&amp;AU32&amp;AV32&amp;AW32&amp;AX32&amp;AY32,LEN(AT32&amp;AU32&amp;AV32&amp;AW32&amp;AX32&amp;AY32)-2))</f>
        <v>ALBA, BRUNO, CARLA, DINO, ELSA, FABIO</v>
      </c>
      <c r="O32" s="5" t="str">
        <f aca="false">IF(LEN(BA32&amp;BB32&amp;BC32&amp;BD32&amp;BE32&amp;BF32)=0,"",LEFT(BA32&amp;BB32&amp;BC32&amp;BD32&amp;BE32&amp;BF32,LEN(BA32&amp;BB32&amp;BC32&amp;BD32&amp;BE32&amp;BF32)-2))</f>
        <v>ALBA, BRUNO, CARLA, DINO, ELSA, FABIO</v>
      </c>
      <c r="T32" s="4" t="str">
        <f aca="false">A32</f>
        <v>lunedì</v>
      </c>
      <c r="U32" s="4" t="n">
        <f aca="false">B32</f>
        <v>29</v>
      </c>
      <c r="V32" s="5"/>
      <c r="W32" s="5"/>
      <c r="X32" s="5"/>
      <c r="Y32" s="5"/>
      <c r="Z32" s="5"/>
      <c r="AA32" s="5"/>
      <c r="AT32" s="10" t="str">
        <f aca="false">IF((V32="X")+(V32="F")&gt;0,"",IF(((V32&lt;&gt;"Xm"))+((V32&lt;&gt;"Xp"))+((V32&lt;&gt;"Xs")*(V32&lt;&gt;"Cs"))+((V32&lt;&gt;"Xn"))=0,"",IF(((V32&lt;&gt;"Xm"))+((V32&lt;&gt;"Xp"))+((V32&lt;&gt;"Xs")*(V32&lt;&gt;"Cs"))+((V32&lt;&gt;"Xn"))=4,V$3&amp;", ",V$3&amp;IF((V32&lt;&gt;"Xm"),"_m","")&amp;IF((V32&lt;&gt;"Xp"),"_p","")&amp;IF((V32&lt;&gt;"Xs")*(V32&lt;&gt;"Cs"),"_s","")&amp;IF((V32&lt;&gt;"Xn"),"_n","")&amp;", ")))</f>
        <v>ALBA, </v>
      </c>
      <c r="AU32" s="10" t="str">
        <f aca="false">IF((W32="X")+(W32="F")&gt;0,"",IF(((W32&lt;&gt;"Xm"))+((W32&lt;&gt;"Xp"))+((W32&lt;&gt;"Xs")*(W32&lt;&gt;"Cs"))+((W32&lt;&gt;"Xn"))=0,"",IF(((W32&lt;&gt;"Xm"))+((W32&lt;&gt;"Xp"))+((W32&lt;&gt;"Xs")*(W32&lt;&gt;"Cs"))+((W32&lt;&gt;"Xn"))=4,W$3&amp;", ",W$3&amp;IF((W32&lt;&gt;"Xm"),"_m","")&amp;IF((W32&lt;&gt;"Xp"),"_p","")&amp;IF((W32&lt;&gt;"Xs")*(W32&lt;&gt;"Cs"),"_s","")&amp;IF((W32&lt;&gt;"Xn"),"_n","")&amp;", ")))</f>
        <v>BRUNO, </v>
      </c>
      <c r="AV32" s="10" t="str">
        <f aca="false">IF((X32="X")+(X32="F")&gt;0,"",IF(((X32&lt;&gt;"Xm"))+((X32&lt;&gt;"Xp"))+((X32&lt;&gt;"Xs")*(X32&lt;&gt;"Cs"))+((X32&lt;&gt;"Xn"))=0,"",IF(((X32&lt;&gt;"Xm"))+((X32&lt;&gt;"Xp"))+((X32&lt;&gt;"Xs")*(X32&lt;&gt;"Cs"))+((X32&lt;&gt;"Xn"))=4,X$3&amp;", ",X$3&amp;IF((X32&lt;&gt;"Xm"),"_m","")&amp;IF((X32&lt;&gt;"Xp"),"_p","")&amp;IF((X32&lt;&gt;"Xs")*(X32&lt;&gt;"Cs"),"_s","")&amp;IF((X32&lt;&gt;"Xn"),"_n","")&amp;", ")))</f>
        <v>CARLA, </v>
      </c>
      <c r="AW32" s="10" t="str">
        <f aca="false">IF((Y32="X")+(Y32="F")&gt;0,"",IF(((Y32&lt;&gt;"Xm"))+((Y32&lt;&gt;"Xp"))+((Y32&lt;&gt;"Xs")*(Y32&lt;&gt;"Cs"))+((Y32&lt;&gt;"Xn"))=0,"",IF(((Y32&lt;&gt;"Xm"))+((Y32&lt;&gt;"Xp"))+((Y32&lt;&gt;"Xs")*(Y32&lt;&gt;"Cs"))+((Y32&lt;&gt;"Xn"))=4,Y$3&amp;", ",Y$3&amp;IF((Y32&lt;&gt;"Xm"),"_m","")&amp;IF((Y32&lt;&gt;"Xp"),"_p","")&amp;IF((Y32&lt;&gt;"Xs")*(Y32&lt;&gt;"Cs"),"_s","")&amp;IF((Y32&lt;&gt;"Xn"),"_n","")&amp;", ")))</f>
        <v>DINO, </v>
      </c>
      <c r="AX32" s="10" t="str">
        <f aca="false">IF((Z32="X")+(Z32="F")&gt;0,"",IF(((Z32&lt;&gt;"Xm"))+((Z32&lt;&gt;"Xp"))+((Z32&lt;&gt;"Xs")*(Z32&lt;&gt;"Cs"))+((Z32&lt;&gt;"Xn"))=0,"",IF(((Z32&lt;&gt;"Xm"))+((Z32&lt;&gt;"Xp"))+((Z32&lt;&gt;"Xs")*(Z32&lt;&gt;"Cs"))+((Z32&lt;&gt;"Xn"))=4,Z$3&amp;", ",Z$3&amp;IF((Z32&lt;&gt;"Xm"),"_m","")&amp;IF((Z32&lt;&gt;"Xp"),"_p","")&amp;IF((Z32&lt;&gt;"Xs")*(Z32&lt;&gt;"Cs"),"_s","")&amp;IF((Z32&lt;&gt;"Xn"),"_n","")&amp;", ")))</f>
        <v>ELSA, </v>
      </c>
      <c r="AY32" s="10" t="str">
        <f aca="false">IF((AA32="X")+(AA32="F")&gt;0,"",IF(((AA32&lt;&gt;"Xm"))+((AA32&lt;&gt;"Xp"))+((AA32&lt;&gt;"Xs")*(AA32&lt;&gt;"Cs"))+((AA32&lt;&gt;"Xn"))=0,"",IF(((AA32&lt;&gt;"Xm"))+((AA32&lt;&gt;"Xp"))+((AA32&lt;&gt;"Xs")*(AA32&lt;&gt;"Cs"))+((AA32&lt;&gt;"Xn"))=4,AA$3&amp;", ",AA$3&amp;IF((AA32&lt;&gt;"Xm"),"_m","")&amp;IF((AA32&lt;&gt;"Xp"),"_p","")&amp;IF((AA32&lt;&gt;"Xs")*(AA32&lt;&gt;"Cs"),"_s","")&amp;IF((AA32&lt;&gt;"Xn"),"_n","")&amp;", ")))</f>
        <v>FABIO, </v>
      </c>
      <c r="AZ32" s="10"/>
      <c r="BA32" s="10" t="str">
        <f aca="false">IF((V32="X")+(V32="F")&gt;0,"",IF(((V32&lt;&gt;"Xm")*(COUNTIFS($C$3:$K$3,"MAT",$C32:$K32,V$3)=0)*(COUNTIFS($C$3:$K$3,"NOTTE",$C32:$K32,V$3)=0))+((V32&lt;&gt;"Xp")*(COUNTIFS($C$3:$K$3,"POM",$C32:$K32,V$3)=0)*(COUNTIFS($C$3:$K$3,"NOTTE",$C32:$K32,V$3)=0))+((V32&lt;&gt;"Xs")*(V32&lt;&gt;"Cs")*(COUNTIFS($C$3:$K$3,"SERA",$C32:$K32,V$3)=0)*(COUNTIFS($C$3:$K$3,"NOTTE",$C32:$K32,V$3)=0))+((V32&lt;&gt;"Xn")*(COUNTIFS($C$3:$K$3,"MAT",$C32:$K32,V$3)=0)*(COUNTIFS($C$3:$K$3,"POM",$C32:$K32,V$3)=0)*(COUNTIFS($C$3:$K$3,"SERA",$C32:$K32,V$3)=0)*(COUNTIFS($C$3:$K$3,"NOTTE",$C32:$K32,V$3)=0))=0,"",IF(((V32&lt;&gt;"Xm")*(COUNTIFS($C$3:$K$3,"MAT",$C32:$K32,V$3)=0)*(COUNTIFS($C$3:$K$3,"NOTTE",$C32:$K32,V$3)=0))+((V32&lt;&gt;"Xp")*(COUNTIFS($C$3:$K$3,"POM",$C32:$K32,V$3)=0)*(COUNTIFS($C$3:$K$3,"NOTTE",$C32:$K32,V$3)=0))+((V32&lt;&gt;"Xs")*(V32&lt;&gt;"Cs")*(COUNTIFS($C$3:$K$3,"SERA",$C32:$K32,V$3)=0)*(COUNTIFS($C$3:$K$3,"NOTTE",$C32:$K32,V$3)=0))+((V32&lt;&gt;"Xn")*(COUNTIFS($C$3:$K$3,"MAT",$C32:$K32,V$3)=0)*(COUNTIFS($C$3:$K$3,"POM",$C32:$K32,V$3)=0)*(COUNTIFS($C$3:$K$3,"SERA",$C32:$K32,V$3)=0)*(COUNTIFS($C$3:$K$3,"NOTTE",$C32:$K32,V$3)=0))=4,V$3&amp;", ",V$3&amp;IF((V32&lt;&gt;"Xm")*(COUNTIFS($C$3:$K$3,"MAT",$C32:$K32,V$3)=0)*(COUNTIFS($C$3:$K$3,"NOTTE",$C32:$K32,V$3)=0),"_m","")&amp;IF((V32&lt;&gt;"Xp")*(COUNTIFS($C$3:$K$3,"POM",$C32:$K32,V$3)=0)*(COUNTIFS($C$3:$K$3,"NOTTE",$C32:$K32,V$3)=0),"_p","")&amp;IF((V32&lt;&gt;"Xs")*(V32&lt;&gt;"Cs")*(COUNTIFS($C$3:$K$3,"SERA",$C32:$K32,V$3)=0)*(COUNTIFS($C$3:$K$3,"NOTTE",$C32:$K32,V$3)=0),"_s","")&amp;IF((V32&lt;&gt;"Xn")*(COUNTIFS($C$3:$K$3,"MAT",$C32:$K32,V$3)=0)*(COUNTIFS($C$3:$K$3,"POM",$C32:$K32,V$3)=0)*(COUNTIFS($C$3:$K$3,"SERA",$C32:$K32,V$3)=0)*(COUNTIFS($C$3:$K$3,"NOTTE",$C32:$K32,V$3)=0),"_n","")&amp;", ")))</f>
        <v>ALBA, </v>
      </c>
      <c r="BB32" s="10" t="str">
        <f aca="false">IF((W32="X")+(W32="F")&gt;0,"",IF(((W32&lt;&gt;"Xm")*(COUNTIFS($C$3:$K$3,"MAT",$C32:$K32,W$3)=0)*(COUNTIFS($C$3:$K$3,"NOTTE",$C32:$K32,W$3)=0))+((W32&lt;&gt;"Xp")*(COUNTIFS($C$3:$K$3,"POM",$C32:$K32,W$3)=0)*(COUNTIFS($C$3:$K$3,"NOTTE",$C32:$K32,W$3)=0))+((W32&lt;&gt;"Xs")*(W32&lt;&gt;"Cs")*(COUNTIFS($C$3:$K$3,"SERA",$C32:$K32,W$3)=0)*(COUNTIFS($C$3:$K$3,"NOTTE",$C32:$K32,W$3)=0))+((W32&lt;&gt;"Xn")*(COUNTIFS($C$3:$K$3,"MAT",$C32:$K32,W$3)=0)*(COUNTIFS($C$3:$K$3,"POM",$C32:$K32,W$3)=0)*(COUNTIFS($C$3:$K$3,"SERA",$C32:$K32,W$3)=0)*(COUNTIFS($C$3:$K$3,"NOTTE",$C32:$K32,W$3)=0))=0,"",IF(((W32&lt;&gt;"Xm")*(COUNTIFS($C$3:$K$3,"MAT",$C32:$K32,W$3)=0)*(COUNTIFS($C$3:$K$3,"NOTTE",$C32:$K32,W$3)=0))+((W32&lt;&gt;"Xp")*(COUNTIFS($C$3:$K$3,"POM",$C32:$K32,W$3)=0)*(COUNTIFS($C$3:$K$3,"NOTTE",$C32:$K32,W$3)=0))+((W32&lt;&gt;"Xs")*(W32&lt;&gt;"Cs")*(COUNTIFS($C$3:$K$3,"SERA",$C32:$K32,W$3)=0)*(COUNTIFS($C$3:$K$3,"NOTTE",$C32:$K32,W$3)=0))+((W32&lt;&gt;"Xn")*(COUNTIFS($C$3:$K$3,"MAT",$C32:$K32,W$3)=0)*(COUNTIFS($C$3:$K$3,"POM",$C32:$K32,W$3)=0)*(COUNTIFS($C$3:$K$3,"SERA",$C32:$K32,W$3)=0)*(COUNTIFS($C$3:$K$3,"NOTTE",$C32:$K32,W$3)=0))=4,W$3&amp;", ",W$3&amp;IF((W32&lt;&gt;"Xm")*(COUNTIFS($C$3:$K$3,"MAT",$C32:$K32,W$3)=0)*(COUNTIFS($C$3:$K$3,"NOTTE",$C32:$K32,W$3)=0),"_m","")&amp;IF((W32&lt;&gt;"Xp")*(COUNTIFS($C$3:$K$3,"POM",$C32:$K32,W$3)=0)*(COUNTIFS($C$3:$K$3,"NOTTE",$C32:$K32,W$3)=0),"_p","")&amp;IF((W32&lt;&gt;"Xs")*(W32&lt;&gt;"Cs")*(COUNTIFS($C$3:$K$3,"SERA",$C32:$K32,W$3)=0)*(COUNTIFS($C$3:$K$3,"NOTTE",$C32:$K32,W$3)=0),"_s","")&amp;IF((W32&lt;&gt;"Xn")*(COUNTIFS($C$3:$K$3,"MAT",$C32:$K32,W$3)=0)*(COUNTIFS($C$3:$K$3,"POM",$C32:$K32,W$3)=0)*(COUNTIFS($C$3:$K$3,"SERA",$C32:$K32,W$3)=0)*(COUNTIFS($C$3:$K$3,"NOTTE",$C32:$K32,W$3)=0),"_n","")&amp;", ")))</f>
        <v>BRUNO, </v>
      </c>
      <c r="BC32" s="10" t="str">
        <f aca="false">IF((X32="X")+(X32="F")&gt;0,"",IF(((X32&lt;&gt;"Xm")*(COUNTIFS($C$3:$K$3,"MAT",$C32:$K32,X$3)=0)*(COUNTIFS($C$3:$K$3,"NOTTE",$C32:$K32,X$3)=0))+((X32&lt;&gt;"Xp")*(COUNTIFS($C$3:$K$3,"POM",$C32:$K32,X$3)=0)*(COUNTIFS($C$3:$K$3,"NOTTE",$C32:$K32,X$3)=0))+((X32&lt;&gt;"Xs")*(X32&lt;&gt;"Cs")*(COUNTIFS($C$3:$K$3,"SERA",$C32:$K32,X$3)=0)*(COUNTIFS($C$3:$K$3,"NOTTE",$C32:$K32,X$3)=0))+((X32&lt;&gt;"Xn")*(COUNTIFS($C$3:$K$3,"MAT",$C32:$K32,X$3)=0)*(COUNTIFS($C$3:$K$3,"POM",$C32:$K32,X$3)=0)*(COUNTIFS($C$3:$K$3,"SERA",$C32:$K32,X$3)=0)*(COUNTIFS($C$3:$K$3,"NOTTE",$C32:$K32,X$3)=0))=0,"",IF(((X32&lt;&gt;"Xm")*(COUNTIFS($C$3:$K$3,"MAT",$C32:$K32,X$3)=0)*(COUNTIFS($C$3:$K$3,"NOTTE",$C32:$K32,X$3)=0))+((X32&lt;&gt;"Xp")*(COUNTIFS($C$3:$K$3,"POM",$C32:$K32,X$3)=0)*(COUNTIFS($C$3:$K$3,"NOTTE",$C32:$K32,X$3)=0))+((X32&lt;&gt;"Xs")*(X32&lt;&gt;"Cs")*(COUNTIFS($C$3:$K$3,"SERA",$C32:$K32,X$3)=0)*(COUNTIFS($C$3:$K$3,"NOTTE",$C32:$K32,X$3)=0))+((X32&lt;&gt;"Xn")*(COUNTIFS($C$3:$K$3,"MAT",$C32:$K32,X$3)=0)*(COUNTIFS($C$3:$K$3,"POM",$C32:$K32,X$3)=0)*(COUNTIFS($C$3:$K$3,"SERA",$C32:$K32,X$3)=0)*(COUNTIFS($C$3:$K$3,"NOTTE",$C32:$K32,X$3)=0))=4,X$3&amp;", ",X$3&amp;IF((X32&lt;&gt;"Xm")*(COUNTIFS($C$3:$K$3,"MAT",$C32:$K32,X$3)=0)*(COUNTIFS($C$3:$K$3,"NOTTE",$C32:$K32,X$3)=0),"_m","")&amp;IF((X32&lt;&gt;"Xp")*(COUNTIFS($C$3:$K$3,"POM",$C32:$K32,X$3)=0)*(COUNTIFS($C$3:$K$3,"NOTTE",$C32:$K32,X$3)=0),"_p","")&amp;IF((X32&lt;&gt;"Xs")*(X32&lt;&gt;"Cs")*(COUNTIFS($C$3:$K$3,"SERA",$C32:$K32,X$3)=0)*(COUNTIFS($C$3:$K$3,"NOTTE",$C32:$K32,X$3)=0),"_s","")&amp;IF((X32&lt;&gt;"Xn")*(COUNTIFS($C$3:$K$3,"MAT",$C32:$K32,X$3)=0)*(COUNTIFS($C$3:$K$3,"POM",$C32:$K32,X$3)=0)*(COUNTIFS($C$3:$K$3,"SERA",$C32:$K32,X$3)=0)*(COUNTIFS($C$3:$K$3,"NOTTE",$C32:$K32,X$3)=0),"_n","")&amp;", ")))</f>
        <v>CARLA, </v>
      </c>
      <c r="BD32" s="10" t="str">
        <f aca="false">IF((Y32="X")+(Y32="F")&gt;0,"",IF(((Y32&lt;&gt;"Xm")*(COUNTIFS($C$3:$K$3,"MAT",$C32:$K32,Y$3)=0)*(COUNTIFS($C$3:$K$3,"NOTTE",$C32:$K32,Y$3)=0))+((Y32&lt;&gt;"Xp")*(COUNTIFS($C$3:$K$3,"POM",$C32:$K32,Y$3)=0)*(COUNTIFS($C$3:$K$3,"NOTTE",$C32:$K32,Y$3)=0))+((Y32&lt;&gt;"Xs")*(Y32&lt;&gt;"Cs")*(COUNTIFS($C$3:$K$3,"SERA",$C32:$K32,Y$3)=0)*(COUNTIFS($C$3:$K$3,"NOTTE",$C32:$K32,Y$3)=0))+((Y32&lt;&gt;"Xn")*(COUNTIFS($C$3:$K$3,"MAT",$C32:$K32,Y$3)=0)*(COUNTIFS($C$3:$K$3,"POM",$C32:$K32,Y$3)=0)*(COUNTIFS($C$3:$K$3,"SERA",$C32:$K32,Y$3)=0)*(COUNTIFS($C$3:$K$3,"NOTTE",$C32:$K32,Y$3)=0))=0,"",IF(((Y32&lt;&gt;"Xm")*(COUNTIFS($C$3:$K$3,"MAT",$C32:$K32,Y$3)=0)*(COUNTIFS($C$3:$K$3,"NOTTE",$C32:$K32,Y$3)=0))+((Y32&lt;&gt;"Xp")*(COUNTIFS($C$3:$K$3,"POM",$C32:$K32,Y$3)=0)*(COUNTIFS($C$3:$K$3,"NOTTE",$C32:$K32,Y$3)=0))+((Y32&lt;&gt;"Xs")*(Y32&lt;&gt;"Cs")*(COUNTIFS($C$3:$K$3,"SERA",$C32:$K32,Y$3)=0)*(COUNTIFS($C$3:$K$3,"NOTTE",$C32:$K32,Y$3)=0))+((Y32&lt;&gt;"Xn")*(COUNTIFS($C$3:$K$3,"MAT",$C32:$K32,Y$3)=0)*(COUNTIFS($C$3:$K$3,"POM",$C32:$K32,Y$3)=0)*(COUNTIFS($C$3:$K$3,"SERA",$C32:$K32,Y$3)=0)*(COUNTIFS($C$3:$K$3,"NOTTE",$C32:$K32,Y$3)=0))=4,Y$3&amp;", ",Y$3&amp;IF((Y32&lt;&gt;"Xm")*(COUNTIFS($C$3:$K$3,"MAT",$C32:$K32,Y$3)=0)*(COUNTIFS($C$3:$K$3,"NOTTE",$C32:$K32,Y$3)=0),"_m","")&amp;IF((Y32&lt;&gt;"Xp")*(COUNTIFS($C$3:$K$3,"POM",$C32:$K32,Y$3)=0)*(COUNTIFS($C$3:$K$3,"NOTTE",$C32:$K32,Y$3)=0),"_p","")&amp;IF((Y32&lt;&gt;"Xs")*(Y32&lt;&gt;"Cs")*(COUNTIFS($C$3:$K$3,"SERA",$C32:$K32,Y$3)=0)*(COUNTIFS($C$3:$K$3,"NOTTE",$C32:$K32,Y$3)=0),"_s","")&amp;IF((Y32&lt;&gt;"Xn")*(COUNTIFS($C$3:$K$3,"MAT",$C32:$K32,Y$3)=0)*(COUNTIFS($C$3:$K$3,"POM",$C32:$K32,Y$3)=0)*(COUNTIFS($C$3:$K$3,"SERA",$C32:$K32,Y$3)=0)*(COUNTIFS($C$3:$K$3,"NOTTE",$C32:$K32,Y$3)=0),"_n","")&amp;", ")))</f>
        <v>DINO, </v>
      </c>
      <c r="BE32" s="10" t="str">
        <f aca="false">IF((Z32="X")+(Z32="F")&gt;0,"",IF(((Z32&lt;&gt;"Xm")*(COUNTIFS($C$3:$K$3,"MAT",$C32:$K32,Z$3)=0)*(COUNTIFS($C$3:$K$3,"NOTTE",$C32:$K32,Z$3)=0))+((Z32&lt;&gt;"Xp")*(COUNTIFS($C$3:$K$3,"POM",$C32:$K32,Z$3)=0)*(COUNTIFS($C$3:$K$3,"NOTTE",$C32:$K32,Z$3)=0))+((Z32&lt;&gt;"Xs")*(Z32&lt;&gt;"Cs")*(COUNTIFS($C$3:$K$3,"SERA",$C32:$K32,Z$3)=0)*(COUNTIFS($C$3:$K$3,"NOTTE",$C32:$K32,Z$3)=0))+((Z32&lt;&gt;"Xn")*(COUNTIFS($C$3:$K$3,"MAT",$C32:$K32,Z$3)=0)*(COUNTIFS($C$3:$K$3,"POM",$C32:$K32,Z$3)=0)*(COUNTIFS($C$3:$K$3,"SERA",$C32:$K32,Z$3)=0)*(COUNTIFS($C$3:$K$3,"NOTTE",$C32:$K32,Z$3)=0))=0,"",IF(((Z32&lt;&gt;"Xm")*(COUNTIFS($C$3:$K$3,"MAT",$C32:$K32,Z$3)=0)*(COUNTIFS($C$3:$K$3,"NOTTE",$C32:$K32,Z$3)=0))+((Z32&lt;&gt;"Xp")*(COUNTIFS($C$3:$K$3,"POM",$C32:$K32,Z$3)=0)*(COUNTIFS($C$3:$K$3,"NOTTE",$C32:$K32,Z$3)=0))+((Z32&lt;&gt;"Xs")*(Z32&lt;&gt;"Cs")*(COUNTIFS($C$3:$K$3,"SERA",$C32:$K32,Z$3)=0)*(COUNTIFS($C$3:$K$3,"NOTTE",$C32:$K32,Z$3)=0))+((Z32&lt;&gt;"Xn")*(COUNTIFS($C$3:$K$3,"MAT",$C32:$K32,Z$3)=0)*(COUNTIFS($C$3:$K$3,"POM",$C32:$K32,Z$3)=0)*(COUNTIFS($C$3:$K$3,"SERA",$C32:$K32,Z$3)=0)*(COUNTIFS($C$3:$K$3,"NOTTE",$C32:$K32,Z$3)=0))=4,Z$3&amp;", ",Z$3&amp;IF((Z32&lt;&gt;"Xm")*(COUNTIFS($C$3:$K$3,"MAT",$C32:$K32,Z$3)=0)*(COUNTIFS($C$3:$K$3,"NOTTE",$C32:$K32,Z$3)=0),"_m","")&amp;IF((Z32&lt;&gt;"Xp")*(COUNTIFS($C$3:$K$3,"POM",$C32:$K32,Z$3)=0)*(COUNTIFS($C$3:$K$3,"NOTTE",$C32:$K32,Z$3)=0),"_p","")&amp;IF((Z32&lt;&gt;"Xs")*(Z32&lt;&gt;"Cs")*(COUNTIFS($C$3:$K$3,"SERA",$C32:$K32,Z$3)=0)*(COUNTIFS($C$3:$K$3,"NOTTE",$C32:$K32,Z$3)=0),"_s","")&amp;IF((Z32&lt;&gt;"Xn")*(COUNTIFS($C$3:$K$3,"MAT",$C32:$K32,Z$3)=0)*(COUNTIFS($C$3:$K$3,"POM",$C32:$K32,Z$3)=0)*(COUNTIFS($C$3:$K$3,"SERA",$C32:$K32,Z$3)=0)*(COUNTIFS($C$3:$K$3,"NOTTE",$C32:$K32,Z$3)=0),"_n","")&amp;", ")))</f>
        <v>ELSA, </v>
      </c>
      <c r="BF32" s="10" t="str">
        <f aca="false">IF((AA32="X")+(AA32="F")&gt;0,"",IF(((AA32&lt;&gt;"Xm")*(COUNTIFS($C$3:$K$3,"MAT",$C32:$K32,AA$3)=0)*(COUNTIFS($C$3:$K$3,"NOTTE",$C32:$K32,AA$3)=0))+((AA32&lt;&gt;"Xp")*(COUNTIFS($C$3:$K$3,"POM",$C32:$K32,AA$3)=0)*(COUNTIFS($C$3:$K$3,"NOTTE",$C32:$K32,AA$3)=0))+((AA32&lt;&gt;"Xs")*(AA32&lt;&gt;"Cs")*(COUNTIFS($C$3:$K$3,"SERA",$C32:$K32,AA$3)=0)*(COUNTIFS($C$3:$K$3,"NOTTE",$C32:$K32,AA$3)=0))+((AA32&lt;&gt;"Xn")*(COUNTIFS($C$3:$K$3,"MAT",$C32:$K32,AA$3)=0)*(COUNTIFS($C$3:$K$3,"POM",$C32:$K32,AA$3)=0)*(COUNTIFS($C$3:$K$3,"SERA",$C32:$K32,AA$3)=0)*(COUNTIFS($C$3:$K$3,"NOTTE",$C32:$K32,AA$3)=0))=0,"",IF(((AA32&lt;&gt;"Xm")*(COUNTIFS($C$3:$K$3,"MAT",$C32:$K32,AA$3)=0)*(COUNTIFS($C$3:$K$3,"NOTTE",$C32:$K32,AA$3)=0))+((AA32&lt;&gt;"Xp")*(COUNTIFS($C$3:$K$3,"POM",$C32:$K32,AA$3)=0)*(COUNTIFS($C$3:$K$3,"NOTTE",$C32:$K32,AA$3)=0))+((AA32&lt;&gt;"Xs")*(AA32&lt;&gt;"Cs")*(COUNTIFS($C$3:$K$3,"SERA",$C32:$K32,AA$3)=0)*(COUNTIFS($C$3:$K$3,"NOTTE",$C32:$K32,AA$3)=0))+((AA32&lt;&gt;"Xn")*(COUNTIFS($C$3:$K$3,"MAT",$C32:$K32,AA$3)=0)*(COUNTIFS($C$3:$K$3,"POM",$C32:$K32,AA$3)=0)*(COUNTIFS($C$3:$K$3,"SERA",$C32:$K32,AA$3)=0)*(COUNTIFS($C$3:$K$3,"NOTTE",$C32:$K32,AA$3)=0))=4,AA$3&amp;", ",AA$3&amp;IF((AA32&lt;&gt;"Xm")*(COUNTIFS($C$3:$K$3,"MAT",$C32:$K32,AA$3)=0)*(COUNTIFS($C$3:$K$3,"NOTTE",$C32:$K32,AA$3)=0),"_m","")&amp;IF((AA32&lt;&gt;"Xp")*(COUNTIFS($C$3:$K$3,"POM",$C32:$K32,AA$3)=0)*(COUNTIFS($C$3:$K$3,"NOTTE",$C32:$K32,AA$3)=0),"_p","")&amp;IF((AA32&lt;&gt;"Xs")*(AA32&lt;&gt;"Cs")*(COUNTIFS($C$3:$K$3,"SERA",$C32:$K32,AA$3)=0)*(COUNTIFS($C$3:$K$3,"NOTTE",$C32:$K32,AA$3)=0),"_s","")&amp;IF((AA32&lt;&gt;"Xn")*(COUNTIFS($C$3:$K$3,"MAT",$C32:$K32,AA$3)=0)*(COUNTIFS($C$3:$K$3,"POM",$C32:$K32,AA$3)=0)*(COUNTIFS($C$3:$K$3,"SERA",$C32:$K32,AA$3)=0)*(COUNTIFS($C$3:$K$3,"NOTTE",$C32:$K32,AA$3)=0),"_n","")&amp;", ")))</f>
        <v>FABIO, </v>
      </c>
    </row>
    <row r="33" customFormat="false" ht="15" hidden="false" customHeight="false" outlineLevel="0" collapsed="false">
      <c r="A33" s="4" t="str">
        <f aca="false">CHOOSE(WEEKDAY(DATE($B$1,$A$2,B33),2),"lunedì","martedì","mercoledì","giovedì","venerdì","sabato","domenica")</f>
        <v>martedì</v>
      </c>
      <c r="B33" s="4" t="n">
        <v>30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 t="str">
        <f aca="false">IF(SUMPRODUCT(($C$3:$K$3&lt;&gt;"")*($C33:$K33&lt;&gt;"")*(COUNTIFS($C33:$K33,$C33:$K33,$C$3:$K$3,$C$3:$K$3)&gt;1))&gt;0,"X","")</f>
        <v/>
      </c>
      <c r="N33" s="5" t="str">
        <f aca="false">IF(LEN(AT33&amp;AU33&amp;AV33&amp;AW33&amp;AX33&amp;AY33)=0,"",LEFT(AT33&amp;AU33&amp;AV33&amp;AW33&amp;AX33&amp;AY33,LEN(AT33&amp;AU33&amp;AV33&amp;AW33&amp;AX33&amp;AY33)-2))</f>
        <v>ALBA, BRUNO, CARLA, DINO, ELSA, FABIO</v>
      </c>
      <c r="O33" s="5" t="str">
        <f aca="false">IF(LEN(BA33&amp;BB33&amp;BC33&amp;BD33&amp;BE33&amp;BF33)=0,"",LEFT(BA33&amp;BB33&amp;BC33&amp;BD33&amp;BE33&amp;BF33,LEN(BA33&amp;BB33&amp;BC33&amp;BD33&amp;BE33&amp;BF33)-2))</f>
        <v>ALBA, BRUNO, CARLA, DINO, ELSA, FABIO</v>
      </c>
      <c r="T33" s="4" t="str">
        <f aca="false">A33</f>
        <v>martedì</v>
      </c>
      <c r="U33" s="4" t="n">
        <f aca="false">B33</f>
        <v>30</v>
      </c>
      <c r="V33" s="5"/>
      <c r="W33" s="5"/>
      <c r="X33" s="5"/>
      <c r="Y33" s="5"/>
      <c r="Z33" s="5"/>
      <c r="AA33" s="5"/>
      <c r="AT33" s="10" t="str">
        <f aca="false">IF((V33="X")+(V33="F")&gt;0,"",IF(((V33&lt;&gt;"Xm"))+((V33&lt;&gt;"Xp"))+((V33&lt;&gt;"Xs")*(V33&lt;&gt;"Cs"))+((V33&lt;&gt;"Xn"))=0,"",IF(((V33&lt;&gt;"Xm"))+((V33&lt;&gt;"Xp"))+((V33&lt;&gt;"Xs")*(V33&lt;&gt;"Cs"))+((V33&lt;&gt;"Xn"))=4,V$3&amp;", ",V$3&amp;IF((V33&lt;&gt;"Xm"),"_m","")&amp;IF((V33&lt;&gt;"Xp"),"_p","")&amp;IF((V33&lt;&gt;"Xs")*(V33&lt;&gt;"Cs"),"_s","")&amp;IF((V33&lt;&gt;"Xn"),"_n","")&amp;", ")))</f>
        <v>ALBA, </v>
      </c>
      <c r="AU33" s="10" t="str">
        <f aca="false">IF((W33="X")+(W33="F")&gt;0,"",IF(((W33&lt;&gt;"Xm"))+((W33&lt;&gt;"Xp"))+((W33&lt;&gt;"Xs")*(W33&lt;&gt;"Cs"))+((W33&lt;&gt;"Xn"))=0,"",IF(((W33&lt;&gt;"Xm"))+((W33&lt;&gt;"Xp"))+((W33&lt;&gt;"Xs")*(W33&lt;&gt;"Cs"))+((W33&lt;&gt;"Xn"))=4,W$3&amp;", ",W$3&amp;IF((W33&lt;&gt;"Xm"),"_m","")&amp;IF((W33&lt;&gt;"Xp"),"_p","")&amp;IF((W33&lt;&gt;"Xs")*(W33&lt;&gt;"Cs"),"_s","")&amp;IF((W33&lt;&gt;"Xn"),"_n","")&amp;", ")))</f>
        <v>BRUNO, </v>
      </c>
      <c r="AV33" s="10" t="str">
        <f aca="false">IF((X33="X")+(X33="F")&gt;0,"",IF(((X33&lt;&gt;"Xm"))+((X33&lt;&gt;"Xp"))+((X33&lt;&gt;"Xs")*(X33&lt;&gt;"Cs"))+((X33&lt;&gt;"Xn"))=0,"",IF(((X33&lt;&gt;"Xm"))+((X33&lt;&gt;"Xp"))+((X33&lt;&gt;"Xs")*(X33&lt;&gt;"Cs"))+((X33&lt;&gt;"Xn"))=4,X$3&amp;", ",X$3&amp;IF((X33&lt;&gt;"Xm"),"_m","")&amp;IF((X33&lt;&gt;"Xp"),"_p","")&amp;IF((X33&lt;&gt;"Xs")*(X33&lt;&gt;"Cs"),"_s","")&amp;IF((X33&lt;&gt;"Xn"),"_n","")&amp;", ")))</f>
        <v>CARLA, </v>
      </c>
      <c r="AW33" s="10" t="str">
        <f aca="false">IF((Y33="X")+(Y33="F")&gt;0,"",IF(((Y33&lt;&gt;"Xm"))+((Y33&lt;&gt;"Xp"))+((Y33&lt;&gt;"Xs")*(Y33&lt;&gt;"Cs"))+((Y33&lt;&gt;"Xn"))=0,"",IF(((Y33&lt;&gt;"Xm"))+((Y33&lt;&gt;"Xp"))+((Y33&lt;&gt;"Xs")*(Y33&lt;&gt;"Cs"))+((Y33&lt;&gt;"Xn"))=4,Y$3&amp;", ",Y$3&amp;IF((Y33&lt;&gt;"Xm"),"_m","")&amp;IF((Y33&lt;&gt;"Xp"),"_p","")&amp;IF((Y33&lt;&gt;"Xs")*(Y33&lt;&gt;"Cs"),"_s","")&amp;IF((Y33&lt;&gt;"Xn"),"_n","")&amp;", ")))</f>
        <v>DINO, </v>
      </c>
      <c r="AX33" s="10" t="str">
        <f aca="false">IF((Z33="X")+(Z33="F")&gt;0,"",IF(((Z33&lt;&gt;"Xm"))+((Z33&lt;&gt;"Xp"))+((Z33&lt;&gt;"Xs")*(Z33&lt;&gt;"Cs"))+((Z33&lt;&gt;"Xn"))=0,"",IF(((Z33&lt;&gt;"Xm"))+((Z33&lt;&gt;"Xp"))+((Z33&lt;&gt;"Xs")*(Z33&lt;&gt;"Cs"))+((Z33&lt;&gt;"Xn"))=4,Z$3&amp;", ",Z$3&amp;IF((Z33&lt;&gt;"Xm"),"_m","")&amp;IF((Z33&lt;&gt;"Xp"),"_p","")&amp;IF((Z33&lt;&gt;"Xs")*(Z33&lt;&gt;"Cs"),"_s","")&amp;IF((Z33&lt;&gt;"Xn"),"_n","")&amp;", ")))</f>
        <v>ELSA, </v>
      </c>
      <c r="AY33" s="10" t="str">
        <f aca="false">IF((AA33="X")+(AA33="F")&gt;0,"",IF(((AA33&lt;&gt;"Xm"))+((AA33&lt;&gt;"Xp"))+((AA33&lt;&gt;"Xs")*(AA33&lt;&gt;"Cs"))+((AA33&lt;&gt;"Xn"))=0,"",IF(((AA33&lt;&gt;"Xm"))+((AA33&lt;&gt;"Xp"))+((AA33&lt;&gt;"Xs")*(AA33&lt;&gt;"Cs"))+((AA33&lt;&gt;"Xn"))=4,AA$3&amp;", ",AA$3&amp;IF((AA33&lt;&gt;"Xm"),"_m","")&amp;IF((AA33&lt;&gt;"Xp"),"_p","")&amp;IF((AA33&lt;&gt;"Xs")*(AA33&lt;&gt;"Cs"),"_s","")&amp;IF((AA33&lt;&gt;"Xn"),"_n","")&amp;", ")))</f>
        <v>FABIO, </v>
      </c>
      <c r="AZ33" s="10"/>
      <c r="BA33" s="10" t="str">
        <f aca="false">IF((V33="X")+(V33="F")&gt;0,"",IF(((V33&lt;&gt;"Xm")*(COUNTIFS($C$3:$K$3,"MAT",$C33:$K33,V$3)=0)*(COUNTIFS($C$3:$K$3,"NOTTE",$C33:$K33,V$3)=0))+((V33&lt;&gt;"Xp")*(COUNTIFS($C$3:$K$3,"POM",$C33:$K33,V$3)=0)*(COUNTIFS($C$3:$K$3,"NOTTE",$C33:$K33,V$3)=0))+((V33&lt;&gt;"Xs")*(V33&lt;&gt;"Cs")*(COUNTIFS($C$3:$K$3,"SERA",$C33:$K33,V$3)=0)*(COUNTIFS($C$3:$K$3,"NOTTE",$C33:$K33,V$3)=0))+((V33&lt;&gt;"Xn")*(COUNTIFS($C$3:$K$3,"MAT",$C33:$K33,V$3)=0)*(COUNTIFS($C$3:$K$3,"POM",$C33:$K33,V$3)=0)*(COUNTIFS($C$3:$K$3,"SERA",$C33:$K33,V$3)=0)*(COUNTIFS($C$3:$K$3,"NOTTE",$C33:$K33,V$3)=0))=0,"",IF(((V33&lt;&gt;"Xm")*(COUNTIFS($C$3:$K$3,"MAT",$C33:$K33,V$3)=0)*(COUNTIFS($C$3:$K$3,"NOTTE",$C33:$K33,V$3)=0))+((V33&lt;&gt;"Xp")*(COUNTIFS($C$3:$K$3,"POM",$C33:$K33,V$3)=0)*(COUNTIFS($C$3:$K$3,"NOTTE",$C33:$K33,V$3)=0))+((V33&lt;&gt;"Xs")*(V33&lt;&gt;"Cs")*(COUNTIFS($C$3:$K$3,"SERA",$C33:$K33,V$3)=0)*(COUNTIFS($C$3:$K$3,"NOTTE",$C33:$K33,V$3)=0))+((V33&lt;&gt;"Xn")*(COUNTIFS($C$3:$K$3,"MAT",$C33:$K33,V$3)=0)*(COUNTIFS($C$3:$K$3,"POM",$C33:$K33,V$3)=0)*(COUNTIFS($C$3:$K$3,"SERA",$C33:$K33,V$3)=0)*(COUNTIFS($C$3:$K$3,"NOTTE",$C33:$K33,V$3)=0))=4,V$3&amp;", ",V$3&amp;IF((V33&lt;&gt;"Xm")*(COUNTIFS($C$3:$K$3,"MAT",$C33:$K33,V$3)=0)*(COUNTIFS($C$3:$K$3,"NOTTE",$C33:$K33,V$3)=0),"_m","")&amp;IF((V33&lt;&gt;"Xp")*(COUNTIFS($C$3:$K$3,"POM",$C33:$K33,V$3)=0)*(COUNTIFS($C$3:$K$3,"NOTTE",$C33:$K33,V$3)=0),"_p","")&amp;IF((V33&lt;&gt;"Xs")*(V33&lt;&gt;"Cs")*(COUNTIFS($C$3:$K$3,"SERA",$C33:$K33,V$3)=0)*(COUNTIFS($C$3:$K$3,"NOTTE",$C33:$K33,V$3)=0),"_s","")&amp;IF((V33&lt;&gt;"Xn")*(COUNTIFS($C$3:$K$3,"MAT",$C33:$K33,V$3)=0)*(COUNTIFS($C$3:$K$3,"POM",$C33:$K33,V$3)=0)*(COUNTIFS($C$3:$K$3,"SERA",$C33:$K33,V$3)=0)*(COUNTIFS($C$3:$K$3,"NOTTE",$C33:$K33,V$3)=0),"_n","")&amp;", ")))</f>
        <v>ALBA, </v>
      </c>
      <c r="BB33" s="10" t="str">
        <f aca="false">IF((W33="X")+(W33="F")&gt;0,"",IF(((W33&lt;&gt;"Xm")*(COUNTIFS($C$3:$K$3,"MAT",$C33:$K33,W$3)=0)*(COUNTIFS($C$3:$K$3,"NOTTE",$C33:$K33,W$3)=0))+((W33&lt;&gt;"Xp")*(COUNTIFS($C$3:$K$3,"POM",$C33:$K33,W$3)=0)*(COUNTIFS($C$3:$K$3,"NOTTE",$C33:$K33,W$3)=0))+((W33&lt;&gt;"Xs")*(W33&lt;&gt;"Cs")*(COUNTIFS($C$3:$K$3,"SERA",$C33:$K33,W$3)=0)*(COUNTIFS($C$3:$K$3,"NOTTE",$C33:$K33,W$3)=0))+((W33&lt;&gt;"Xn")*(COUNTIFS($C$3:$K$3,"MAT",$C33:$K33,W$3)=0)*(COUNTIFS($C$3:$K$3,"POM",$C33:$K33,W$3)=0)*(COUNTIFS($C$3:$K$3,"SERA",$C33:$K33,W$3)=0)*(COUNTIFS($C$3:$K$3,"NOTTE",$C33:$K33,W$3)=0))=0,"",IF(((W33&lt;&gt;"Xm")*(COUNTIFS($C$3:$K$3,"MAT",$C33:$K33,W$3)=0)*(COUNTIFS($C$3:$K$3,"NOTTE",$C33:$K33,W$3)=0))+((W33&lt;&gt;"Xp")*(COUNTIFS($C$3:$K$3,"POM",$C33:$K33,W$3)=0)*(COUNTIFS($C$3:$K$3,"NOTTE",$C33:$K33,W$3)=0))+((W33&lt;&gt;"Xs")*(W33&lt;&gt;"Cs")*(COUNTIFS($C$3:$K$3,"SERA",$C33:$K33,W$3)=0)*(COUNTIFS($C$3:$K$3,"NOTTE",$C33:$K33,W$3)=0))+((W33&lt;&gt;"Xn")*(COUNTIFS($C$3:$K$3,"MAT",$C33:$K33,W$3)=0)*(COUNTIFS($C$3:$K$3,"POM",$C33:$K33,W$3)=0)*(COUNTIFS($C$3:$K$3,"SERA",$C33:$K33,W$3)=0)*(COUNTIFS($C$3:$K$3,"NOTTE",$C33:$K33,W$3)=0))=4,W$3&amp;", ",W$3&amp;IF((W33&lt;&gt;"Xm")*(COUNTIFS($C$3:$K$3,"MAT",$C33:$K33,W$3)=0)*(COUNTIFS($C$3:$K$3,"NOTTE",$C33:$K33,W$3)=0),"_m","")&amp;IF((W33&lt;&gt;"Xp")*(COUNTIFS($C$3:$K$3,"POM",$C33:$K33,W$3)=0)*(COUNTIFS($C$3:$K$3,"NOTTE",$C33:$K33,W$3)=0),"_p","")&amp;IF((W33&lt;&gt;"Xs")*(W33&lt;&gt;"Cs")*(COUNTIFS($C$3:$K$3,"SERA",$C33:$K33,W$3)=0)*(COUNTIFS($C$3:$K$3,"NOTTE",$C33:$K33,W$3)=0),"_s","")&amp;IF((W33&lt;&gt;"Xn")*(COUNTIFS($C$3:$K$3,"MAT",$C33:$K33,W$3)=0)*(COUNTIFS($C$3:$K$3,"POM",$C33:$K33,W$3)=0)*(COUNTIFS($C$3:$K$3,"SERA",$C33:$K33,W$3)=0)*(COUNTIFS($C$3:$K$3,"NOTTE",$C33:$K33,W$3)=0),"_n","")&amp;", ")))</f>
        <v>BRUNO, </v>
      </c>
      <c r="BC33" s="10" t="str">
        <f aca="false">IF((X33="X")+(X33="F")&gt;0,"",IF(((X33&lt;&gt;"Xm")*(COUNTIFS($C$3:$K$3,"MAT",$C33:$K33,X$3)=0)*(COUNTIFS($C$3:$K$3,"NOTTE",$C33:$K33,X$3)=0))+((X33&lt;&gt;"Xp")*(COUNTIFS($C$3:$K$3,"POM",$C33:$K33,X$3)=0)*(COUNTIFS($C$3:$K$3,"NOTTE",$C33:$K33,X$3)=0))+((X33&lt;&gt;"Xs")*(X33&lt;&gt;"Cs")*(COUNTIFS($C$3:$K$3,"SERA",$C33:$K33,X$3)=0)*(COUNTIFS($C$3:$K$3,"NOTTE",$C33:$K33,X$3)=0))+((X33&lt;&gt;"Xn")*(COUNTIFS($C$3:$K$3,"MAT",$C33:$K33,X$3)=0)*(COUNTIFS($C$3:$K$3,"POM",$C33:$K33,X$3)=0)*(COUNTIFS($C$3:$K$3,"SERA",$C33:$K33,X$3)=0)*(COUNTIFS($C$3:$K$3,"NOTTE",$C33:$K33,X$3)=0))=0,"",IF(((X33&lt;&gt;"Xm")*(COUNTIFS($C$3:$K$3,"MAT",$C33:$K33,X$3)=0)*(COUNTIFS($C$3:$K$3,"NOTTE",$C33:$K33,X$3)=0))+((X33&lt;&gt;"Xp")*(COUNTIFS($C$3:$K$3,"POM",$C33:$K33,X$3)=0)*(COUNTIFS($C$3:$K$3,"NOTTE",$C33:$K33,X$3)=0))+((X33&lt;&gt;"Xs")*(X33&lt;&gt;"Cs")*(COUNTIFS($C$3:$K$3,"SERA",$C33:$K33,X$3)=0)*(COUNTIFS($C$3:$K$3,"NOTTE",$C33:$K33,X$3)=0))+((X33&lt;&gt;"Xn")*(COUNTIFS($C$3:$K$3,"MAT",$C33:$K33,X$3)=0)*(COUNTIFS($C$3:$K$3,"POM",$C33:$K33,X$3)=0)*(COUNTIFS($C$3:$K$3,"SERA",$C33:$K33,X$3)=0)*(COUNTIFS($C$3:$K$3,"NOTTE",$C33:$K33,X$3)=0))=4,X$3&amp;", ",X$3&amp;IF((X33&lt;&gt;"Xm")*(COUNTIFS($C$3:$K$3,"MAT",$C33:$K33,X$3)=0)*(COUNTIFS($C$3:$K$3,"NOTTE",$C33:$K33,X$3)=0),"_m","")&amp;IF((X33&lt;&gt;"Xp")*(COUNTIFS($C$3:$K$3,"POM",$C33:$K33,X$3)=0)*(COUNTIFS($C$3:$K$3,"NOTTE",$C33:$K33,X$3)=0),"_p","")&amp;IF((X33&lt;&gt;"Xs")*(X33&lt;&gt;"Cs")*(COUNTIFS($C$3:$K$3,"SERA",$C33:$K33,X$3)=0)*(COUNTIFS($C$3:$K$3,"NOTTE",$C33:$K33,X$3)=0),"_s","")&amp;IF((X33&lt;&gt;"Xn")*(COUNTIFS($C$3:$K$3,"MAT",$C33:$K33,X$3)=0)*(COUNTIFS($C$3:$K$3,"POM",$C33:$K33,X$3)=0)*(COUNTIFS($C$3:$K$3,"SERA",$C33:$K33,X$3)=0)*(COUNTIFS($C$3:$K$3,"NOTTE",$C33:$K33,X$3)=0),"_n","")&amp;", ")))</f>
        <v>CARLA, </v>
      </c>
      <c r="BD33" s="10" t="str">
        <f aca="false">IF((Y33="X")+(Y33="F")&gt;0,"",IF(((Y33&lt;&gt;"Xm")*(COUNTIFS($C$3:$K$3,"MAT",$C33:$K33,Y$3)=0)*(COUNTIFS($C$3:$K$3,"NOTTE",$C33:$K33,Y$3)=0))+((Y33&lt;&gt;"Xp")*(COUNTIFS($C$3:$K$3,"POM",$C33:$K33,Y$3)=0)*(COUNTIFS($C$3:$K$3,"NOTTE",$C33:$K33,Y$3)=0))+((Y33&lt;&gt;"Xs")*(Y33&lt;&gt;"Cs")*(COUNTIFS($C$3:$K$3,"SERA",$C33:$K33,Y$3)=0)*(COUNTIFS($C$3:$K$3,"NOTTE",$C33:$K33,Y$3)=0))+((Y33&lt;&gt;"Xn")*(COUNTIFS($C$3:$K$3,"MAT",$C33:$K33,Y$3)=0)*(COUNTIFS($C$3:$K$3,"POM",$C33:$K33,Y$3)=0)*(COUNTIFS($C$3:$K$3,"SERA",$C33:$K33,Y$3)=0)*(COUNTIFS($C$3:$K$3,"NOTTE",$C33:$K33,Y$3)=0))=0,"",IF(((Y33&lt;&gt;"Xm")*(COUNTIFS($C$3:$K$3,"MAT",$C33:$K33,Y$3)=0)*(COUNTIFS($C$3:$K$3,"NOTTE",$C33:$K33,Y$3)=0))+((Y33&lt;&gt;"Xp")*(COUNTIFS($C$3:$K$3,"POM",$C33:$K33,Y$3)=0)*(COUNTIFS($C$3:$K$3,"NOTTE",$C33:$K33,Y$3)=0))+((Y33&lt;&gt;"Xs")*(Y33&lt;&gt;"Cs")*(COUNTIFS($C$3:$K$3,"SERA",$C33:$K33,Y$3)=0)*(COUNTIFS($C$3:$K$3,"NOTTE",$C33:$K33,Y$3)=0))+((Y33&lt;&gt;"Xn")*(COUNTIFS($C$3:$K$3,"MAT",$C33:$K33,Y$3)=0)*(COUNTIFS($C$3:$K$3,"POM",$C33:$K33,Y$3)=0)*(COUNTIFS($C$3:$K$3,"SERA",$C33:$K33,Y$3)=0)*(COUNTIFS($C$3:$K$3,"NOTTE",$C33:$K33,Y$3)=0))=4,Y$3&amp;", ",Y$3&amp;IF((Y33&lt;&gt;"Xm")*(COUNTIFS($C$3:$K$3,"MAT",$C33:$K33,Y$3)=0)*(COUNTIFS($C$3:$K$3,"NOTTE",$C33:$K33,Y$3)=0),"_m","")&amp;IF((Y33&lt;&gt;"Xp")*(COUNTIFS($C$3:$K$3,"POM",$C33:$K33,Y$3)=0)*(COUNTIFS($C$3:$K$3,"NOTTE",$C33:$K33,Y$3)=0),"_p","")&amp;IF((Y33&lt;&gt;"Xs")*(Y33&lt;&gt;"Cs")*(COUNTIFS($C$3:$K$3,"SERA",$C33:$K33,Y$3)=0)*(COUNTIFS($C$3:$K$3,"NOTTE",$C33:$K33,Y$3)=0),"_s","")&amp;IF((Y33&lt;&gt;"Xn")*(COUNTIFS($C$3:$K$3,"MAT",$C33:$K33,Y$3)=0)*(COUNTIFS($C$3:$K$3,"POM",$C33:$K33,Y$3)=0)*(COUNTIFS($C$3:$K$3,"SERA",$C33:$K33,Y$3)=0)*(COUNTIFS($C$3:$K$3,"NOTTE",$C33:$K33,Y$3)=0),"_n","")&amp;", ")))</f>
        <v>DINO, </v>
      </c>
      <c r="BE33" s="10" t="str">
        <f aca="false">IF((Z33="X")+(Z33="F")&gt;0,"",IF(((Z33&lt;&gt;"Xm")*(COUNTIFS($C$3:$K$3,"MAT",$C33:$K33,Z$3)=0)*(COUNTIFS($C$3:$K$3,"NOTTE",$C33:$K33,Z$3)=0))+((Z33&lt;&gt;"Xp")*(COUNTIFS($C$3:$K$3,"POM",$C33:$K33,Z$3)=0)*(COUNTIFS($C$3:$K$3,"NOTTE",$C33:$K33,Z$3)=0))+((Z33&lt;&gt;"Xs")*(Z33&lt;&gt;"Cs")*(COUNTIFS($C$3:$K$3,"SERA",$C33:$K33,Z$3)=0)*(COUNTIFS($C$3:$K$3,"NOTTE",$C33:$K33,Z$3)=0))+((Z33&lt;&gt;"Xn")*(COUNTIFS($C$3:$K$3,"MAT",$C33:$K33,Z$3)=0)*(COUNTIFS($C$3:$K$3,"POM",$C33:$K33,Z$3)=0)*(COUNTIFS($C$3:$K$3,"SERA",$C33:$K33,Z$3)=0)*(COUNTIFS($C$3:$K$3,"NOTTE",$C33:$K33,Z$3)=0))=0,"",IF(((Z33&lt;&gt;"Xm")*(COUNTIFS($C$3:$K$3,"MAT",$C33:$K33,Z$3)=0)*(COUNTIFS($C$3:$K$3,"NOTTE",$C33:$K33,Z$3)=0))+((Z33&lt;&gt;"Xp")*(COUNTIFS($C$3:$K$3,"POM",$C33:$K33,Z$3)=0)*(COUNTIFS($C$3:$K$3,"NOTTE",$C33:$K33,Z$3)=0))+((Z33&lt;&gt;"Xs")*(Z33&lt;&gt;"Cs")*(COUNTIFS($C$3:$K$3,"SERA",$C33:$K33,Z$3)=0)*(COUNTIFS($C$3:$K$3,"NOTTE",$C33:$K33,Z$3)=0))+((Z33&lt;&gt;"Xn")*(COUNTIFS($C$3:$K$3,"MAT",$C33:$K33,Z$3)=0)*(COUNTIFS($C$3:$K$3,"POM",$C33:$K33,Z$3)=0)*(COUNTIFS($C$3:$K$3,"SERA",$C33:$K33,Z$3)=0)*(COUNTIFS($C$3:$K$3,"NOTTE",$C33:$K33,Z$3)=0))=4,Z$3&amp;", ",Z$3&amp;IF((Z33&lt;&gt;"Xm")*(COUNTIFS($C$3:$K$3,"MAT",$C33:$K33,Z$3)=0)*(COUNTIFS($C$3:$K$3,"NOTTE",$C33:$K33,Z$3)=0),"_m","")&amp;IF((Z33&lt;&gt;"Xp")*(COUNTIFS($C$3:$K$3,"POM",$C33:$K33,Z$3)=0)*(COUNTIFS($C$3:$K$3,"NOTTE",$C33:$K33,Z$3)=0),"_p","")&amp;IF((Z33&lt;&gt;"Xs")*(Z33&lt;&gt;"Cs")*(COUNTIFS($C$3:$K$3,"SERA",$C33:$K33,Z$3)=0)*(COUNTIFS($C$3:$K$3,"NOTTE",$C33:$K33,Z$3)=0),"_s","")&amp;IF((Z33&lt;&gt;"Xn")*(COUNTIFS($C$3:$K$3,"MAT",$C33:$K33,Z$3)=0)*(COUNTIFS($C$3:$K$3,"POM",$C33:$K33,Z$3)=0)*(COUNTIFS($C$3:$K$3,"SERA",$C33:$K33,Z$3)=0)*(COUNTIFS($C$3:$K$3,"NOTTE",$C33:$K33,Z$3)=0),"_n","")&amp;", ")))</f>
        <v>ELSA, </v>
      </c>
      <c r="BF33" s="10" t="str">
        <f aca="false">IF((AA33="X")+(AA33="F")&gt;0,"",IF(((AA33&lt;&gt;"Xm")*(COUNTIFS($C$3:$K$3,"MAT",$C33:$K33,AA$3)=0)*(COUNTIFS($C$3:$K$3,"NOTTE",$C33:$K33,AA$3)=0))+((AA33&lt;&gt;"Xp")*(COUNTIFS($C$3:$K$3,"POM",$C33:$K33,AA$3)=0)*(COUNTIFS($C$3:$K$3,"NOTTE",$C33:$K33,AA$3)=0))+((AA33&lt;&gt;"Xs")*(AA33&lt;&gt;"Cs")*(COUNTIFS($C$3:$K$3,"SERA",$C33:$K33,AA$3)=0)*(COUNTIFS($C$3:$K$3,"NOTTE",$C33:$K33,AA$3)=0))+((AA33&lt;&gt;"Xn")*(COUNTIFS($C$3:$K$3,"MAT",$C33:$K33,AA$3)=0)*(COUNTIFS($C$3:$K$3,"POM",$C33:$K33,AA$3)=0)*(COUNTIFS($C$3:$K$3,"SERA",$C33:$K33,AA$3)=0)*(COUNTIFS($C$3:$K$3,"NOTTE",$C33:$K33,AA$3)=0))=0,"",IF(((AA33&lt;&gt;"Xm")*(COUNTIFS($C$3:$K$3,"MAT",$C33:$K33,AA$3)=0)*(COUNTIFS($C$3:$K$3,"NOTTE",$C33:$K33,AA$3)=0))+((AA33&lt;&gt;"Xp")*(COUNTIFS($C$3:$K$3,"POM",$C33:$K33,AA$3)=0)*(COUNTIFS($C$3:$K$3,"NOTTE",$C33:$K33,AA$3)=0))+((AA33&lt;&gt;"Xs")*(AA33&lt;&gt;"Cs")*(COUNTIFS($C$3:$K$3,"SERA",$C33:$K33,AA$3)=0)*(COUNTIFS($C$3:$K$3,"NOTTE",$C33:$K33,AA$3)=0))+((AA33&lt;&gt;"Xn")*(COUNTIFS($C$3:$K$3,"MAT",$C33:$K33,AA$3)=0)*(COUNTIFS($C$3:$K$3,"POM",$C33:$K33,AA$3)=0)*(COUNTIFS($C$3:$K$3,"SERA",$C33:$K33,AA$3)=0)*(COUNTIFS($C$3:$K$3,"NOTTE",$C33:$K33,AA$3)=0))=4,AA$3&amp;", ",AA$3&amp;IF((AA33&lt;&gt;"Xm")*(COUNTIFS($C$3:$K$3,"MAT",$C33:$K33,AA$3)=0)*(COUNTIFS($C$3:$K$3,"NOTTE",$C33:$K33,AA$3)=0),"_m","")&amp;IF((AA33&lt;&gt;"Xp")*(COUNTIFS($C$3:$K$3,"POM",$C33:$K33,AA$3)=0)*(COUNTIFS($C$3:$K$3,"NOTTE",$C33:$K33,AA$3)=0),"_p","")&amp;IF((AA33&lt;&gt;"Xs")*(AA33&lt;&gt;"Cs")*(COUNTIFS($C$3:$K$3,"SERA",$C33:$K33,AA$3)=0)*(COUNTIFS($C$3:$K$3,"NOTTE",$C33:$K33,AA$3)=0),"_s","")&amp;IF((AA33&lt;&gt;"Xn")*(COUNTIFS($C$3:$K$3,"MAT",$C33:$K33,AA$3)=0)*(COUNTIFS($C$3:$K$3,"POM",$C33:$K33,AA$3)=0)*(COUNTIFS($C$3:$K$3,"SERA",$C33:$K33,AA$3)=0)*(COUNTIFS($C$3:$K$3,"NOTTE",$C33:$K33,AA$3)=0),"_n","")&amp;", ")))</f>
        <v>FABIO, </v>
      </c>
    </row>
    <row r="34" customFormat="false" ht="15" hidden="false" customHeight="false" outlineLevel="0" collapsed="false">
      <c r="A34" s="4" t="str">
        <f aca="false">CHOOSE(WEEKDAY(DATE($B$1,$A$2,B34),2),"lunedì","martedì","mercoledì","giovedì","venerdì","sabato","domenica")</f>
        <v>mercoledì</v>
      </c>
      <c r="B34" s="4" t="n">
        <v>31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 t="str">
        <f aca="false">IF(SUMPRODUCT(($C$3:$K$3&lt;&gt;"")*($C34:$K34&lt;&gt;"")*(COUNTIFS($C34:$K34,$C34:$K34,$C$3:$K$3,$C$3:$K$3)&gt;1))&gt;0,"X","")</f>
        <v/>
      </c>
      <c r="N34" s="5" t="str">
        <f aca="false">IF(LEN(AT34&amp;AU34&amp;AV34&amp;AW34&amp;AX34&amp;AY34)=0,"",LEFT(AT34&amp;AU34&amp;AV34&amp;AW34&amp;AX34&amp;AY34,LEN(AT34&amp;AU34&amp;AV34&amp;AW34&amp;AX34&amp;AY34)-2))</f>
        <v>ALBA, BRUNO, CARLA, DINO, ELSA, FABIO</v>
      </c>
      <c r="O34" s="5" t="str">
        <f aca="false">IF(LEN(BA34&amp;BB34&amp;BC34&amp;BD34&amp;BE34&amp;BF34)=0,"",LEFT(BA34&amp;BB34&amp;BC34&amp;BD34&amp;BE34&amp;BF34,LEN(BA34&amp;BB34&amp;BC34&amp;BD34&amp;BE34&amp;BF34)-2))</f>
        <v>ALBA, BRUNO, CARLA, DINO, ELSA, FABIO</v>
      </c>
      <c r="T34" s="4" t="str">
        <f aca="false">A34</f>
        <v>mercoledì</v>
      </c>
      <c r="U34" s="4" t="n">
        <f aca="false">B34</f>
        <v>31</v>
      </c>
      <c r="V34" s="5"/>
      <c r="W34" s="5"/>
      <c r="X34" s="5"/>
      <c r="Y34" s="5"/>
      <c r="Z34" s="5"/>
      <c r="AA34" s="5"/>
      <c r="AT34" s="10" t="str">
        <f aca="false">IF((V34="X")+(V34="F")&gt;0,"",IF(((V34&lt;&gt;"Xm"))+((V34&lt;&gt;"Xp"))+((V34&lt;&gt;"Xs")*(V34&lt;&gt;"Cs"))+((V34&lt;&gt;"Xn"))=0,"",IF(((V34&lt;&gt;"Xm"))+((V34&lt;&gt;"Xp"))+((V34&lt;&gt;"Xs")*(V34&lt;&gt;"Cs"))+((V34&lt;&gt;"Xn"))=4,V$3&amp;", ",V$3&amp;IF((V34&lt;&gt;"Xm"),"_m","")&amp;IF((V34&lt;&gt;"Xp"),"_p","")&amp;IF((V34&lt;&gt;"Xs")*(V34&lt;&gt;"Cs"),"_s","")&amp;IF((V34&lt;&gt;"Xn"),"_n","")&amp;", ")))</f>
        <v>ALBA, </v>
      </c>
      <c r="AU34" s="10" t="str">
        <f aca="false">IF((W34="X")+(W34="F")&gt;0,"",IF(((W34&lt;&gt;"Xm"))+((W34&lt;&gt;"Xp"))+((W34&lt;&gt;"Xs")*(W34&lt;&gt;"Cs"))+((W34&lt;&gt;"Xn"))=0,"",IF(((W34&lt;&gt;"Xm"))+((W34&lt;&gt;"Xp"))+((W34&lt;&gt;"Xs")*(W34&lt;&gt;"Cs"))+((W34&lt;&gt;"Xn"))=4,W$3&amp;", ",W$3&amp;IF((W34&lt;&gt;"Xm"),"_m","")&amp;IF((W34&lt;&gt;"Xp"),"_p","")&amp;IF((W34&lt;&gt;"Xs")*(W34&lt;&gt;"Cs"),"_s","")&amp;IF((W34&lt;&gt;"Xn"),"_n","")&amp;", ")))</f>
        <v>BRUNO, </v>
      </c>
      <c r="AV34" s="10" t="str">
        <f aca="false">IF((X34="X")+(X34="F")&gt;0,"",IF(((X34&lt;&gt;"Xm"))+((X34&lt;&gt;"Xp"))+((X34&lt;&gt;"Xs")*(X34&lt;&gt;"Cs"))+((X34&lt;&gt;"Xn"))=0,"",IF(((X34&lt;&gt;"Xm"))+((X34&lt;&gt;"Xp"))+((X34&lt;&gt;"Xs")*(X34&lt;&gt;"Cs"))+((X34&lt;&gt;"Xn"))=4,X$3&amp;", ",X$3&amp;IF((X34&lt;&gt;"Xm"),"_m","")&amp;IF((X34&lt;&gt;"Xp"),"_p","")&amp;IF((X34&lt;&gt;"Xs")*(X34&lt;&gt;"Cs"),"_s","")&amp;IF((X34&lt;&gt;"Xn"),"_n","")&amp;", ")))</f>
        <v>CARLA, </v>
      </c>
      <c r="AW34" s="10" t="str">
        <f aca="false">IF((Y34="X")+(Y34="F")&gt;0,"",IF(((Y34&lt;&gt;"Xm"))+((Y34&lt;&gt;"Xp"))+((Y34&lt;&gt;"Xs")*(Y34&lt;&gt;"Cs"))+((Y34&lt;&gt;"Xn"))=0,"",IF(((Y34&lt;&gt;"Xm"))+((Y34&lt;&gt;"Xp"))+((Y34&lt;&gt;"Xs")*(Y34&lt;&gt;"Cs"))+((Y34&lt;&gt;"Xn"))=4,Y$3&amp;", ",Y$3&amp;IF((Y34&lt;&gt;"Xm"),"_m","")&amp;IF((Y34&lt;&gt;"Xp"),"_p","")&amp;IF((Y34&lt;&gt;"Xs")*(Y34&lt;&gt;"Cs"),"_s","")&amp;IF((Y34&lt;&gt;"Xn"),"_n","")&amp;", ")))</f>
        <v>DINO, </v>
      </c>
      <c r="AX34" s="10" t="str">
        <f aca="false">IF((Z34="X")+(Z34="F")&gt;0,"",IF(((Z34&lt;&gt;"Xm"))+((Z34&lt;&gt;"Xp"))+((Z34&lt;&gt;"Xs")*(Z34&lt;&gt;"Cs"))+((Z34&lt;&gt;"Xn"))=0,"",IF(((Z34&lt;&gt;"Xm"))+((Z34&lt;&gt;"Xp"))+((Z34&lt;&gt;"Xs")*(Z34&lt;&gt;"Cs"))+((Z34&lt;&gt;"Xn"))=4,Z$3&amp;", ",Z$3&amp;IF((Z34&lt;&gt;"Xm"),"_m","")&amp;IF((Z34&lt;&gt;"Xp"),"_p","")&amp;IF((Z34&lt;&gt;"Xs")*(Z34&lt;&gt;"Cs"),"_s","")&amp;IF((Z34&lt;&gt;"Xn"),"_n","")&amp;", ")))</f>
        <v>ELSA, </v>
      </c>
      <c r="AY34" s="10" t="str">
        <f aca="false">IF((AA34="X")+(AA34="F")&gt;0,"",IF(((AA34&lt;&gt;"Xm"))+((AA34&lt;&gt;"Xp"))+((AA34&lt;&gt;"Xs")*(AA34&lt;&gt;"Cs"))+((AA34&lt;&gt;"Xn"))=0,"",IF(((AA34&lt;&gt;"Xm"))+((AA34&lt;&gt;"Xp"))+((AA34&lt;&gt;"Xs")*(AA34&lt;&gt;"Cs"))+((AA34&lt;&gt;"Xn"))=4,AA$3&amp;", ",AA$3&amp;IF((AA34&lt;&gt;"Xm"),"_m","")&amp;IF((AA34&lt;&gt;"Xp"),"_p","")&amp;IF((AA34&lt;&gt;"Xs")*(AA34&lt;&gt;"Cs"),"_s","")&amp;IF((AA34&lt;&gt;"Xn"),"_n","")&amp;", ")))</f>
        <v>FABIO, </v>
      </c>
      <c r="AZ34" s="10"/>
      <c r="BA34" s="10" t="str">
        <f aca="false">IF((V34="X")+(V34="F")&gt;0,"",IF(((V34&lt;&gt;"Xm")*(COUNTIFS($C$3:$K$3,"MAT",$C34:$K34,V$3)=0)*(COUNTIFS($C$3:$K$3,"NOTTE",$C34:$K34,V$3)=0))+((V34&lt;&gt;"Xp")*(COUNTIFS($C$3:$K$3,"POM",$C34:$K34,V$3)=0)*(COUNTIFS($C$3:$K$3,"NOTTE",$C34:$K34,V$3)=0))+((V34&lt;&gt;"Xs")*(V34&lt;&gt;"Cs")*(COUNTIFS($C$3:$K$3,"SERA",$C34:$K34,V$3)=0)*(COUNTIFS($C$3:$K$3,"NOTTE",$C34:$K34,V$3)=0))+((V34&lt;&gt;"Xn")*(COUNTIFS($C$3:$K$3,"MAT",$C34:$K34,V$3)=0)*(COUNTIFS($C$3:$K$3,"POM",$C34:$K34,V$3)=0)*(COUNTIFS($C$3:$K$3,"SERA",$C34:$K34,V$3)=0)*(COUNTIFS($C$3:$K$3,"NOTTE",$C34:$K34,V$3)=0))=0,"",IF(((V34&lt;&gt;"Xm")*(COUNTIFS($C$3:$K$3,"MAT",$C34:$K34,V$3)=0)*(COUNTIFS($C$3:$K$3,"NOTTE",$C34:$K34,V$3)=0))+((V34&lt;&gt;"Xp")*(COUNTIFS($C$3:$K$3,"POM",$C34:$K34,V$3)=0)*(COUNTIFS($C$3:$K$3,"NOTTE",$C34:$K34,V$3)=0))+((V34&lt;&gt;"Xs")*(V34&lt;&gt;"Cs")*(COUNTIFS($C$3:$K$3,"SERA",$C34:$K34,V$3)=0)*(COUNTIFS($C$3:$K$3,"NOTTE",$C34:$K34,V$3)=0))+((V34&lt;&gt;"Xn")*(COUNTIFS($C$3:$K$3,"MAT",$C34:$K34,V$3)=0)*(COUNTIFS($C$3:$K$3,"POM",$C34:$K34,V$3)=0)*(COUNTIFS($C$3:$K$3,"SERA",$C34:$K34,V$3)=0)*(COUNTIFS($C$3:$K$3,"NOTTE",$C34:$K34,V$3)=0))=4,V$3&amp;", ",V$3&amp;IF((V34&lt;&gt;"Xm")*(COUNTIFS($C$3:$K$3,"MAT",$C34:$K34,V$3)=0)*(COUNTIFS($C$3:$K$3,"NOTTE",$C34:$K34,V$3)=0),"_m","")&amp;IF((V34&lt;&gt;"Xp")*(COUNTIFS($C$3:$K$3,"POM",$C34:$K34,V$3)=0)*(COUNTIFS($C$3:$K$3,"NOTTE",$C34:$K34,V$3)=0),"_p","")&amp;IF((V34&lt;&gt;"Xs")*(V34&lt;&gt;"Cs")*(COUNTIFS($C$3:$K$3,"SERA",$C34:$K34,V$3)=0)*(COUNTIFS($C$3:$K$3,"NOTTE",$C34:$K34,V$3)=0),"_s","")&amp;IF((V34&lt;&gt;"Xn")*(COUNTIFS($C$3:$K$3,"MAT",$C34:$K34,V$3)=0)*(COUNTIFS($C$3:$K$3,"POM",$C34:$K34,V$3)=0)*(COUNTIFS($C$3:$K$3,"SERA",$C34:$K34,V$3)=0)*(COUNTIFS($C$3:$K$3,"NOTTE",$C34:$K34,V$3)=0),"_n","")&amp;", ")))</f>
        <v>ALBA, </v>
      </c>
      <c r="BB34" s="10" t="str">
        <f aca="false">IF((W34="X")+(W34="F")&gt;0,"",IF(((W34&lt;&gt;"Xm")*(COUNTIFS($C$3:$K$3,"MAT",$C34:$K34,W$3)=0)*(COUNTIFS($C$3:$K$3,"NOTTE",$C34:$K34,W$3)=0))+((W34&lt;&gt;"Xp")*(COUNTIFS($C$3:$K$3,"POM",$C34:$K34,W$3)=0)*(COUNTIFS($C$3:$K$3,"NOTTE",$C34:$K34,W$3)=0))+((W34&lt;&gt;"Xs")*(W34&lt;&gt;"Cs")*(COUNTIFS($C$3:$K$3,"SERA",$C34:$K34,W$3)=0)*(COUNTIFS($C$3:$K$3,"NOTTE",$C34:$K34,W$3)=0))+((W34&lt;&gt;"Xn")*(COUNTIFS($C$3:$K$3,"MAT",$C34:$K34,W$3)=0)*(COUNTIFS($C$3:$K$3,"POM",$C34:$K34,W$3)=0)*(COUNTIFS($C$3:$K$3,"SERA",$C34:$K34,W$3)=0)*(COUNTIFS($C$3:$K$3,"NOTTE",$C34:$K34,W$3)=0))=0,"",IF(((W34&lt;&gt;"Xm")*(COUNTIFS($C$3:$K$3,"MAT",$C34:$K34,W$3)=0)*(COUNTIFS($C$3:$K$3,"NOTTE",$C34:$K34,W$3)=0))+((W34&lt;&gt;"Xp")*(COUNTIFS($C$3:$K$3,"POM",$C34:$K34,W$3)=0)*(COUNTIFS($C$3:$K$3,"NOTTE",$C34:$K34,W$3)=0))+((W34&lt;&gt;"Xs")*(W34&lt;&gt;"Cs")*(COUNTIFS($C$3:$K$3,"SERA",$C34:$K34,W$3)=0)*(COUNTIFS($C$3:$K$3,"NOTTE",$C34:$K34,W$3)=0))+((W34&lt;&gt;"Xn")*(COUNTIFS($C$3:$K$3,"MAT",$C34:$K34,W$3)=0)*(COUNTIFS($C$3:$K$3,"POM",$C34:$K34,W$3)=0)*(COUNTIFS($C$3:$K$3,"SERA",$C34:$K34,W$3)=0)*(COUNTIFS($C$3:$K$3,"NOTTE",$C34:$K34,W$3)=0))=4,W$3&amp;", ",W$3&amp;IF((W34&lt;&gt;"Xm")*(COUNTIFS($C$3:$K$3,"MAT",$C34:$K34,W$3)=0)*(COUNTIFS($C$3:$K$3,"NOTTE",$C34:$K34,W$3)=0),"_m","")&amp;IF((W34&lt;&gt;"Xp")*(COUNTIFS($C$3:$K$3,"POM",$C34:$K34,W$3)=0)*(COUNTIFS($C$3:$K$3,"NOTTE",$C34:$K34,W$3)=0),"_p","")&amp;IF((W34&lt;&gt;"Xs")*(W34&lt;&gt;"Cs")*(COUNTIFS($C$3:$K$3,"SERA",$C34:$K34,W$3)=0)*(COUNTIFS($C$3:$K$3,"NOTTE",$C34:$K34,W$3)=0),"_s","")&amp;IF((W34&lt;&gt;"Xn")*(COUNTIFS($C$3:$K$3,"MAT",$C34:$K34,W$3)=0)*(COUNTIFS($C$3:$K$3,"POM",$C34:$K34,W$3)=0)*(COUNTIFS($C$3:$K$3,"SERA",$C34:$K34,W$3)=0)*(COUNTIFS($C$3:$K$3,"NOTTE",$C34:$K34,W$3)=0),"_n","")&amp;", ")))</f>
        <v>BRUNO, </v>
      </c>
      <c r="BC34" s="10" t="str">
        <f aca="false">IF((X34="X")+(X34="F")&gt;0,"",IF(((X34&lt;&gt;"Xm")*(COUNTIFS($C$3:$K$3,"MAT",$C34:$K34,X$3)=0)*(COUNTIFS($C$3:$K$3,"NOTTE",$C34:$K34,X$3)=0))+((X34&lt;&gt;"Xp")*(COUNTIFS($C$3:$K$3,"POM",$C34:$K34,X$3)=0)*(COUNTIFS($C$3:$K$3,"NOTTE",$C34:$K34,X$3)=0))+((X34&lt;&gt;"Xs")*(X34&lt;&gt;"Cs")*(COUNTIFS($C$3:$K$3,"SERA",$C34:$K34,X$3)=0)*(COUNTIFS($C$3:$K$3,"NOTTE",$C34:$K34,X$3)=0))+((X34&lt;&gt;"Xn")*(COUNTIFS($C$3:$K$3,"MAT",$C34:$K34,X$3)=0)*(COUNTIFS($C$3:$K$3,"POM",$C34:$K34,X$3)=0)*(COUNTIFS($C$3:$K$3,"SERA",$C34:$K34,X$3)=0)*(COUNTIFS($C$3:$K$3,"NOTTE",$C34:$K34,X$3)=0))=0,"",IF(((X34&lt;&gt;"Xm")*(COUNTIFS($C$3:$K$3,"MAT",$C34:$K34,X$3)=0)*(COUNTIFS($C$3:$K$3,"NOTTE",$C34:$K34,X$3)=0))+((X34&lt;&gt;"Xp")*(COUNTIFS($C$3:$K$3,"POM",$C34:$K34,X$3)=0)*(COUNTIFS($C$3:$K$3,"NOTTE",$C34:$K34,X$3)=0))+((X34&lt;&gt;"Xs")*(X34&lt;&gt;"Cs")*(COUNTIFS($C$3:$K$3,"SERA",$C34:$K34,X$3)=0)*(COUNTIFS($C$3:$K$3,"NOTTE",$C34:$K34,X$3)=0))+((X34&lt;&gt;"Xn")*(COUNTIFS($C$3:$K$3,"MAT",$C34:$K34,X$3)=0)*(COUNTIFS($C$3:$K$3,"POM",$C34:$K34,X$3)=0)*(COUNTIFS($C$3:$K$3,"SERA",$C34:$K34,X$3)=0)*(COUNTIFS($C$3:$K$3,"NOTTE",$C34:$K34,X$3)=0))=4,X$3&amp;", ",X$3&amp;IF((X34&lt;&gt;"Xm")*(COUNTIFS($C$3:$K$3,"MAT",$C34:$K34,X$3)=0)*(COUNTIFS($C$3:$K$3,"NOTTE",$C34:$K34,X$3)=0),"_m","")&amp;IF((X34&lt;&gt;"Xp")*(COUNTIFS($C$3:$K$3,"POM",$C34:$K34,X$3)=0)*(COUNTIFS($C$3:$K$3,"NOTTE",$C34:$K34,X$3)=0),"_p","")&amp;IF((X34&lt;&gt;"Xs")*(X34&lt;&gt;"Cs")*(COUNTIFS($C$3:$K$3,"SERA",$C34:$K34,X$3)=0)*(COUNTIFS($C$3:$K$3,"NOTTE",$C34:$K34,X$3)=0),"_s","")&amp;IF((X34&lt;&gt;"Xn")*(COUNTIFS($C$3:$K$3,"MAT",$C34:$K34,X$3)=0)*(COUNTIFS($C$3:$K$3,"POM",$C34:$K34,X$3)=0)*(COUNTIFS($C$3:$K$3,"SERA",$C34:$K34,X$3)=0)*(COUNTIFS($C$3:$K$3,"NOTTE",$C34:$K34,X$3)=0),"_n","")&amp;", ")))</f>
        <v>CARLA, </v>
      </c>
      <c r="BD34" s="10" t="str">
        <f aca="false">IF((Y34="X")+(Y34="F")&gt;0,"",IF(((Y34&lt;&gt;"Xm")*(COUNTIFS($C$3:$K$3,"MAT",$C34:$K34,Y$3)=0)*(COUNTIFS($C$3:$K$3,"NOTTE",$C34:$K34,Y$3)=0))+((Y34&lt;&gt;"Xp")*(COUNTIFS($C$3:$K$3,"POM",$C34:$K34,Y$3)=0)*(COUNTIFS($C$3:$K$3,"NOTTE",$C34:$K34,Y$3)=0))+((Y34&lt;&gt;"Xs")*(Y34&lt;&gt;"Cs")*(COUNTIFS($C$3:$K$3,"SERA",$C34:$K34,Y$3)=0)*(COUNTIFS($C$3:$K$3,"NOTTE",$C34:$K34,Y$3)=0))+((Y34&lt;&gt;"Xn")*(COUNTIFS($C$3:$K$3,"MAT",$C34:$K34,Y$3)=0)*(COUNTIFS($C$3:$K$3,"POM",$C34:$K34,Y$3)=0)*(COUNTIFS($C$3:$K$3,"SERA",$C34:$K34,Y$3)=0)*(COUNTIFS($C$3:$K$3,"NOTTE",$C34:$K34,Y$3)=0))=0,"",IF(((Y34&lt;&gt;"Xm")*(COUNTIFS($C$3:$K$3,"MAT",$C34:$K34,Y$3)=0)*(COUNTIFS($C$3:$K$3,"NOTTE",$C34:$K34,Y$3)=0))+((Y34&lt;&gt;"Xp")*(COUNTIFS($C$3:$K$3,"POM",$C34:$K34,Y$3)=0)*(COUNTIFS($C$3:$K$3,"NOTTE",$C34:$K34,Y$3)=0))+((Y34&lt;&gt;"Xs")*(Y34&lt;&gt;"Cs")*(COUNTIFS($C$3:$K$3,"SERA",$C34:$K34,Y$3)=0)*(COUNTIFS($C$3:$K$3,"NOTTE",$C34:$K34,Y$3)=0))+((Y34&lt;&gt;"Xn")*(COUNTIFS($C$3:$K$3,"MAT",$C34:$K34,Y$3)=0)*(COUNTIFS($C$3:$K$3,"POM",$C34:$K34,Y$3)=0)*(COUNTIFS($C$3:$K$3,"SERA",$C34:$K34,Y$3)=0)*(COUNTIFS($C$3:$K$3,"NOTTE",$C34:$K34,Y$3)=0))=4,Y$3&amp;", ",Y$3&amp;IF((Y34&lt;&gt;"Xm")*(COUNTIFS($C$3:$K$3,"MAT",$C34:$K34,Y$3)=0)*(COUNTIFS($C$3:$K$3,"NOTTE",$C34:$K34,Y$3)=0),"_m","")&amp;IF((Y34&lt;&gt;"Xp")*(COUNTIFS($C$3:$K$3,"POM",$C34:$K34,Y$3)=0)*(COUNTIFS($C$3:$K$3,"NOTTE",$C34:$K34,Y$3)=0),"_p","")&amp;IF((Y34&lt;&gt;"Xs")*(Y34&lt;&gt;"Cs")*(COUNTIFS($C$3:$K$3,"SERA",$C34:$K34,Y$3)=0)*(COUNTIFS($C$3:$K$3,"NOTTE",$C34:$K34,Y$3)=0),"_s","")&amp;IF((Y34&lt;&gt;"Xn")*(COUNTIFS($C$3:$K$3,"MAT",$C34:$K34,Y$3)=0)*(COUNTIFS($C$3:$K$3,"POM",$C34:$K34,Y$3)=0)*(COUNTIFS($C$3:$K$3,"SERA",$C34:$K34,Y$3)=0)*(COUNTIFS($C$3:$K$3,"NOTTE",$C34:$K34,Y$3)=0),"_n","")&amp;", ")))</f>
        <v>DINO, </v>
      </c>
      <c r="BE34" s="10" t="str">
        <f aca="false">IF((Z34="X")+(Z34="F")&gt;0,"",IF(((Z34&lt;&gt;"Xm")*(COUNTIFS($C$3:$K$3,"MAT",$C34:$K34,Z$3)=0)*(COUNTIFS($C$3:$K$3,"NOTTE",$C34:$K34,Z$3)=0))+((Z34&lt;&gt;"Xp")*(COUNTIFS($C$3:$K$3,"POM",$C34:$K34,Z$3)=0)*(COUNTIFS($C$3:$K$3,"NOTTE",$C34:$K34,Z$3)=0))+((Z34&lt;&gt;"Xs")*(Z34&lt;&gt;"Cs")*(COUNTIFS($C$3:$K$3,"SERA",$C34:$K34,Z$3)=0)*(COUNTIFS($C$3:$K$3,"NOTTE",$C34:$K34,Z$3)=0))+((Z34&lt;&gt;"Xn")*(COUNTIFS($C$3:$K$3,"MAT",$C34:$K34,Z$3)=0)*(COUNTIFS($C$3:$K$3,"POM",$C34:$K34,Z$3)=0)*(COUNTIFS($C$3:$K$3,"SERA",$C34:$K34,Z$3)=0)*(COUNTIFS($C$3:$K$3,"NOTTE",$C34:$K34,Z$3)=0))=0,"",IF(((Z34&lt;&gt;"Xm")*(COUNTIFS($C$3:$K$3,"MAT",$C34:$K34,Z$3)=0)*(COUNTIFS($C$3:$K$3,"NOTTE",$C34:$K34,Z$3)=0))+((Z34&lt;&gt;"Xp")*(COUNTIFS($C$3:$K$3,"POM",$C34:$K34,Z$3)=0)*(COUNTIFS($C$3:$K$3,"NOTTE",$C34:$K34,Z$3)=0))+((Z34&lt;&gt;"Xs")*(Z34&lt;&gt;"Cs")*(COUNTIFS($C$3:$K$3,"SERA",$C34:$K34,Z$3)=0)*(COUNTIFS($C$3:$K$3,"NOTTE",$C34:$K34,Z$3)=0))+((Z34&lt;&gt;"Xn")*(COUNTIFS($C$3:$K$3,"MAT",$C34:$K34,Z$3)=0)*(COUNTIFS($C$3:$K$3,"POM",$C34:$K34,Z$3)=0)*(COUNTIFS($C$3:$K$3,"SERA",$C34:$K34,Z$3)=0)*(COUNTIFS($C$3:$K$3,"NOTTE",$C34:$K34,Z$3)=0))=4,Z$3&amp;", ",Z$3&amp;IF((Z34&lt;&gt;"Xm")*(COUNTIFS($C$3:$K$3,"MAT",$C34:$K34,Z$3)=0)*(COUNTIFS($C$3:$K$3,"NOTTE",$C34:$K34,Z$3)=0),"_m","")&amp;IF((Z34&lt;&gt;"Xp")*(COUNTIFS($C$3:$K$3,"POM",$C34:$K34,Z$3)=0)*(COUNTIFS($C$3:$K$3,"NOTTE",$C34:$K34,Z$3)=0),"_p","")&amp;IF((Z34&lt;&gt;"Xs")*(Z34&lt;&gt;"Cs")*(COUNTIFS($C$3:$K$3,"SERA",$C34:$K34,Z$3)=0)*(COUNTIFS($C$3:$K$3,"NOTTE",$C34:$K34,Z$3)=0),"_s","")&amp;IF((Z34&lt;&gt;"Xn")*(COUNTIFS($C$3:$K$3,"MAT",$C34:$K34,Z$3)=0)*(COUNTIFS($C$3:$K$3,"POM",$C34:$K34,Z$3)=0)*(COUNTIFS($C$3:$K$3,"SERA",$C34:$K34,Z$3)=0)*(COUNTIFS($C$3:$K$3,"NOTTE",$C34:$K34,Z$3)=0),"_n","")&amp;", ")))</f>
        <v>ELSA, </v>
      </c>
      <c r="BF34" s="10" t="str">
        <f aca="false">IF((AA34="X")+(AA34="F")&gt;0,"",IF(((AA34&lt;&gt;"Xm")*(COUNTIFS($C$3:$K$3,"MAT",$C34:$K34,AA$3)=0)*(COUNTIFS($C$3:$K$3,"NOTTE",$C34:$K34,AA$3)=0))+((AA34&lt;&gt;"Xp")*(COUNTIFS($C$3:$K$3,"POM",$C34:$K34,AA$3)=0)*(COUNTIFS($C$3:$K$3,"NOTTE",$C34:$K34,AA$3)=0))+((AA34&lt;&gt;"Xs")*(AA34&lt;&gt;"Cs")*(COUNTIFS($C$3:$K$3,"SERA",$C34:$K34,AA$3)=0)*(COUNTIFS($C$3:$K$3,"NOTTE",$C34:$K34,AA$3)=0))+((AA34&lt;&gt;"Xn")*(COUNTIFS($C$3:$K$3,"MAT",$C34:$K34,AA$3)=0)*(COUNTIFS($C$3:$K$3,"POM",$C34:$K34,AA$3)=0)*(COUNTIFS($C$3:$K$3,"SERA",$C34:$K34,AA$3)=0)*(COUNTIFS($C$3:$K$3,"NOTTE",$C34:$K34,AA$3)=0))=0,"",IF(((AA34&lt;&gt;"Xm")*(COUNTIFS($C$3:$K$3,"MAT",$C34:$K34,AA$3)=0)*(COUNTIFS($C$3:$K$3,"NOTTE",$C34:$K34,AA$3)=0))+((AA34&lt;&gt;"Xp")*(COUNTIFS($C$3:$K$3,"POM",$C34:$K34,AA$3)=0)*(COUNTIFS($C$3:$K$3,"NOTTE",$C34:$K34,AA$3)=0))+((AA34&lt;&gt;"Xs")*(AA34&lt;&gt;"Cs")*(COUNTIFS($C$3:$K$3,"SERA",$C34:$K34,AA$3)=0)*(COUNTIFS($C$3:$K$3,"NOTTE",$C34:$K34,AA$3)=0))+((AA34&lt;&gt;"Xn")*(COUNTIFS($C$3:$K$3,"MAT",$C34:$K34,AA$3)=0)*(COUNTIFS($C$3:$K$3,"POM",$C34:$K34,AA$3)=0)*(COUNTIFS($C$3:$K$3,"SERA",$C34:$K34,AA$3)=0)*(COUNTIFS($C$3:$K$3,"NOTTE",$C34:$K34,AA$3)=0))=4,AA$3&amp;", ",AA$3&amp;IF((AA34&lt;&gt;"Xm")*(COUNTIFS($C$3:$K$3,"MAT",$C34:$K34,AA$3)=0)*(COUNTIFS($C$3:$K$3,"NOTTE",$C34:$K34,AA$3)=0),"_m","")&amp;IF((AA34&lt;&gt;"Xp")*(COUNTIFS($C$3:$K$3,"POM",$C34:$K34,AA$3)=0)*(COUNTIFS($C$3:$K$3,"NOTTE",$C34:$K34,AA$3)=0),"_p","")&amp;IF((AA34&lt;&gt;"Xs")*(AA34&lt;&gt;"Cs")*(COUNTIFS($C$3:$K$3,"SERA",$C34:$K34,AA$3)=0)*(COUNTIFS($C$3:$K$3,"NOTTE",$C34:$K34,AA$3)=0),"_s","")&amp;IF((AA34&lt;&gt;"Xn")*(COUNTIFS($C$3:$K$3,"MAT",$C34:$K34,AA$3)=0)*(COUNTIFS($C$3:$K$3,"POM",$C34:$K34,AA$3)=0)*(COUNTIFS($C$3:$K$3,"SERA",$C34:$K34,AA$3)=0)*(COUNTIFS($C$3:$K$3,"NOTTE",$C34:$K34,AA$3)=0),"_n","")&amp;", ")))</f>
        <v>FABIO, </v>
      </c>
    </row>
  </sheetData>
  <mergeCells count="9">
    <mergeCell ref="C2:E2"/>
    <mergeCell ref="F2:H2"/>
    <mergeCell ref="I2:J2"/>
    <mergeCell ref="T2:AA2"/>
    <mergeCell ref="AC2:AD2"/>
    <mergeCell ref="AF2:AK2"/>
    <mergeCell ref="AM2:AR2"/>
    <mergeCell ref="AT2:AY2"/>
    <mergeCell ref="BA2:BF2"/>
  </mergeCells>
  <dataValidations count="1">
    <dataValidation allowBlank="true" error="Codice non ammesso: seleziona un valore dall'elenco" errorStyle="stop" errorTitle="Codice non ammesso" operator="between" prompt="X = non disponibile tutto il giorno | Xm = non disponibile la mattina | Xp = non disponibile il pomeriggio | Xs = non disponibile in SERA | Xn = non disponibile la notte | Cs = corso serale: blocca la sera | F = ferie: blocca tutto il giorno" promptTitle="Codici ammessi" showDropDown="false" showErrorMessage="true" showInputMessage="true" sqref="V4:AA34" type="list">
      <formula1>"X,Xm,Xp,Xs,Xn,Cs,F"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2026-09-06T06:05:26Z</dcterms:created>
  <dc:creator>openpyxl</dc:creator>
  <dc:description/>
  <dc:language>en-US</dc:language>
  <cp:lastModifiedBy/>
  <dcterms:modified xsi:type="dcterms:W3CDTF">2026-09-06T06:05:26Z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