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embr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<sst xmlns="http://schemas.openxmlformats.org/spreadsheetml/2006/main" count="463" uniqueCount="55">
  <si>
    <t xml:space="preserve">NOVEMBRE</t>
  </si>
  <si>
    <t xml:space="preserve">STANZA 23</t>
  </si>
  <si>
    <t xml:space="preserve">STANZA 24</t>
  </si>
  <si>
    <t xml:space="preserve">STANZA 25</t>
  </si>
  <si>
    <t xml:space="preserve">STANZA 26</t>
  </si>
  <si>
    <t xml:space="preserve">STANZA 43</t>
  </si>
  <si>
    <t xml:space="preserve">STANZA 31</t>
  </si>
  <si>
    <t xml:space="preserve">AMB ESTERNO</t>
  </si>
  <si>
    <t xml:space="preserve">GUARDIA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</si>
  <si>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</si>
  <si>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</si>
  <si>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</si>
  <si>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</si>
  <si>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APPOGGIO DISPONIBILI — non modificare</t>
  </si>
  <si>
    <t xml:space="preserve">APPOGGIO LIBERI — non modificare</t>
  </si>
  <si>
    <t xml:space="preserve">MAT</t>
  </si>
  <si>
    <t xml:space="preserve">POM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</si>
  <si>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</si>
  <si>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</si>
  <si>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</si>
  <si>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</si>
  <si>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</si>
  <si>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</si>
  <si>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LEONI</t>
  </si>
  <si>
    <t xml:space="preserve">ROSSI M</t>
  </si>
  <si>
    <t xml:space="preserve">ROSSI L</t>
  </si>
  <si>
    <t xml:space="preserve">GALLINA</t>
  </si>
  <si>
    <t xml:space="preserve">RUSSO</t>
  </si>
  <si>
    <t xml:space="preserve">VERDI</t>
  </si>
  <si>
    <t xml:space="preserve">HU</t>
  </si>
  <si>
    <t xml:space="preserve">MARINI</t>
  </si>
  <si>
    <t xml:space="preserve">CONTI A</t>
  </si>
  <si>
    <t xml:space="preserve">CONTI S</t>
  </si>
  <si>
    <t xml:space="preserve">FERRARI</t>
  </si>
  <si>
    <t xml:space="preserve">GRECO</t>
  </si>
  <si>
    <t xml:space="preserve">SANNA</t>
  </si>
  <si>
    <t xml:space="preserve">LI</t>
  </si>
  <si>
    <t xml:space="preserve">CODICE</t>
  </si>
  <si>
    <t xml:space="preserve">SIGNIFICATO</t>
  </si>
  <si>
    <t xml:space="preserve">PERSONA</t>
  </si>
  <si>
    <t xml:space="preserve">TOTALE</t>
  </si>
  <si>
    <t xml:space="preserve">Xn</t>
  </si>
  <si>
    <t xml:space="preserve">X</t>
  </si>
  <si>
    <t xml:space="preserve">Xp</t>
  </si>
  <si>
    <t xml:space="preserve">Gn</t>
  </si>
  <si>
    <t xml:space="preserve">non disponibile tutto il giorno</t>
  </si>
  <si>
    <t xml:space="preserve">Xm</t>
  </si>
  <si>
    <t xml:space="preserve">non disponibile la mattina</t>
  </si>
  <si>
    <t xml:space="preserve">non disponibile il pomeriggio</t>
  </si>
  <si>
    <t xml:space="preserve">non disponibile la notte</t>
  </si>
  <si>
    <t xml:space="preserve">guardia notte in altra sede: blocca tutto il giorno stesso e tutto il giorno successivo (non è la GUARDIA interna, che si assegna nelle colonne dei turni)</t>
  </si>
  <si>
    <t xml:space="preserve">C</t>
  </si>
  <si>
    <t xml:space="preserve">congresso: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</si>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</sst>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10" min="3" style="1" width="9"/>
    <col collapsed="false" customWidth="true" hidden="false" outlineLevel="0" max="12" min="11" style="1" width="11"/>
    <col collapsed="false" customWidth="true" hidden="false" outlineLevel="0" max="13" min="13" style="1" width="13"/>
    <col collapsed="false" customWidth="true" hidden="false" outlineLevel="0" max="16" min="14" style="1" width="9"/>
    <col collapsed="false" customWidth="true" hidden="false" outlineLevel="0" max="17" min="17" style="1" width="3"/>
    <col collapsed="false" customWidth="true" hidden="false" outlineLevel="0" max="18" min="18" style="1" width="11"/>
    <col collapsed="false" customWidth="true" hidden="false" outlineLevel="0" max="19" min="19" style="1" width="106"/>
    <col collapsed="false" customWidth="true" hidden="false" outlineLevel="0" max="20" min="20" style="1" width="162"/>
    <col collapsed="false" customWidth="true" hidden="false" outlineLevel="0" max="25" min="25" style="1" width="11"/>
    <col collapsed="false" customWidth="true" hidden="false" outlineLevel="0" max="26" min="26" style="1" width="6"/>
    <col collapsed="false" customWidth="true" hidden="false" outlineLevel="0" max="27" min="27" style="1" width="7"/>
    <col collapsed="false" customWidth="true" hidden="false" outlineLevel="0" max="30" min="28" style="1" width="9"/>
    <col collapsed="false" customWidth="true" hidden="false" outlineLevel="0" max="32" min="31" style="1" width="7"/>
    <col collapsed="false" customWidth="true" hidden="false" outlineLevel="0" max="33" min="33" style="1" width="6"/>
    <col collapsed="false" customWidth="true" hidden="false" outlineLevel="0" max="34" min="34" style="1" width="8"/>
    <col collapsed="false" customWidth="true" hidden="false" outlineLevel="0" max="37" min="35" style="1" width="9"/>
    <col collapsed="false" customWidth="true" hidden="false" outlineLevel="0" max="39" min="38" style="1" width="7"/>
    <col collapsed="false" customWidth="true" hidden="false" outlineLevel="0" max="40" min="40" style="1" width="6"/>
    <col collapsed="false" customWidth="true" hidden="false" outlineLevel="0" max="42" min="42" style="1" width="8"/>
    <col collapsed="false" customWidth="true" hidden="false" outlineLevel="0" max="43" min="43" style="1" width="156"/>
    <col collapsed="false" customWidth="true" hidden="false" outlineLevel="0" max="45" min="45" style="1" width="20"/>
    <col collapsed="false" customWidth="true" hidden="false" outlineLevel="0" max="51" min="46" style="1" width="11"/>
    <col collapsed="false" customWidth="true" hidden="false" outlineLevel="0" max="52" min="52" style="1" width="13"/>
    <col collapsed="false" customWidth="true" hidden="false" outlineLevel="0" max="53" min="53" style="1" width="9"/>
    <col collapsed="false" customWidth="true" hidden="false" outlineLevel="0" max="54" min="54" style="1" width="8"/>
    <col collapsed="false" customWidth="true" hidden="false" outlineLevel="0" max="56" min="56" style="1" width="20"/>
    <col collapsed="false" customWidth="true" hidden="false" outlineLevel="0" max="62" min="57" style="1" width="11"/>
    <col collapsed="false" customWidth="true" hidden="false" outlineLevel="0" max="63" min="63" style="1" width="13"/>
    <col collapsed="false" customWidth="true" hidden="false" outlineLevel="0" max="64" min="64" style="1" width="9"/>
    <col collapsed="false" customWidth="true" hidden="false" outlineLevel="0" max="65" min="65" style="1" width="8"/>
    <col collapsed="false" customWidth="true" hidden="false" outlineLevel="0" max="80" min="67" style="1" width="12"/>
    <col collapsed="false" customWidth="true" hidden="false" outlineLevel="0" max="95" min="82" style="1" width="12"/>
  </cols>
  <sheetData>
    <row r="1" customFormat="false" ht="15" hidden="false" customHeight="true" outlineLevel="0" collapsed="false">
      <c r="A1" s="2" t="s">
        <v>0</v>
      </c>
      <c r="B1" s="2" t="n">
        <v>2026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5" hidden="false" customHeight="true" outlineLevel="0" collapsed="false">
      <c r="A2" s="2" t="n">
        <v>11</v>
      </c>
      <c r="B2" s="2"/>
      <c r="C2" s="3" t="s">
        <v>1</v>
      </c>
      <c r="D2" s="3"/>
      <c r="E2" s="3" t="s">
        <v>2</v>
      </c>
      <c r="F2" s="3"/>
      <c r="G2" s="3" t="s">
        <v>3</v>
      </c>
      <c r="H2" s="3"/>
      <c r="I2" s="3" t="s">
        <v>4</v>
      </c>
      <c r="J2" s="3"/>
      <c r="K2" s="2" t="s">
        <v>5</v>
      </c>
      <c r="L2" s="2" t="s">
        <v>6</v>
      </c>
      <c r="M2" s="2" t="s">
        <v>7</v>
      </c>
      <c r="N2" s="3" t="s">
        <v>8</v>
      </c>
      <c r="O2" s="3"/>
      <c r="P2" s="3"/>
      <c r="Q2" s="2"/>
      <c r="R2" s="2"/>
      <c r="S2" s="2"/>
      <c r="T2" s="2"/>
      <c r="U2" s="2"/>
      <c r="V2" s="2"/>
      <c r="W2" s="2"/>
      <c r="X2" s="2"/>
      <c r="Y2" s="3" t="s">
        <v>9</v>
      </c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P2" s="4" t="s">
        <v>10</v>
      </c>
      <c r="AQ2" s="4"/>
      <c r="AS2" s="5" t="s">
        <v>11</v>
      </c>
      <c r="AT2" s="5"/>
      <c r="AU2" s="5"/>
      <c r="AV2" s="5"/>
      <c r="AW2" s="5"/>
      <c r="AX2" s="5"/>
      <c r="AY2" s="5"/>
      <c r="AZ2" s="5"/>
      <c r="BA2" s="5"/>
      <c r="BB2" s="5"/>
      <c r="BD2" s="5" t="s">
        <v>12</v>
      </c>
      <c r="BE2" s="5"/>
      <c r="BF2" s="5"/>
      <c r="BG2" s="5"/>
      <c r="BH2" s="5"/>
      <c r="BI2" s="5"/>
      <c r="BJ2" s="5"/>
      <c r="BK2" s="5"/>
      <c r="BL2" s="5"/>
      <c r="BM2" s="5"/>
      <c r="BO2" s="6" t="s">
        <v>13</v>
      </c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D2" s="6" t="s">
        <v>14</v>
      </c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</row>
    <row r="3" customFormat="false" ht="15" hidden="false" customHeight="true" outlineLevel="0" collapsed="false">
      <c r="A3" s="5"/>
      <c r="B3" s="5"/>
      <c r="C3" s="5" t="s">
        <v>15</v>
      </c>
      <c r="D3" s="5" t="s">
        <v>16</v>
      </c>
      <c r="E3" s="5" t="s">
        <v>15</v>
      </c>
      <c r="F3" s="5" t="s">
        <v>16</v>
      </c>
      <c r="G3" s="5" t="s">
        <v>15</v>
      </c>
      <c r="H3" s="5" t="s">
        <v>16</v>
      </c>
      <c r="I3" s="5" t="s">
        <v>15</v>
      </c>
      <c r="J3" s="5" t="s">
        <v>16</v>
      </c>
      <c r="K3" s="5" t="s">
        <v>15</v>
      </c>
      <c r="L3" s="5" t="s">
        <v>15</v>
      </c>
      <c r="M3" s="5" t="s">
        <v>16</v>
      </c>
      <c r="N3" s="5" t="s">
        <v>15</v>
      </c>
      <c r="O3" s="5" t="s">
        <v>16</v>
      </c>
      <c r="P3" s="5" t="s">
        <v>17</v>
      </c>
      <c r="Q3" s="5"/>
      <c r="R3" s="5" t="s">
        <v>18</v>
      </c>
      <c r="S3" s="5" t="s">
        <v>19</v>
      </c>
      <c r="T3" s="5" t="s">
        <v>20</v>
      </c>
      <c r="U3" s="5"/>
      <c r="V3" s="5"/>
      <c r="W3" s="5"/>
      <c r="X3" s="5"/>
      <c r="Y3" s="5" t="s">
        <v>21</v>
      </c>
      <c r="Z3" s="5" t="s">
        <v>22</v>
      </c>
      <c r="AA3" s="5" t="s">
        <v>23</v>
      </c>
      <c r="AB3" s="5" t="s">
        <v>24</v>
      </c>
      <c r="AC3" s="5" t="s">
        <v>25</v>
      </c>
      <c r="AD3" s="5" t="s">
        <v>26</v>
      </c>
      <c r="AE3" s="5" t="s">
        <v>27</v>
      </c>
      <c r="AF3" s="5" t="s">
        <v>28</v>
      </c>
      <c r="AG3" s="5" t="s">
        <v>29</v>
      </c>
      <c r="AH3" s="5" t="s">
        <v>30</v>
      </c>
      <c r="AI3" s="5" t="s">
        <v>31</v>
      </c>
      <c r="AJ3" s="5" t="s">
        <v>32</v>
      </c>
      <c r="AK3" s="5" t="s">
        <v>33</v>
      </c>
      <c r="AL3" s="5" t="s">
        <v>34</v>
      </c>
      <c r="AM3" s="5" t="s">
        <v>35</v>
      </c>
      <c r="AN3" s="5" t="s">
        <v>36</v>
      </c>
      <c r="AP3" s="4" t="s">
        <v>37</v>
      </c>
      <c r="AQ3" s="4" t="s">
        <v>38</v>
      </c>
      <c r="AS3" s="5" t="s">
        <v>39</v>
      </c>
      <c r="AT3" s="5" t="s">
        <v>1</v>
      </c>
      <c r="AU3" s="5" t="s">
        <v>2</v>
      </c>
      <c r="AV3" s="5" t="s">
        <v>3</v>
      </c>
      <c r="AW3" s="5" t="s">
        <v>4</v>
      </c>
      <c r="AX3" s="5" t="s">
        <v>5</v>
      </c>
      <c r="AY3" s="5" t="s">
        <v>6</v>
      </c>
      <c r="AZ3" s="5" t="s">
        <v>7</v>
      </c>
      <c r="BA3" s="5" t="s">
        <v>8</v>
      </c>
      <c r="BB3" s="5" t="s">
        <v>40</v>
      </c>
      <c r="BD3" s="5" t="s">
        <v>39</v>
      </c>
      <c r="BE3" s="5" t="s">
        <v>1</v>
      </c>
      <c r="BF3" s="5" t="s">
        <v>2</v>
      </c>
      <c r="BG3" s="5" t="s">
        <v>3</v>
      </c>
      <c r="BH3" s="5" t="s">
        <v>4</v>
      </c>
      <c r="BI3" s="5" t="s">
        <v>5</v>
      </c>
      <c r="BJ3" s="5" t="s">
        <v>6</v>
      </c>
      <c r="BK3" s="5" t="s">
        <v>7</v>
      </c>
      <c r="BL3" s="5" t="s">
        <v>8</v>
      </c>
      <c r="BM3" s="5" t="s">
        <v>40</v>
      </c>
      <c r="BO3" s="7" t="str">
        <f aca="false">AA$3</f>
        <v>LEONI</v>
      </c>
      <c r="BP3" s="7" t="str">
        <f aca="false">AB$3</f>
        <v>ROSSI M</v>
      </c>
      <c r="BQ3" s="7" t="str">
        <f aca="false">AC$3</f>
        <v>ROSSI L</v>
      </c>
      <c r="BR3" s="7" t="str">
        <f aca="false">AD$3</f>
        <v>GALLINA</v>
      </c>
      <c r="BS3" s="7" t="str">
        <f aca="false">AE$3</f>
        <v>RUSSO</v>
      </c>
      <c r="BT3" s="7" t="str">
        <f aca="false">AF$3</f>
        <v>VERDI</v>
      </c>
      <c r="BU3" s="7" t="str">
        <f aca="false">AG$3</f>
        <v>HU</v>
      </c>
      <c r="BV3" s="7" t="str">
        <f aca="false">AH$3</f>
        <v>MARINI</v>
      </c>
      <c r="BW3" s="7" t="str">
        <f aca="false">AI$3</f>
        <v>CONTI A</v>
      </c>
      <c r="BX3" s="7" t="str">
        <f aca="false">AJ$3</f>
        <v>CONTI S</v>
      </c>
      <c r="BY3" s="7" t="str">
        <f aca="false">AK$3</f>
        <v>FERRARI</v>
      </c>
      <c r="BZ3" s="7" t="str">
        <f aca="false">AL$3</f>
        <v>GRECO</v>
      </c>
      <c r="CA3" s="7" t="str">
        <f aca="false">AM$3</f>
        <v>SANNA</v>
      </c>
      <c r="CB3" s="7" t="str">
        <f aca="false">AN$3</f>
        <v>LI</v>
      </c>
      <c r="CD3" s="7" t="str">
        <f aca="false">AA$3</f>
        <v>LEONI</v>
      </c>
      <c r="CE3" s="7" t="str">
        <f aca="false">AB$3</f>
        <v>ROSSI M</v>
      </c>
      <c r="CF3" s="7" t="str">
        <f aca="false">AC$3</f>
        <v>ROSSI L</v>
      </c>
      <c r="CG3" s="7" t="str">
        <f aca="false">AD$3</f>
        <v>GALLINA</v>
      </c>
      <c r="CH3" s="7" t="str">
        <f aca="false">AE$3</f>
        <v>RUSSO</v>
      </c>
      <c r="CI3" s="7" t="str">
        <f aca="false">AF$3</f>
        <v>VERDI</v>
      </c>
      <c r="CJ3" s="7" t="str">
        <f aca="false">AG$3</f>
        <v>HU</v>
      </c>
      <c r="CK3" s="7" t="str">
        <f aca="false">AH$3</f>
        <v>MARINI</v>
      </c>
      <c r="CL3" s="7" t="str">
        <f aca="false">AI$3</f>
        <v>CONTI A</v>
      </c>
      <c r="CM3" s="7" t="str">
        <f aca="false">AJ$3</f>
        <v>CONTI S</v>
      </c>
      <c r="CN3" s="7" t="str">
        <f aca="false">AK$3</f>
        <v>FERRARI</v>
      </c>
      <c r="CO3" s="7" t="str">
        <f aca="false">AL$3</f>
        <v>GRECO</v>
      </c>
      <c r="CP3" s="7" t="str">
        <f aca="false">AM$3</f>
        <v>SANNA</v>
      </c>
      <c r="CQ3" s="7" t="str">
        <f aca="false">AN$3</f>
        <v>LI</v>
      </c>
    </row>
    <row r="4" customFormat="false" ht="15" hidden="false" customHeight="true" outlineLevel="0" collapsed="false">
      <c r="A4" s="8" t="str">
        <f aca="false">CHOOSE(WEEKDAY(DATE($B$1,$A$2,B4),2),"lunedì","martedì","mercoledì","giovedì","venerdì","sabato","domenica")</f>
        <v>domenica</v>
      </c>
      <c r="B4" s="8" t="n">
        <v>1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 t="s">
        <v>27</v>
      </c>
      <c r="O4" s="8" t="s">
        <v>27</v>
      </c>
      <c r="P4" s="8" t="s">
        <v>24</v>
      </c>
      <c r="Q4" s="8"/>
      <c r="R4" s="8" t="str">
        <f aca="false">IF(SUMPRODUCT(($C$3:$P$3&lt;&gt;"")*($C4:$P4&lt;&gt;"")*(COUNTIFS($C4:$P4,$C4:$P4,$C$3:$P$3,$C$3:$P$3)&gt;1))&gt;0,"X","")</f>
        <v/>
      </c>
      <c r="S4" s="9" t="str">
        <f aca="false"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LEONI_m_p, ROSSI M, GALLINA, RUSSO, VERDI, HU, MARINI, CONTI A, CONTI S, FERRARI_m_n, GRECO, SANNA</v>
      </c>
      <c r="T4" s="9" t="str">
        <f aca="false"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LEONI_m_p, GALLINA, VERDI, HU, MARINI, CONTI A, CONTI S, FERRARI_m_n, GRECO, SANNA</v>
      </c>
      <c r="Y4" s="8" t="str">
        <f aca="false">A4</f>
        <v>domenica</v>
      </c>
      <c r="Z4" s="8" t="n">
        <f aca="false">B4</f>
        <v>1</v>
      </c>
      <c r="AA4" s="10" t="s">
        <v>41</v>
      </c>
      <c r="AB4" s="10"/>
      <c r="AC4" s="10" t="s">
        <v>42</v>
      </c>
      <c r="AD4" s="10"/>
      <c r="AE4" s="10"/>
      <c r="AF4" s="10"/>
      <c r="AG4" s="10"/>
      <c r="AH4" s="10"/>
      <c r="AI4" s="10"/>
      <c r="AJ4" s="10"/>
      <c r="AK4" s="10" t="s">
        <v>43</v>
      </c>
      <c r="AL4" s="10"/>
      <c r="AM4" s="10"/>
      <c r="AN4" s="10" t="s">
        <v>44</v>
      </c>
      <c r="AP4" s="11" t="s">
        <v>42</v>
      </c>
      <c r="AQ4" s="12" t="s">
        <v>45</v>
      </c>
      <c r="AS4" s="13" t="str">
        <f aca="false">AA$3</f>
        <v>LEONI</v>
      </c>
      <c r="AT4" s="13" t="n">
        <f aca="false">COUNTIF($C$4:$D$33,$AS4)</f>
        <v>23</v>
      </c>
      <c r="AU4" s="13" t="n">
        <f aca="false">COUNTIF($E$4:$F$33,$AS4)</f>
        <v>0</v>
      </c>
      <c r="AV4" s="13" t="n">
        <f aca="false">COUNTIF($G$4:$H$33,$AS4)</f>
        <v>0</v>
      </c>
      <c r="AW4" s="13" t="n">
        <f aca="false">COUNTIF($I$4:$J$33,$AS4)</f>
        <v>0</v>
      </c>
      <c r="AX4" s="13" t="n">
        <f aca="false">COUNTIF($K$4:$K$33,$AS4)</f>
        <v>0</v>
      </c>
      <c r="AY4" s="13" t="n">
        <f aca="false">COUNTIF($L$4:$L$33,$AS4)</f>
        <v>0</v>
      </c>
      <c r="AZ4" s="13" t="n">
        <f aca="false">COUNTIF($M$4:$M$33,$AS4)</f>
        <v>0</v>
      </c>
      <c r="BA4" s="13" t="n">
        <f aca="false">COUNTIF($N$4:$P$33,$AS4)</f>
        <v>1</v>
      </c>
      <c r="BB4" s="13" t="n">
        <f aca="false">COUNTIF($C$4:$P$33,$AS4)</f>
        <v>24</v>
      </c>
      <c r="BD4" s="14" t="str">
        <f aca="false">AA$3</f>
        <v>LEONI</v>
      </c>
      <c r="BE4" s="14"/>
      <c r="BF4" s="14"/>
      <c r="BG4" s="14"/>
      <c r="BH4" s="14"/>
      <c r="BI4" s="14"/>
      <c r="BJ4" s="14"/>
      <c r="BK4" s="14"/>
      <c r="BL4" s="14"/>
      <c r="BM4" s="14"/>
      <c r="BO4" s="1" t="str">
        <f aca="false">IF((AA4="X")+(AA4="Gn")+(AA4="C")&gt;0,"",IF(((AA4&lt;&gt;"Xm"))+((AA4&lt;&gt;"Xp"))+((AA4&lt;&gt;"Xn"))=0,"",IF(((AA4&lt;&gt;"Xm"))+((AA4&lt;&gt;"Xp"))+((AA4&lt;&gt;"Xn"))=3,AA$3&amp;", ",AA$3&amp;IF((AA4&lt;&gt;"Xm"),"_m","")&amp;IF((AA4&lt;&gt;"Xp"),"_p","")&amp;IF((AA4&lt;&gt;"Xn"),"_n","")&amp;", ")))</f>
        <v>LEONI_m_p, </v>
      </c>
      <c r="BP4" s="1" t="str">
        <f aca="false">IF((AB4="X")+(AB4="Gn")+(AB4="C")&gt;0,"",IF(((AB4&lt;&gt;"Xm"))+((AB4&lt;&gt;"Xp"))+((AB4&lt;&gt;"Xn"))=0,"",IF(((AB4&lt;&gt;"Xm"))+((AB4&lt;&gt;"Xp"))+((AB4&lt;&gt;"Xn"))=3,AB$3&amp;", ",AB$3&amp;IF((AB4&lt;&gt;"Xm"),"_m","")&amp;IF((AB4&lt;&gt;"Xp"),"_p","")&amp;IF((AB4&lt;&gt;"Xn"),"_n","")&amp;", ")))</f>
        <v>ROSSI M, </v>
      </c>
      <c r="BQ4" s="1" t="str">
        <f aca="false">IF((AC4="X")+(AC4="Gn")+(AC4="C")&gt;0,"",IF(((AC4&lt;&gt;"Xm"))+((AC4&lt;&gt;"Xp"))+((AC4&lt;&gt;"Xn"))=0,"",IF(((AC4&lt;&gt;"Xm"))+((AC4&lt;&gt;"Xp"))+((AC4&lt;&gt;"Xn"))=3,AC$3&amp;", ",AC$3&amp;IF((AC4&lt;&gt;"Xm"),"_m","")&amp;IF((AC4&lt;&gt;"Xp"),"_p","")&amp;IF((AC4&lt;&gt;"Xn"),"_n","")&amp;", ")))</f>
        <v/>
      </c>
      <c r="BR4" s="1" t="str">
        <f aca="false">IF((AD4="X")+(AD4="Gn")+(AD4="C")&gt;0,"",IF(((AD4&lt;&gt;"Xm"))+((AD4&lt;&gt;"Xp"))+((AD4&lt;&gt;"Xn"))=0,"",IF(((AD4&lt;&gt;"Xm"))+((AD4&lt;&gt;"Xp"))+((AD4&lt;&gt;"Xn"))=3,AD$3&amp;", ",AD$3&amp;IF((AD4&lt;&gt;"Xm"),"_m","")&amp;IF((AD4&lt;&gt;"Xp"),"_p","")&amp;IF((AD4&lt;&gt;"Xn"),"_n","")&amp;", ")))</f>
        <v>GALLINA, </v>
      </c>
      <c r="BS4" s="1" t="str">
        <f aca="false">IF((AE4="X")+(AE4="Gn")+(AE4="C")&gt;0,"",IF(((AE4&lt;&gt;"Xm"))+((AE4&lt;&gt;"Xp"))+((AE4&lt;&gt;"Xn"))=0,"",IF(((AE4&lt;&gt;"Xm"))+((AE4&lt;&gt;"Xp"))+((AE4&lt;&gt;"Xn"))=3,AE$3&amp;", ",AE$3&amp;IF((AE4&lt;&gt;"Xm"),"_m","")&amp;IF((AE4&lt;&gt;"Xp"),"_p","")&amp;IF((AE4&lt;&gt;"Xn"),"_n","")&amp;", ")))</f>
        <v>RUSSO, </v>
      </c>
      <c r="BT4" s="1" t="str">
        <f aca="false">IF((AF4="X")+(AF4="Gn")+(AF4="C")&gt;0,"",IF(((AF4&lt;&gt;"Xm"))+((AF4&lt;&gt;"Xp"))+((AF4&lt;&gt;"Xn"))=0,"",IF(((AF4&lt;&gt;"Xm"))+((AF4&lt;&gt;"Xp"))+((AF4&lt;&gt;"Xn"))=3,AF$3&amp;", ",AF$3&amp;IF((AF4&lt;&gt;"Xm"),"_m","")&amp;IF((AF4&lt;&gt;"Xp"),"_p","")&amp;IF((AF4&lt;&gt;"Xn"),"_n","")&amp;", ")))</f>
        <v>VERDI, </v>
      </c>
      <c r="BU4" s="1" t="str">
        <f aca="false">IF((AG4="X")+(AG4="Gn")+(AG4="C")&gt;0,"",IF(((AG4&lt;&gt;"Xm"))+((AG4&lt;&gt;"Xp"))+((AG4&lt;&gt;"Xn"))=0,"",IF(((AG4&lt;&gt;"Xm"))+((AG4&lt;&gt;"Xp"))+((AG4&lt;&gt;"Xn"))=3,AG$3&amp;", ",AG$3&amp;IF((AG4&lt;&gt;"Xm"),"_m","")&amp;IF((AG4&lt;&gt;"Xp"),"_p","")&amp;IF((AG4&lt;&gt;"Xn"),"_n","")&amp;", ")))</f>
        <v>HU, </v>
      </c>
      <c r="BV4" s="1" t="str">
        <f aca="false">IF((AH4="X")+(AH4="Gn")+(AH4="C")&gt;0,"",IF(((AH4&lt;&gt;"Xm"))+((AH4&lt;&gt;"Xp"))+((AH4&lt;&gt;"Xn"))=0,"",IF(((AH4&lt;&gt;"Xm"))+((AH4&lt;&gt;"Xp"))+((AH4&lt;&gt;"Xn"))=3,AH$3&amp;", ",AH$3&amp;IF((AH4&lt;&gt;"Xm"),"_m","")&amp;IF((AH4&lt;&gt;"Xp"),"_p","")&amp;IF((AH4&lt;&gt;"Xn"),"_n","")&amp;", ")))</f>
        <v>MARINI, </v>
      </c>
      <c r="BW4" s="1" t="str">
        <f aca="false">IF((AI4="X")+(AI4="Gn")+(AI4="C")&gt;0,"",IF(((AI4&lt;&gt;"Xm"))+((AI4&lt;&gt;"Xp"))+((AI4&lt;&gt;"Xn"))=0,"",IF(((AI4&lt;&gt;"Xm"))+((AI4&lt;&gt;"Xp"))+((AI4&lt;&gt;"Xn"))=3,AI$3&amp;", ",AI$3&amp;IF((AI4&lt;&gt;"Xm"),"_m","")&amp;IF((AI4&lt;&gt;"Xp"),"_p","")&amp;IF((AI4&lt;&gt;"Xn"),"_n","")&amp;", ")))</f>
        <v>CONTI A, </v>
      </c>
      <c r="BX4" s="1" t="str">
        <f aca="false">IF((AJ4="X")+(AJ4="Gn")+(AJ4="C")&gt;0,"",IF(((AJ4&lt;&gt;"Xm"))+((AJ4&lt;&gt;"Xp"))+((AJ4&lt;&gt;"Xn"))=0,"",IF(((AJ4&lt;&gt;"Xm"))+((AJ4&lt;&gt;"Xp"))+((AJ4&lt;&gt;"Xn"))=3,AJ$3&amp;", ",AJ$3&amp;IF((AJ4&lt;&gt;"Xm"),"_m","")&amp;IF((AJ4&lt;&gt;"Xp"),"_p","")&amp;IF((AJ4&lt;&gt;"Xn"),"_n","")&amp;", ")))</f>
        <v>CONTI S, </v>
      </c>
      <c r="BY4" s="1" t="str">
        <f aca="false">IF((AK4="X")+(AK4="Gn")+(AK4="C")&gt;0,"",IF(((AK4&lt;&gt;"Xm"))+((AK4&lt;&gt;"Xp"))+((AK4&lt;&gt;"Xn"))=0,"",IF(((AK4&lt;&gt;"Xm"))+((AK4&lt;&gt;"Xp"))+((AK4&lt;&gt;"Xn"))=3,AK$3&amp;", ",AK$3&amp;IF((AK4&lt;&gt;"Xm"),"_m","")&amp;IF((AK4&lt;&gt;"Xp"),"_p","")&amp;IF((AK4&lt;&gt;"Xn"),"_n","")&amp;", ")))</f>
        <v>FERRARI_m_n, </v>
      </c>
      <c r="BZ4" s="1" t="str">
        <f aca="false">IF((AL4="X")+(AL4="Gn")+(AL4="C")&gt;0,"",IF(((AL4&lt;&gt;"Xm"))+((AL4&lt;&gt;"Xp"))+((AL4&lt;&gt;"Xn"))=0,"",IF(((AL4&lt;&gt;"Xm"))+((AL4&lt;&gt;"Xp"))+((AL4&lt;&gt;"Xn"))=3,AL$3&amp;", ",AL$3&amp;IF((AL4&lt;&gt;"Xm"),"_m","")&amp;IF((AL4&lt;&gt;"Xp"),"_p","")&amp;IF((AL4&lt;&gt;"Xn"),"_n","")&amp;", ")))</f>
        <v>GRECO, </v>
      </c>
      <c r="CA4" s="1" t="str">
        <f aca="false">IF((AM4="X")+(AM4="Gn")+(AM4="C")&gt;0,"",IF(((AM4&lt;&gt;"Xm"))+((AM4&lt;&gt;"Xp"))+((AM4&lt;&gt;"Xn"))=0,"",IF(((AM4&lt;&gt;"Xm"))+((AM4&lt;&gt;"Xp"))+((AM4&lt;&gt;"Xn"))=3,AM$3&amp;", ",AM$3&amp;IF((AM4&lt;&gt;"Xm"),"_m","")&amp;IF((AM4&lt;&gt;"Xp"),"_p","")&amp;IF((AM4&lt;&gt;"Xn"),"_n","")&amp;", ")))</f>
        <v>SANNA, </v>
      </c>
      <c r="CB4" s="1" t="str">
        <f aca="false">IF((AN4="X")+(AN4="Gn")+(AN4="C")&gt;0,"",IF(((AN4&lt;&gt;"Xm"))+((AN4&lt;&gt;"Xp"))+((AN4&lt;&gt;"Xn"))=0,"",IF(((AN4&lt;&gt;"Xm"))+((AN4&lt;&gt;"Xp"))+((AN4&lt;&gt;"Xn"))=3,AN$3&amp;", ",AN$3&amp;IF((AN4&lt;&gt;"Xm"),"_m","")&amp;IF((AN4&lt;&gt;"Xp"),"_p","")&amp;IF((AN4&lt;&gt;"Xn"),"_n","")&amp;", ")))</f>
        <v/>
      </c>
      <c r="CD4" s="1" t="str">
        <f aca="false">IF((AA4="X")+(AA4="Gn")+(AA4="C")&gt;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LEONI_m_p, </v>
      </c>
      <c r="CE4" s="1" t="str">
        <f aca="false">IF((AB4="X")+(AB4="Gn")+(AB4="C")&gt;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/>
      </c>
      <c r="CF4" s="1" t="str">
        <f aca="false">IF((AC4="X")+(AC4="Gn")+(AC4="C")&gt;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/>
      </c>
      <c r="CG4" s="1" t="str">
        <f aca="false">IF((AD4="X")+(AD4="Gn")+(AD4="C")&gt;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1" t="str">
        <f aca="false">IF((AE4="X")+(AE4="Gn")+(AE4="C")&gt;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/>
      </c>
      <c r="CI4" s="1" t="str">
        <f aca="false">IF((AF4="X")+(AF4="Gn")+(AF4="C")&gt;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1" t="str">
        <f aca="false">IF((AG4="X")+(AG4="Gn")+(AG4="C")&gt;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1" t="str">
        <f aca="false">IF((AH4="X")+(AH4="Gn")+(AH4="C")&gt;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1" t="str">
        <f aca="false">IF((AI4="X")+(AI4="Gn")+(AI4="C")&gt;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1" t="str">
        <f aca="false">IF((AJ4="X")+(AJ4="Gn")+(AJ4="C")&gt;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1" t="str">
        <f aca="false">IF((AK4="X")+(AK4="Gn")+(AK4="C")&gt;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FERRARI_m_n, </v>
      </c>
      <c r="CO4" s="1" t="str">
        <f aca="false">IF((AL4="X")+(AL4="Gn")+(AL4="C")&gt;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1" t="str">
        <f aca="false">IF((AM4="X")+(AM4="Gn")+(AM4="C")&gt;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1" t="str">
        <f aca="false">IF((AN4="X")+(AN4="Gn")+(AN4="C")&gt;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/>
      </c>
    </row>
    <row r="5" customFormat="false" ht="15" hidden="false" customHeight="true" outlineLevel="0" collapsed="false">
      <c r="A5" s="15" t="str">
        <f aca="false">CHOOSE(WEEKDAY(DATE($B$1,$A$2,B5),2),"lunedì","martedì","mercoledì","giovedì","venerdì","sabato","domenica")</f>
        <v>lunedì</v>
      </c>
      <c r="B5" s="15" t="n">
        <v>2</v>
      </c>
      <c r="C5" s="16" t="s">
        <v>33</v>
      </c>
      <c r="D5" s="16" t="s">
        <v>23</v>
      </c>
      <c r="E5" s="16" t="s">
        <v>31</v>
      </c>
      <c r="F5" s="16" t="s">
        <v>31</v>
      </c>
      <c r="G5" s="16" t="s">
        <v>32</v>
      </c>
      <c r="H5" s="16" t="s">
        <v>32</v>
      </c>
      <c r="I5" s="16" t="s">
        <v>34</v>
      </c>
      <c r="J5" s="16" t="s">
        <v>34</v>
      </c>
      <c r="K5" s="16" t="s">
        <v>26</v>
      </c>
      <c r="L5" s="16"/>
      <c r="M5" s="16" t="s">
        <v>29</v>
      </c>
      <c r="N5" s="16" t="s">
        <v>27</v>
      </c>
      <c r="O5" s="16" t="s">
        <v>27</v>
      </c>
      <c r="P5" s="16" t="s">
        <v>25</v>
      </c>
      <c r="Q5" s="16"/>
      <c r="R5" s="16" t="str">
        <f aca="false">IF(SUMPRODUCT(($C$3:$P$3&lt;&gt;"")*($C5:$P5&lt;&gt;"")*(COUNTIFS($C5:$P5,$C5:$P5,$C$3:$P$3,$C$3:$P$3)&gt;1))&gt;0,"X","")</f>
        <v/>
      </c>
      <c r="S5" s="17" t="str">
        <f aca="false"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LEONI_p_n, ROSSI M, ROSSI L, GALLINA, RUSSO, VERDI, HU_p_n, MARINI_m_n, CONTI A, CONTI S, FERRARI, GRECO, SANNA</v>
      </c>
      <c r="T5" s="17" t="str">
        <f aca="false"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ROSSI M, GALLINA_p, VERDI, MARINI_m_n, FERRARI_p, SANNA</v>
      </c>
      <c r="Y5" s="15" t="str">
        <f aca="false">A5</f>
        <v>lunedì</v>
      </c>
      <c r="Z5" s="15" t="n">
        <f aca="false">B5</f>
        <v>2</v>
      </c>
      <c r="AA5" s="16" t="s">
        <v>46</v>
      </c>
      <c r="AB5" s="16"/>
      <c r="AC5" s="16"/>
      <c r="AD5" s="16"/>
      <c r="AE5" s="16"/>
      <c r="AF5" s="16"/>
      <c r="AG5" s="16" t="s">
        <v>46</v>
      </c>
      <c r="AH5" s="16" t="s">
        <v>43</v>
      </c>
      <c r="AI5" s="16"/>
      <c r="AJ5" s="16"/>
      <c r="AK5" s="16"/>
      <c r="AL5" s="16"/>
      <c r="AM5" s="16"/>
      <c r="AN5" s="16"/>
      <c r="AP5" s="11" t="s">
        <v>46</v>
      </c>
      <c r="AQ5" s="12" t="s">
        <v>47</v>
      </c>
      <c r="AS5" s="13" t="str">
        <f aca="false">AB$3</f>
        <v>ROSSI M</v>
      </c>
      <c r="AT5" s="13" t="n">
        <f aca="false">COUNTIF($C$4:$D$33,$AS5)</f>
        <v>5</v>
      </c>
      <c r="AU5" s="13" t="n">
        <f aca="false">COUNTIF($E$4:$F$33,$AS5)</f>
        <v>2</v>
      </c>
      <c r="AV5" s="13" t="n">
        <f aca="false">COUNTIF($G$4:$H$33,$AS5)</f>
        <v>0</v>
      </c>
      <c r="AW5" s="13" t="n">
        <f aca="false">COUNTIF($I$4:$J$33,$AS5)</f>
        <v>0</v>
      </c>
      <c r="AX5" s="13" t="n">
        <f aca="false">COUNTIF($K$4:$K$33,$AS5)</f>
        <v>2</v>
      </c>
      <c r="AY5" s="13" t="n">
        <f aca="false">COUNTIF($L$4:$L$33,$AS5)</f>
        <v>0</v>
      </c>
      <c r="AZ5" s="13" t="n">
        <f aca="false">COUNTIF($M$4:$M$33,$AS5)</f>
        <v>0</v>
      </c>
      <c r="BA5" s="13" t="n">
        <f aca="false">COUNTIF($N$4:$P$33,$AS5)</f>
        <v>12</v>
      </c>
      <c r="BB5" s="13" t="n">
        <f aca="false">COUNTIF($C$4:$P$33,$AS5)</f>
        <v>21</v>
      </c>
      <c r="BD5" s="14" t="str">
        <f aca="false">AB$3</f>
        <v>ROSSI M</v>
      </c>
      <c r="BE5" s="14"/>
      <c r="BF5" s="14"/>
      <c r="BG5" s="14"/>
      <c r="BH5" s="14"/>
      <c r="BI5" s="14"/>
      <c r="BJ5" s="14"/>
      <c r="BK5" s="14"/>
      <c r="BL5" s="14"/>
      <c r="BM5" s="14"/>
      <c r="BO5" s="1" t="str">
        <f aca="false">IF((AA5="X")+(AA5="Gn")+(AA5="C")+(AA4="Gn")&gt;0,"",IF(((AA5&lt;&gt;"Xm"))+((AA5&lt;&gt;"Xp"))+((AA5&lt;&gt;"Xn"))=0,"",IF(((AA5&lt;&gt;"Xm"))+((AA5&lt;&gt;"Xp"))+((AA5&lt;&gt;"Xn"))=3,AA$3&amp;", ",AA$3&amp;IF((AA5&lt;&gt;"Xm"),"_m","")&amp;IF((AA5&lt;&gt;"Xp"),"_p","")&amp;IF((AA5&lt;&gt;"Xn"),"_n","")&amp;", ")))</f>
        <v>LEONI_p_n, </v>
      </c>
      <c r="BP5" s="1" t="str">
        <f aca="false">IF((AB5="X")+(AB5="Gn")+(AB5="C")+(AB4="Gn")&gt;0,"",IF(((AB5&lt;&gt;"Xm"))+((AB5&lt;&gt;"Xp"))+((AB5&lt;&gt;"Xn"))=0,"",IF(((AB5&lt;&gt;"Xm"))+((AB5&lt;&gt;"Xp"))+((AB5&lt;&gt;"Xn"))=3,AB$3&amp;", ",AB$3&amp;IF((AB5&lt;&gt;"Xm"),"_m","")&amp;IF((AB5&lt;&gt;"Xp"),"_p","")&amp;IF((AB5&lt;&gt;"Xn"),"_n","")&amp;", ")))</f>
        <v>ROSSI M, </v>
      </c>
      <c r="BQ5" s="1" t="str">
        <f aca="false">IF((AC5="X")+(AC5="Gn")+(AC5="C")+(AC4="Gn")&gt;0,"",IF(((AC5&lt;&gt;"Xm"))+((AC5&lt;&gt;"Xp"))+((AC5&lt;&gt;"Xn"))=0,"",IF(((AC5&lt;&gt;"Xm"))+((AC5&lt;&gt;"Xp"))+((AC5&lt;&gt;"Xn"))=3,AC$3&amp;", ",AC$3&amp;IF((AC5&lt;&gt;"Xm"),"_m","")&amp;IF((AC5&lt;&gt;"Xp"),"_p","")&amp;IF((AC5&lt;&gt;"Xn"),"_n","")&amp;", ")))</f>
        <v>ROSSI L, </v>
      </c>
      <c r="BR5" s="1" t="str">
        <f aca="false">IF((AD5="X")+(AD5="Gn")+(AD5="C")+(AD4="Gn")&gt;0,"",IF(((AD5&lt;&gt;"Xm"))+((AD5&lt;&gt;"Xp"))+((AD5&lt;&gt;"Xn"))=0,"",IF(((AD5&lt;&gt;"Xm"))+((AD5&lt;&gt;"Xp"))+((AD5&lt;&gt;"Xn"))=3,AD$3&amp;", ",AD$3&amp;IF((AD5&lt;&gt;"Xm"),"_m","")&amp;IF((AD5&lt;&gt;"Xp"),"_p","")&amp;IF((AD5&lt;&gt;"Xn"),"_n","")&amp;", ")))</f>
        <v>GALLINA, </v>
      </c>
      <c r="BS5" s="1" t="str">
        <f aca="false">IF((AE5="X")+(AE5="Gn")+(AE5="C")+(AE4="Gn")&gt;0,"",IF(((AE5&lt;&gt;"Xm"))+((AE5&lt;&gt;"Xp"))+((AE5&lt;&gt;"Xn"))=0,"",IF(((AE5&lt;&gt;"Xm"))+((AE5&lt;&gt;"Xp"))+((AE5&lt;&gt;"Xn"))=3,AE$3&amp;", ",AE$3&amp;IF((AE5&lt;&gt;"Xm"),"_m","")&amp;IF((AE5&lt;&gt;"Xp"),"_p","")&amp;IF((AE5&lt;&gt;"Xn"),"_n","")&amp;", ")))</f>
        <v>RUSSO, </v>
      </c>
      <c r="BT5" s="1" t="str">
        <f aca="false">IF((AF5="X")+(AF5="Gn")+(AF5="C")+(AF4="Gn")&gt;0,"",IF(((AF5&lt;&gt;"Xm"))+((AF5&lt;&gt;"Xp"))+((AF5&lt;&gt;"Xn"))=0,"",IF(((AF5&lt;&gt;"Xm"))+((AF5&lt;&gt;"Xp"))+((AF5&lt;&gt;"Xn"))=3,AF$3&amp;", ",AF$3&amp;IF((AF5&lt;&gt;"Xm"),"_m","")&amp;IF((AF5&lt;&gt;"Xp"),"_p","")&amp;IF((AF5&lt;&gt;"Xn"),"_n","")&amp;", ")))</f>
        <v>VERDI, </v>
      </c>
      <c r="BU5" s="1" t="str">
        <f aca="false">IF((AG5="X")+(AG5="Gn")+(AG5="C")+(AG4="Gn")&gt;0,"",IF(((AG5&lt;&gt;"Xm"))+((AG5&lt;&gt;"Xp"))+((AG5&lt;&gt;"Xn"))=0,"",IF(((AG5&lt;&gt;"Xm"))+((AG5&lt;&gt;"Xp"))+((AG5&lt;&gt;"Xn"))=3,AG$3&amp;", ",AG$3&amp;IF((AG5&lt;&gt;"Xm"),"_m","")&amp;IF((AG5&lt;&gt;"Xp"),"_p","")&amp;IF((AG5&lt;&gt;"Xn"),"_n","")&amp;", ")))</f>
        <v>HU_p_n, </v>
      </c>
      <c r="BV5" s="1" t="str">
        <f aca="false">IF((AH5="X")+(AH5="Gn")+(AH5="C")+(AH4="Gn")&gt;0,"",IF(((AH5&lt;&gt;"Xm"))+((AH5&lt;&gt;"Xp"))+((AH5&lt;&gt;"Xn"))=0,"",IF(((AH5&lt;&gt;"Xm"))+((AH5&lt;&gt;"Xp"))+((AH5&lt;&gt;"Xn"))=3,AH$3&amp;", ",AH$3&amp;IF((AH5&lt;&gt;"Xm"),"_m","")&amp;IF((AH5&lt;&gt;"Xp"),"_p","")&amp;IF((AH5&lt;&gt;"Xn"),"_n","")&amp;", ")))</f>
        <v>MARINI_m_n, </v>
      </c>
      <c r="BW5" s="1" t="str">
        <f aca="false">IF((AI5="X")+(AI5="Gn")+(AI5="C")+(AI4="Gn")&gt;0,"",IF(((AI5&lt;&gt;"Xm"))+((AI5&lt;&gt;"Xp"))+((AI5&lt;&gt;"Xn"))=0,"",IF(((AI5&lt;&gt;"Xm"))+((AI5&lt;&gt;"Xp"))+((AI5&lt;&gt;"Xn"))=3,AI$3&amp;", ",AI$3&amp;IF((AI5&lt;&gt;"Xm"),"_m","")&amp;IF((AI5&lt;&gt;"Xp"),"_p","")&amp;IF((AI5&lt;&gt;"Xn"),"_n","")&amp;", ")))</f>
        <v>CONTI A, </v>
      </c>
      <c r="BX5" s="1" t="str">
        <f aca="false">IF((AJ5="X")+(AJ5="Gn")+(AJ5="C")+(AJ4="Gn")&gt;0,"",IF(((AJ5&lt;&gt;"Xm"))+((AJ5&lt;&gt;"Xp"))+((AJ5&lt;&gt;"Xn"))=0,"",IF(((AJ5&lt;&gt;"Xm"))+((AJ5&lt;&gt;"Xp"))+((AJ5&lt;&gt;"Xn"))=3,AJ$3&amp;", ",AJ$3&amp;IF((AJ5&lt;&gt;"Xm"),"_m","")&amp;IF((AJ5&lt;&gt;"Xp"),"_p","")&amp;IF((AJ5&lt;&gt;"Xn"),"_n","")&amp;", ")))</f>
        <v>CONTI S, </v>
      </c>
      <c r="BY5" s="1" t="str">
        <f aca="false">IF((AK5="X")+(AK5="Gn")+(AK5="C")+(AK4="Gn")&gt;0,"",IF(((AK5&lt;&gt;"Xm"))+((AK5&lt;&gt;"Xp"))+((AK5&lt;&gt;"Xn"))=0,"",IF(((AK5&lt;&gt;"Xm"))+((AK5&lt;&gt;"Xp"))+((AK5&lt;&gt;"Xn"))=3,AK$3&amp;", ",AK$3&amp;IF((AK5&lt;&gt;"Xm"),"_m","")&amp;IF((AK5&lt;&gt;"Xp"),"_p","")&amp;IF((AK5&lt;&gt;"Xn"),"_n","")&amp;", ")))</f>
        <v>FERRARI, </v>
      </c>
      <c r="BZ5" s="1" t="str">
        <f aca="false">IF((AL5="X")+(AL5="Gn")+(AL5="C")+(AL4="Gn")&gt;0,"",IF(((AL5&lt;&gt;"Xm"))+((AL5&lt;&gt;"Xp"))+((AL5&lt;&gt;"Xn"))=0,"",IF(((AL5&lt;&gt;"Xm"))+((AL5&lt;&gt;"Xp"))+((AL5&lt;&gt;"Xn"))=3,AL$3&amp;", ",AL$3&amp;IF((AL5&lt;&gt;"Xm"),"_m","")&amp;IF((AL5&lt;&gt;"Xp"),"_p","")&amp;IF((AL5&lt;&gt;"Xn"),"_n","")&amp;", ")))</f>
        <v>GRECO, </v>
      </c>
      <c r="CA5" s="1" t="str">
        <f aca="false">IF((AM5="X")+(AM5="Gn")+(AM5="C")+(AM4="Gn")&gt;0,"",IF(((AM5&lt;&gt;"Xm"))+((AM5&lt;&gt;"Xp"))+((AM5&lt;&gt;"Xn"))=0,"",IF(((AM5&lt;&gt;"Xm"))+((AM5&lt;&gt;"Xp"))+((AM5&lt;&gt;"Xn"))=3,AM$3&amp;", ",AM$3&amp;IF((AM5&lt;&gt;"Xm"),"_m","")&amp;IF((AM5&lt;&gt;"Xp"),"_p","")&amp;IF((AM5&lt;&gt;"Xn"),"_n","")&amp;", ")))</f>
        <v>SANNA, </v>
      </c>
      <c r="CB5" s="1" t="str">
        <f aca="false">IF((AN5="X")+(AN5="Gn")+(AN5="C")+(AN4="Gn")&gt;0,"",IF(((AN5&lt;&gt;"Xm"))+((AN5&lt;&gt;"Xp"))+((AN5&lt;&gt;"Xn"))=0,"",IF(((AN5&lt;&gt;"Xm"))+((AN5&lt;&gt;"Xp"))+((AN5&lt;&gt;"Xn"))=3,AN$3&amp;", ",AN$3&amp;IF((AN5&lt;&gt;"Xm"),"_m","")&amp;IF((AN5&lt;&gt;"Xp"),"_p","")&amp;IF((AN5&lt;&gt;"Xn"),"_n","")&amp;", ")))</f>
        <v/>
      </c>
      <c r="CD5" s="1" t="str">
        <f aca="false">IF((AA5="X")+(AA5="Gn")+(AA5="C")+(AA4="Gn")&gt;0,"",IF(((AA5&lt;&gt;"Xm")*(COUNTIFS($C$3:$P$3,"MAT",$C5:$P5,AA$3)=0)*(COUNTIFS($C$3:$P$3,"NOTTE",$C5:$P5,AA$3)=0))+((AA5&lt;&gt;"Xp")*(COUNTIFS($C$3:$P$3,"POM",$C5:$P5,AA$3)=0)*(COUNTIFS($C$3:$P$3,"NOTTE",$C5:$P5,AA$3)=0))+((AA5&lt;&gt;"Xn")*(COUNTIFS($C$3:$P$3,"MAT",$C5:$P5,AA$3)=0)*(COUNTIFS($C$3:$P$3,"POM",$C5:$P5,AA$3)=0)*(COUNTIFS($C$3:$P$3,"NOTTE",$C5:$P5,AA$3)=0))=0,"",IF(((AA5&lt;&gt;"Xm")*(COUNTIFS($C$3:$P$3,"MAT",$C5:$P5,AA$3)=0)*(COUNTIFS($C$3:$P$3,"NOTTE",$C5:$P5,AA$3)=0))+((AA5&lt;&gt;"Xp")*(COUNTIFS($C$3:$P$3,"POM",$C5:$P5,AA$3)=0)*(COUNTIFS($C$3:$P$3,"NOTTE",$C5:$P5,AA$3)=0))+((AA5&lt;&gt;"Xn")*(COUNTIFS($C$3:$P$3,"MAT",$C5:$P5,AA$3)=0)*(COUNTIFS($C$3:$P$3,"POM",$C5:$P5,AA$3)=0)*(COUNTIFS($C$3:$P$3,"NOTTE",$C5:$P5,AA$3)=0))=3,AA$3&amp;", ",AA$3&amp;IF((AA5&lt;&gt;"Xm")*(COUNTIFS($C$3:$P$3,"MAT",$C5:$P5,AA$3)=0)*(COUNTIFS($C$3:$P$3,"NOTTE",$C5:$P5,AA$3)=0),"_m","")&amp;IF((AA5&lt;&gt;"Xp")*(COUNTIFS($C$3:$P$3,"POM",$C5:$P5,AA$3)=0)*(COUNTIFS($C$3:$P$3,"NOTTE",$C5:$P5,AA$3)=0),"_p","")&amp;IF((AA5&lt;&gt;"Xn")*(COUNTIFS($C$3:$P$3,"MAT",$C5:$P5,AA$3)=0)*(COUNTIFS($C$3:$P$3,"POM",$C5:$P5,AA$3)=0)*(COUNTIFS($C$3:$P$3,"NOTTE",$C5:$P5,AA$3)=0),"_n","")&amp;", ")))</f>
        <v/>
      </c>
      <c r="CE5" s="1" t="str">
        <f aca="false">IF((AB5="X")+(AB5="Gn")+(AB5="C")+(AB4="Gn")&gt;0,"",IF(((AB5&lt;&gt;"Xm")*(COUNTIFS($C$3:$P$3,"MAT",$C5:$P5,AB$3)=0)*(COUNTIFS($C$3:$P$3,"NOTTE",$C5:$P5,AB$3)=0))+((AB5&lt;&gt;"Xp")*(COUNTIFS($C$3:$P$3,"POM",$C5:$P5,AB$3)=0)*(COUNTIFS($C$3:$P$3,"NOTTE",$C5:$P5,AB$3)=0))+((AB5&lt;&gt;"Xn")*(COUNTIFS($C$3:$P$3,"MAT",$C5:$P5,AB$3)=0)*(COUNTIFS($C$3:$P$3,"POM",$C5:$P5,AB$3)=0)*(COUNTIFS($C$3:$P$3,"NOTTE",$C5:$P5,AB$3)=0))=0,"",IF(((AB5&lt;&gt;"Xm")*(COUNTIFS($C$3:$P$3,"MAT",$C5:$P5,AB$3)=0)*(COUNTIFS($C$3:$P$3,"NOTTE",$C5:$P5,AB$3)=0))+((AB5&lt;&gt;"Xp")*(COUNTIFS($C$3:$P$3,"POM",$C5:$P5,AB$3)=0)*(COUNTIFS($C$3:$P$3,"NOTTE",$C5:$P5,AB$3)=0))+((AB5&lt;&gt;"Xn")*(COUNTIFS($C$3:$P$3,"MAT",$C5:$P5,AB$3)=0)*(COUNTIFS($C$3:$P$3,"POM",$C5:$P5,AB$3)=0)*(COUNTIFS($C$3:$P$3,"NOTTE",$C5:$P5,AB$3)=0))=3,AB$3&amp;", ",AB$3&amp;IF((AB5&lt;&gt;"Xm")*(COUNTIFS($C$3:$P$3,"MAT",$C5:$P5,AB$3)=0)*(COUNTIFS($C$3:$P$3,"NOTTE",$C5:$P5,AB$3)=0),"_m","")&amp;IF((AB5&lt;&gt;"Xp")*(COUNTIFS($C$3:$P$3,"POM",$C5:$P5,AB$3)=0)*(COUNTIFS($C$3:$P$3,"NOTTE",$C5:$P5,AB$3)=0),"_p","")&amp;IF((AB5&lt;&gt;"Xn")*(COUNTIFS($C$3:$P$3,"MAT",$C5:$P5,AB$3)=0)*(COUNTIFS($C$3:$P$3,"POM",$C5:$P5,AB$3)=0)*(COUNTIFS($C$3:$P$3,"NOTTE",$C5:$P5,AB$3)=0),"_n","")&amp;", ")))</f>
        <v>ROSSI M, </v>
      </c>
      <c r="CF5" s="1" t="str">
        <f aca="false">IF((AC5="X")+(AC5="Gn")+(AC5="C")+(AC4="Gn")&gt;0,"",IF(((AC5&lt;&gt;"Xm")*(COUNTIFS($C$3:$P$3,"MAT",$C5:$P5,AC$3)=0)*(COUNTIFS($C$3:$P$3,"NOTTE",$C5:$P5,AC$3)=0))+((AC5&lt;&gt;"Xp")*(COUNTIFS($C$3:$P$3,"POM",$C5:$P5,AC$3)=0)*(COUNTIFS($C$3:$P$3,"NOTTE",$C5:$P5,AC$3)=0))+((AC5&lt;&gt;"Xn")*(COUNTIFS($C$3:$P$3,"MAT",$C5:$P5,AC$3)=0)*(COUNTIFS($C$3:$P$3,"POM",$C5:$P5,AC$3)=0)*(COUNTIFS($C$3:$P$3,"NOTTE",$C5:$P5,AC$3)=0))=0,"",IF(((AC5&lt;&gt;"Xm")*(COUNTIFS($C$3:$P$3,"MAT",$C5:$P5,AC$3)=0)*(COUNTIFS($C$3:$P$3,"NOTTE",$C5:$P5,AC$3)=0))+((AC5&lt;&gt;"Xp")*(COUNTIFS($C$3:$P$3,"POM",$C5:$P5,AC$3)=0)*(COUNTIFS($C$3:$P$3,"NOTTE",$C5:$P5,AC$3)=0))+((AC5&lt;&gt;"Xn")*(COUNTIFS($C$3:$P$3,"MAT",$C5:$P5,AC$3)=0)*(COUNTIFS($C$3:$P$3,"POM",$C5:$P5,AC$3)=0)*(COUNTIFS($C$3:$P$3,"NOTTE",$C5:$P5,AC$3)=0))=3,AC$3&amp;", ",AC$3&amp;IF((AC5&lt;&gt;"Xm")*(COUNTIFS($C$3:$P$3,"MAT",$C5:$P5,AC$3)=0)*(COUNTIFS($C$3:$P$3,"NOTTE",$C5:$P5,AC$3)=0),"_m","")&amp;IF((AC5&lt;&gt;"Xp")*(COUNTIFS($C$3:$P$3,"POM",$C5:$P5,AC$3)=0)*(COUNTIFS($C$3:$P$3,"NOTTE",$C5:$P5,AC$3)=0),"_p","")&amp;IF((AC5&lt;&gt;"Xn")*(COUNTIFS($C$3:$P$3,"MAT",$C5:$P5,AC$3)=0)*(COUNTIFS($C$3:$P$3,"POM",$C5:$P5,AC$3)=0)*(COUNTIFS($C$3:$P$3,"NOTTE",$C5:$P5,AC$3)=0),"_n","")&amp;", ")))</f>
        <v/>
      </c>
      <c r="CG5" s="1" t="str">
        <f aca="false">IF((AD5="X")+(AD5="Gn")+(AD5="C")+(AD4="Gn")&gt;0,"",IF(((AD5&lt;&gt;"Xm")*(COUNTIFS($C$3:$P$3,"MAT",$C5:$P5,AD$3)=0)*(COUNTIFS($C$3:$P$3,"NOTTE",$C5:$P5,AD$3)=0))+((AD5&lt;&gt;"Xp")*(COUNTIFS($C$3:$P$3,"POM",$C5:$P5,AD$3)=0)*(COUNTIFS($C$3:$P$3,"NOTTE",$C5:$P5,AD$3)=0))+((AD5&lt;&gt;"Xn")*(COUNTIFS($C$3:$P$3,"MAT",$C5:$P5,AD$3)=0)*(COUNTIFS($C$3:$P$3,"POM",$C5:$P5,AD$3)=0)*(COUNTIFS($C$3:$P$3,"NOTTE",$C5:$P5,AD$3)=0))=0,"",IF(((AD5&lt;&gt;"Xm")*(COUNTIFS($C$3:$P$3,"MAT",$C5:$P5,AD$3)=0)*(COUNTIFS($C$3:$P$3,"NOTTE",$C5:$P5,AD$3)=0))+((AD5&lt;&gt;"Xp")*(COUNTIFS($C$3:$P$3,"POM",$C5:$P5,AD$3)=0)*(COUNTIFS($C$3:$P$3,"NOTTE",$C5:$P5,AD$3)=0))+((AD5&lt;&gt;"Xn")*(COUNTIFS($C$3:$P$3,"MAT",$C5:$P5,AD$3)=0)*(COUNTIFS($C$3:$P$3,"POM",$C5:$P5,AD$3)=0)*(COUNTIFS($C$3:$P$3,"NOTTE",$C5:$P5,AD$3)=0))=3,AD$3&amp;", ",AD$3&amp;IF((AD5&lt;&gt;"Xm")*(COUNTIFS($C$3:$P$3,"MAT",$C5:$P5,AD$3)=0)*(COUNTIFS($C$3:$P$3,"NOTTE",$C5:$P5,AD$3)=0),"_m","")&amp;IF((AD5&lt;&gt;"Xp")*(COUNTIFS($C$3:$P$3,"POM",$C5:$P5,AD$3)=0)*(COUNTIFS($C$3:$P$3,"NOTTE",$C5:$P5,AD$3)=0),"_p","")&amp;IF((AD5&lt;&gt;"Xn")*(COUNTIFS($C$3:$P$3,"MAT",$C5:$P5,AD$3)=0)*(COUNTIFS($C$3:$P$3,"POM",$C5:$P5,AD$3)=0)*(COUNTIFS($C$3:$P$3,"NOTTE",$C5:$P5,AD$3)=0),"_n","")&amp;", ")))</f>
        <v>GALLINA_p, </v>
      </c>
      <c r="CH5" s="1" t="str">
        <f aca="false">IF((AE5="X")+(AE5="Gn")+(AE5="C")+(AE4="Gn")&gt;0,"",IF(((AE5&lt;&gt;"Xm")*(COUNTIFS($C$3:$P$3,"MAT",$C5:$P5,AE$3)=0)*(COUNTIFS($C$3:$P$3,"NOTTE",$C5:$P5,AE$3)=0))+((AE5&lt;&gt;"Xp")*(COUNTIFS($C$3:$P$3,"POM",$C5:$P5,AE$3)=0)*(COUNTIFS($C$3:$P$3,"NOTTE",$C5:$P5,AE$3)=0))+((AE5&lt;&gt;"Xn")*(COUNTIFS($C$3:$P$3,"MAT",$C5:$P5,AE$3)=0)*(COUNTIFS($C$3:$P$3,"POM",$C5:$P5,AE$3)=0)*(COUNTIFS($C$3:$P$3,"NOTTE",$C5:$P5,AE$3)=0))=0,"",IF(((AE5&lt;&gt;"Xm")*(COUNTIFS($C$3:$P$3,"MAT",$C5:$P5,AE$3)=0)*(COUNTIFS($C$3:$P$3,"NOTTE",$C5:$P5,AE$3)=0))+((AE5&lt;&gt;"Xp")*(COUNTIFS($C$3:$P$3,"POM",$C5:$P5,AE$3)=0)*(COUNTIFS($C$3:$P$3,"NOTTE",$C5:$P5,AE$3)=0))+((AE5&lt;&gt;"Xn")*(COUNTIFS($C$3:$P$3,"MAT",$C5:$P5,AE$3)=0)*(COUNTIFS($C$3:$P$3,"POM",$C5:$P5,AE$3)=0)*(COUNTIFS($C$3:$P$3,"NOTTE",$C5:$P5,AE$3)=0))=3,AE$3&amp;", ",AE$3&amp;IF((AE5&lt;&gt;"Xm")*(COUNTIFS($C$3:$P$3,"MAT",$C5:$P5,AE$3)=0)*(COUNTIFS($C$3:$P$3,"NOTTE",$C5:$P5,AE$3)=0),"_m","")&amp;IF((AE5&lt;&gt;"Xp")*(COUNTIFS($C$3:$P$3,"POM",$C5:$P5,AE$3)=0)*(COUNTIFS($C$3:$P$3,"NOTTE",$C5:$P5,AE$3)=0),"_p","")&amp;IF((AE5&lt;&gt;"Xn")*(COUNTIFS($C$3:$P$3,"MAT",$C5:$P5,AE$3)=0)*(COUNTIFS($C$3:$P$3,"POM",$C5:$P5,AE$3)=0)*(COUNTIFS($C$3:$P$3,"NOTTE",$C5:$P5,AE$3)=0),"_n","")&amp;", ")))</f>
        <v/>
      </c>
      <c r="CI5" s="1" t="str">
        <f aca="false">IF((AF5="X")+(AF5="Gn")+(AF5="C")+(AF4="Gn")&gt;0,"",IF(((AF5&lt;&gt;"Xm")*(COUNTIFS($C$3:$P$3,"MAT",$C5:$P5,AF$3)=0)*(COUNTIFS($C$3:$P$3,"NOTTE",$C5:$P5,AF$3)=0))+((AF5&lt;&gt;"Xp")*(COUNTIFS($C$3:$P$3,"POM",$C5:$P5,AF$3)=0)*(COUNTIFS($C$3:$P$3,"NOTTE",$C5:$P5,AF$3)=0))+((AF5&lt;&gt;"Xn")*(COUNTIFS($C$3:$P$3,"MAT",$C5:$P5,AF$3)=0)*(COUNTIFS($C$3:$P$3,"POM",$C5:$P5,AF$3)=0)*(COUNTIFS($C$3:$P$3,"NOTTE",$C5:$P5,AF$3)=0))=0,"",IF(((AF5&lt;&gt;"Xm")*(COUNTIFS($C$3:$P$3,"MAT",$C5:$P5,AF$3)=0)*(COUNTIFS($C$3:$P$3,"NOTTE",$C5:$P5,AF$3)=0))+((AF5&lt;&gt;"Xp")*(COUNTIFS($C$3:$P$3,"POM",$C5:$P5,AF$3)=0)*(COUNTIFS($C$3:$P$3,"NOTTE",$C5:$P5,AF$3)=0))+((AF5&lt;&gt;"Xn")*(COUNTIFS($C$3:$P$3,"MAT",$C5:$P5,AF$3)=0)*(COUNTIFS($C$3:$P$3,"POM",$C5:$P5,AF$3)=0)*(COUNTIFS($C$3:$P$3,"NOTTE",$C5:$P5,AF$3)=0))=3,AF$3&amp;", ",AF$3&amp;IF((AF5&lt;&gt;"Xm")*(COUNTIFS($C$3:$P$3,"MAT",$C5:$P5,AF$3)=0)*(COUNTIFS($C$3:$P$3,"NOTTE",$C5:$P5,AF$3)=0),"_m","")&amp;IF((AF5&lt;&gt;"Xp")*(COUNTIFS($C$3:$P$3,"POM",$C5:$P5,AF$3)=0)*(COUNTIFS($C$3:$P$3,"NOTTE",$C5:$P5,AF$3)=0),"_p","")&amp;IF((AF5&lt;&gt;"Xn")*(COUNTIFS($C$3:$P$3,"MAT",$C5:$P5,AF$3)=0)*(COUNTIFS($C$3:$P$3,"POM",$C5:$P5,AF$3)=0)*(COUNTIFS($C$3:$P$3,"NOTTE",$C5:$P5,AF$3)=0),"_n","")&amp;", ")))</f>
        <v>VERDI, </v>
      </c>
      <c r="CJ5" s="1" t="str">
        <f aca="false">IF((AG5="X")+(AG5="Gn")+(AG5="C")+(AG4="Gn")&gt;0,"",IF(((AG5&lt;&gt;"Xm")*(COUNTIFS($C$3:$P$3,"MAT",$C5:$P5,AG$3)=0)*(COUNTIFS($C$3:$P$3,"NOTTE",$C5:$P5,AG$3)=0))+((AG5&lt;&gt;"Xp")*(COUNTIFS($C$3:$P$3,"POM",$C5:$P5,AG$3)=0)*(COUNTIFS($C$3:$P$3,"NOTTE",$C5:$P5,AG$3)=0))+((AG5&lt;&gt;"Xn")*(COUNTIFS($C$3:$P$3,"MAT",$C5:$P5,AG$3)=0)*(COUNTIFS($C$3:$P$3,"POM",$C5:$P5,AG$3)=0)*(COUNTIFS($C$3:$P$3,"NOTTE",$C5:$P5,AG$3)=0))=0,"",IF(((AG5&lt;&gt;"Xm")*(COUNTIFS($C$3:$P$3,"MAT",$C5:$P5,AG$3)=0)*(COUNTIFS($C$3:$P$3,"NOTTE",$C5:$P5,AG$3)=0))+((AG5&lt;&gt;"Xp")*(COUNTIFS($C$3:$P$3,"POM",$C5:$P5,AG$3)=0)*(COUNTIFS($C$3:$P$3,"NOTTE",$C5:$P5,AG$3)=0))+((AG5&lt;&gt;"Xn")*(COUNTIFS($C$3:$P$3,"MAT",$C5:$P5,AG$3)=0)*(COUNTIFS($C$3:$P$3,"POM",$C5:$P5,AG$3)=0)*(COUNTIFS($C$3:$P$3,"NOTTE",$C5:$P5,AG$3)=0))=3,AG$3&amp;", ",AG$3&amp;IF((AG5&lt;&gt;"Xm")*(COUNTIFS($C$3:$P$3,"MAT",$C5:$P5,AG$3)=0)*(COUNTIFS($C$3:$P$3,"NOTTE",$C5:$P5,AG$3)=0),"_m","")&amp;IF((AG5&lt;&gt;"Xp")*(COUNTIFS($C$3:$P$3,"POM",$C5:$P5,AG$3)=0)*(COUNTIFS($C$3:$P$3,"NOTTE",$C5:$P5,AG$3)=0),"_p","")&amp;IF((AG5&lt;&gt;"Xn")*(COUNTIFS($C$3:$P$3,"MAT",$C5:$P5,AG$3)=0)*(COUNTIFS($C$3:$P$3,"POM",$C5:$P5,AG$3)=0)*(COUNTIFS($C$3:$P$3,"NOTTE",$C5:$P5,AG$3)=0),"_n","")&amp;", ")))</f>
        <v/>
      </c>
      <c r="CK5" s="1" t="str">
        <f aca="false">IF((AH5="X")+(AH5="Gn")+(AH5="C")+(AH4="Gn")&gt;0,"",IF(((AH5&lt;&gt;"Xm")*(COUNTIFS($C$3:$P$3,"MAT",$C5:$P5,AH$3)=0)*(COUNTIFS($C$3:$P$3,"NOTTE",$C5:$P5,AH$3)=0))+((AH5&lt;&gt;"Xp")*(COUNTIFS($C$3:$P$3,"POM",$C5:$P5,AH$3)=0)*(COUNTIFS($C$3:$P$3,"NOTTE",$C5:$P5,AH$3)=0))+((AH5&lt;&gt;"Xn")*(COUNTIFS($C$3:$P$3,"MAT",$C5:$P5,AH$3)=0)*(COUNTIFS($C$3:$P$3,"POM",$C5:$P5,AH$3)=0)*(COUNTIFS($C$3:$P$3,"NOTTE",$C5:$P5,AH$3)=0))=0,"",IF(((AH5&lt;&gt;"Xm")*(COUNTIFS($C$3:$P$3,"MAT",$C5:$P5,AH$3)=0)*(COUNTIFS($C$3:$P$3,"NOTTE",$C5:$P5,AH$3)=0))+((AH5&lt;&gt;"Xp")*(COUNTIFS($C$3:$P$3,"POM",$C5:$P5,AH$3)=0)*(COUNTIFS($C$3:$P$3,"NOTTE",$C5:$P5,AH$3)=0))+((AH5&lt;&gt;"Xn")*(COUNTIFS($C$3:$P$3,"MAT",$C5:$P5,AH$3)=0)*(COUNTIFS($C$3:$P$3,"POM",$C5:$P5,AH$3)=0)*(COUNTIFS($C$3:$P$3,"NOTTE",$C5:$P5,AH$3)=0))=3,AH$3&amp;", ",AH$3&amp;IF((AH5&lt;&gt;"Xm")*(COUNTIFS($C$3:$P$3,"MAT",$C5:$P5,AH$3)=0)*(COUNTIFS($C$3:$P$3,"NOTTE",$C5:$P5,AH$3)=0),"_m","")&amp;IF((AH5&lt;&gt;"Xp")*(COUNTIFS($C$3:$P$3,"POM",$C5:$P5,AH$3)=0)*(COUNTIFS($C$3:$P$3,"NOTTE",$C5:$P5,AH$3)=0),"_p","")&amp;IF((AH5&lt;&gt;"Xn")*(COUNTIFS($C$3:$P$3,"MAT",$C5:$P5,AH$3)=0)*(COUNTIFS($C$3:$P$3,"POM",$C5:$P5,AH$3)=0)*(COUNTIFS($C$3:$P$3,"NOTTE",$C5:$P5,AH$3)=0),"_n","")&amp;", ")))</f>
        <v>MARINI_m_n, </v>
      </c>
      <c r="CL5" s="1" t="str">
        <f aca="false">IF((AI5="X")+(AI5="Gn")+(AI5="C")+(AI4="Gn")&gt;0,"",IF(((AI5&lt;&gt;"Xm")*(COUNTIFS($C$3:$P$3,"MAT",$C5:$P5,AI$3)=0)*(COUNTIFS($C$3:$P$3,"NOTTE",$C5:$P5,AI$3)=0))+((AI5&lt;&gt;"Xp")*(COUNTIFS($C$3:$P$3,"POM",$C5:$P5,AI$3)=0)*(COUNTIFS($C$3:$P$3,"NOTTE",$C5:$P5,AI$3)=0))+((AI5&lt;&gt;"Xn")*(COUNTIFS($C$3:$P$3,"MAT",$C5:$P5,AI$3)=0)*(COUNTIFS($C$3:$P$3,"POM",$C5:$P5,AI$3)=0)*(COUNTIFS($C$3:$P$3,"NOTTE",$C5:$P5,AI$3)=0))=0,"",IF(((AI5&lt;&gt;"Xm")*(COUNTIFS($C$3:$P$3,"MAT",$C5:$P5,AI$3)=0)*(COUNTIFS($C$3:$P$3,"NOTTE",$C5:$P5,AI$3)=0))+((AI5&lt;&gt;"Xp")*(COUNTIFS($C$3:$P$3,"POM",$C5:$P5,AI$3)=0)*(COUNTIFS($C$3:$P$3,"NOTTE",$C5:$P5,AI$3)=0))+((AI5&lt;&gt;"Xn")*(COUNTIFS($C$3:$P$3,"MAT",$C5:$P5,AI$3)=0)*(COUNTIFS($C$3:$P$3,"POM",$C5:$P5,AI$3)=0)*(COUNTIFS($C$3:$P$3,"NOTTE",$C5:$P5,AI$3)=0))=3,AI$3&amp;", ",AI$3&amp;IF((AI5&lt;&gt;"Xm")*(COUNTIFS($C$3:$P$3,"MAT",$C5:$P5,AI$3)=0)*(COUNTIFS($C$3:$P$3,"NOTTE",$C5:$P5,AI$3)=0),"_m","")&amp;IF((AI5&lt;&gt;"Xp")*(COUNTIFS($C$3:$P$3,"POM",$C5:$P5,AI$3)=0)*(COUNTIFS($C$3:$P$3,"NOTTE",$C5:$P5,AI$3)=0),"_p","")&amp;IF((AI5&lt;&gt;"Xn")*(COUNTIFS($C$3:$P$3,"MAT",$C5:$P5,AI$3)=0)*(COUNTIFS($C$3:$P$3,"POM",$C5:$P5,AI$3)=0)*(COUNTIFS($C$3:$P$3,"NOTTE",$C5:$P5,AI$3)=0),"_n","")&amp;", ")))</f>
        <v/>
      </c>
      <c r="CM5" s="1" t="str">
        <f aca="false">IF((AJ5="X")+(AJ5="Gn")+(AJ5="C")+(AJ4="Gn")&gt;0,"",IF(((AJ5&lt;&gt;"Xm")*(COUNTIFS($C$3:$P$3,"MAT",$C5:$P5,AJ$3)=0)*(COUNTIFS($C$3:$P$3,"NOTTE",$C5:$P5,AJ$3)=0))+((AJ5&lt;&gt;"Xp")*(COUNTIFS($C$3:$P$3,"POM",$C5:$P5,AJ$3)=0)*(COUNTIFS($C$3:$P$3,"NOTTE",$C5:$P5,AJ$3)=0))+((AJ5&lt;&gt;"Xn")*(COUNTIFS($C$3:$P$3,"MAT",$C5:$P5,AJ$3)=0)*(COUNTIFS($C$3:$P$3,"POM",$C5:$P5,AJ$3)=0)*(COUNTIFS($C$3:$P$3,"NOTTE",$C5:$P5,AJ$3)=0))=0,"",IF(((AJ5&lt;&gt;"Xm")*(COUNTIFS($C$3:$P$3,"MAT",$C5:$P5,AJ$3)=0)*(COUNTIFS($C$3:$P$3,"NOTTE",$C5:$P5,AJ$3)=0))+((AJ5&lt;&gt;"Xp")*(COUNTIFS($C$3:$P$3,"POM",$C5:$P5,AJ$3)=0)*(COUNTIFS($C$3:$P$3,"NOTTE",$C5:$P5,AJ$3)=0))+((AJ5&lt;&gt;"Xn")*(COUNTIFS($C$3:$P$3,"MAT",$C5:$P5,AJ$3)=0)*(COUNTIFS($C$3:$P$3,"POM",$C5:$P5,AJ$3)=0)*(COUNTIFS($C$3:$P$3,"NOTTE",$C5:$P5,AJ$3)=0))=3,AJ$3&amp;", ",AJ$3&amp;IF((AJ5&lt;&gt;"Xm")*(COUNTIFS($C$3:$P$3,"MAT",$C5:$P5,AJ$3)=0)*(COUNTIFS($C$3:$P$3,"NOTTE",$C5:$P5,AJ$3)=0),"_m","")&amp;IF((AJ5&lt;&gt;"Xp")*(COUNTIFS($C$3:$P$3,"POM",$C5:$P5,AJ$3)=0)*(COUNTIFS($C$3:$P$3,"NOTTE",$C5:$P5,AJ$3)=0),"_p","")&amp;IF((AJ5&lt;&gt;"Xn")*(COUNTIFS($C$3:$P$3,"MAT",$C5:$P5,AJ$3)=0)*(COUNTIFS($C$3:$P$3,"POM",$C5:$P5,AJ$3)=0)*(COUNTIFS($C$3:$P$3,"NOTTE",$C5:$P5,AJ$3)=0),"_n","")&amp;", ")))</f>
        <v/>
      </c>
      <c r="CN5" s="1" t="str">
        <f aca="false">IF((AK5="X")+(AK5="Gn")+(AK5="C")+(AK4="Gn")&gt;0,"",IF(((AK5&lt;&gt;"Xm")*(COUNTIFS($C$3:$P$3,"MAT",$C5:$P5,AK$3)=0)*(COUNTIFS($C$3:$P$3,"NOTTE",$C5:$P5,AK$3)=0))+((AK5&lt;&gt;"Xp")*(COUNTIFS($C$3:$P$3,"POM",$C5:$P5,AK$3)=0)*(COUNTIFS($C$3:$P$3,"NOTTE",$C5:$P5,AK$3)=0))+((AK5&lt;&gt;"Xn")*(COUNTIFS($C$3:$P$3,"MAT",$C5:$P5,AK$3)=0)*(COUNTIFS($C$3:$P$3,"POM",$C5:$P5,AK$3)=0)*(COUNTIFS($C$3:$P$3,"NOTTE",$C5:$P5,AK$3)=0))=0,"",IF(((AK5&lt;&gt;"Xm")*(COUNTIFS($C$3:$P$3,"MAT",$C5:$P5,AK$3)=0)*(COUNTIFS($C$3:$P$3,"NOTTE",$C5:$P5,AK$3)=0))+((AK5&lt;&gt;"Xp")*(COUNTIFS($C$3:$P$3,"POM",$C5:$P5,AK$3)=0)*(COUNTIFS($C$3:$P$3,"NOTTE",$C5:$P5,AK$3)=0))+((AK5&lt;&gt;"Xn")*(COUNTIFS($C$3:$P$3,"MAT",$C5:$P5,AK$3)=0)*(COUNTIFS($C$3:$P$3,"POM",$C5:$P5,AK$3)=0)*(COUNTIFS($C$3:$P$3,"NOTTE",$C5:$P5,AK$3)=0))=3,AK$3&amp;", ",AK$3&amp;IF((AK5&lt;&gt;"Xm")*(COUNTIFS($C$3:$P$3,"MAT",$C5:$P5,AK$3)=0)*(COUNTIFS($C$3:$P$3,"NOTTE",$C5:$P5,AK$3)=0),"_m","")&amp;IF((AK5&lt;&gt;"Xp")*(COUNTIFS($C$3:$P$3,"POM",$C5:$P5,AK$3)=0)*(COUNTIFS($C$3:$P$3,"NOTTE",$C5:$P5,AK$3)=0),"_p","")&amp;IF((AK5&lt;&gt;"Xn")*(COUNTIFS($C$3:$P$3,"MAT",$C5:$P5,AK$3)=0)*(COUNTIFS($C$3:$P$3,"POM",$C5:$P5,AK$3)=0)*(COUNTIFS($C$3:$P$3,"NOTTE",$C5:$P5,AK$3)=0),"_n","")&amp;", ")))</f>
        <v>FERRARI_p, </v>
      </c>
      <c r="CO5" s="1" t="str">
        <f aca="false">IF((AL5="X")+(AL5="Gn")+(AL5="C")+(AL4="Gn")&gt;0,"",IF(((AL5&lt;&gt;"Xm")*(COUNTIFS($C$3:$P$3,"MAT",$C5:$P5,AL$3)=0)*(COUNTIFS($C$3:$P$3,"NOTTE",$C5:$P5,AL$3)=0))+((AL5&lt;&gt;"Xp")*(COUNTIFS($C$3:$P$3,"POM",$C5:$P5,AL$3)=0)*(COUNTIFS($C$3:$P$3,"NOTTE",$C5:$P5,AL$3)=0))+((AL5&lt;&gt;"Xn")*(COUNTIFS($C$3:$P$3,"MAT",$C5:$P5,AL$3)=0)*(COUNTIFS($C$3:$P$3,"POM",$C5:$P5,AL$3)=0)*(COUNTIFS($C$3:$P$3,"NOTTE",$C5:$P5,AL$3)=0))=0,"",IF(((AL5&lt;&gt;"Xm")*(COUNTIFS($C$3:$P$3,"MAT",$C5:$P5,AL$3)=0)*(COUNTIFS($C$3:$P$3,"NOTTE",$C5:$P5,AL$3)=0))+((AL5&lt;&gt;"Xp")*(COUNTIFS($C$3:$P$3,"POM",$C5:$P5,AL$3)=0)*(COUNTIFS($C$3:$P$3,"NOTTE",$C5:$P5,AL$3)=0))+((AL5&lt;&gt;"Xn")*(COUNTIFS($C$3:$P$3,"MAT",$C5:$P5,AL$3)=0)*(COUNTIFS($C$3:$P$3,"POM",$C5:$P5,AL$3)=0)*(COUNTIFS($C$3:$P$3,"NOTTE",$C5:$P5,AL$3)=0))=3,AL$3&amp;", ",AL$3&amp;IF((AL5&lt;&gt;"Xm")*(COUNTIFS($C$3:$P$3,"MAT",$C5:$P5,AL$3)=0)*(COUNTIFS($C$3:$P$3,"NOTTE",$C5:$P5,AL$3)=0),"_m","")&amp;IF((AL5&lt;&gt;"Xp")*(COUNTIFS($C$3:$P$3,"POM",$C5:$P5,AL$3)=0)*(COUNTIFS($C$3:$P$3,"NOTTE",$C5:$P5,AL$3)=0),"_p","")&amp;IF((AL5&lt;&gt;"Xn")*(COUNTIFS($C$3:$P$3,"MAT",$C5:$P5,AL$3)=0)*(COUNTIFS($C$3:$P$3,"POM",$C5:$P5,AL$3)=0)*(COUNTIFS($C$3:$P$3,"NOTTE",$C5:$P5,AL$3)=0),"_n","")&amp;", ")))</f>
        <v/>
      </c>
      <c r="CP5" s="1" t="str">
        <f aca="false">IF((AM5="X")+(AM5="Gn")+(AM5="C")+(AM4="Gn")&gt;0,"",IF(((AM5&lt;&gt;"Xm")*(COUNTIFS($C$3:$P$3,"MAT",$C5:$P5,AM$3)=0)*(COUNTIFS($C$3:$P$3,"NOTTE",$C5:$P5,AM$3)=0))+((AM5&lt;&gt;"Xp")*(COUNTIFS($C$3:$P$3,"POM",$C5:$P5,AM$3)=0)*(COUNTIFS($C$3:$P$3,"NOTTE",$C5:$P5,AM$3)=0))+((AM5&lt;&gt;"Xn")*(COUNTIFS($C$3:$P$3,"MAT",$C5:$P5,AM$3)=0)*(COUNTIFS($C$3:$P$3,"POM",$C5:$P5,AM$3)=0)*(COUNTIFS($C$3:$P$3,"NOTTE",$C5:$P5,AM$3)=0))=0,"",IF(((AM5&lt;&gt;"Xm")*(COUNTIFS($C$3:$P$3,"MAT",$C5:$P5,AM$3)=0)*(COUNTIFS($C$3:$P$3,"NOTTE",$C5:$P5,AM$3)=0))+((AM5&lt;&gt;"Xp")*(COUNTIFS($C$3:$P$3,"POM",$C5:$P5,AM$3)=0)*(COUNTIFS($C$3:$P$3,"NOTTE",$C5:$P5,AM$3)=0))+((AM5&lt;&gt;"Xn")*(COUNTIFS($C$3:$P$3,"MAT",$C5:$P5,AM$3)=0)*(COUNTIFS($C$3:$P$3,"POM",$C5:$P5,AM$3)=0)*(COUNTIFS($C$3:$P$3,"NOTTE",$C5:$P5,AM$3)=0))=3,AM$3&amp;", ",AM$3&amp;IF((AM5&lt;&gt;"Xm")*(COUNTIFS($C$3:$P$3,"MAT",$C5:$P5,AM$3)=0)*(COUNTIFS($C$3:$P$3,"NOTTE",$C5:$P5,AM$3)=0),"_m","")&amp;IF((AM5&lt;&gt;"Xp")*(COUNTIFS($C$3:$P$3,"POM",$C5:$P5,AM$3)=0)*(COUNTIFS($C$3:$P$3,"NOTTE",$C5:$P5,AM$3)=0),"_p","")&amp;IF((AM5&lt;&gt;"Xn")*(COUNTIFS($C$3:$P$3,"MAT",$C5:$P5,AM$3)=0)*(COUNTIFS($C$3:$P$3,"POM",$C5:$P5,AM$3)=0)*(COUNTIFS($C$3:$P$3,"NOTTE",$C5:$P5,AM$3)=0),"_n","")&amp;", ")))</f>
        <v>SANNA, </v>
      </c>
      <c r="CQ5" s="1" t="str">
        <f aca="false">IF((AN5="X")+(AN5="Gn")+(AN5="C")+(AN4="Gn")&gt;0,"",IF(((AN5&lt;&gt;"Xm")*(COUNTIFS($C$3:$P$3,"MAT",$C5:$P5,AN$3)=0)*(COUNTIFS($C$3:$P$3,"NOTTE",$C5:$P5,AN$3)=0))+((AN5&lt;&gt;"Xp")*(COUNTIFS($C$3:$P$3,"POM",$C5:$P5,AN$3)=0)*(COUNTIFS($C$3:$P$3,"NOTTE",$C5:$P5,AN$3)=0))+((AN5&lt;&gt;"Xn")*(COUNTIFS($C$3:$P$3,"MAT",$C5:$P5,AN$3)=0)*(COUNTIFS($C$3:$P$3,"POM",$C5:$P5,AN$3)=0)*(COUNTIFS($C$3:$P$3,"NOTTE",$C5:$P5,AN$3)=0))=0,"",IF(((AN5&lt;&gt;"Xm")*(COUNTIFS($C$3:$P$3,"MAT",$C5:$P5,AN$3)=0)*(COUNTIFS($C$3:$P$3,"NOTTE",$C5:$P5,AN$3)=0))+((AN5&lt;&gt;"Xp")*(COUNTIFS($C$3:$P$3,"POM",$C5:$P5,AN$3)=0)*(COUNTIFS($C$3:$P$3,"NOTTE",$C5:$P5,AN$3)=0))+((AN5&lt;&gt;"Xn")*(COUNTIFS($C$3:$P$3,"MAT",$C5:$P5,AN$3)=0)*(COUNTIFS($C$3:$P$3,"POM",$C5:$P5,AN$3)=0)*(COUNTIFS($C$3:$P$3,"NOTTE",$C5:$P5,AN$3)=0))=3,AN$3&amp;", ",AN$3&amp;IF((AN5&lt;&gt;"Xm")*(COUNTIFS($C$3:$P$3,"MAT",$C5:$P5,AN$3)=0)*(COUNTIFS($C$3:$P$3,"NOTTE",$C5:$P5,AN$3)=0),"_m","")&amp;IF((AN5&lt;&gt;"Xp")*(COUNTIFS($C$3:$P$3,"POM",$C5:$P5,AN$3)=0)*(COUNTIFS($C$3:$P$3,"NOTTE",$C5:$P5,AN$3)=0),"_p","")&amp;IF((AN5&lt;&gt;"Xn")*(COUNTIFS($C$3:$P$3,"MAT",$C5:$P5,AN$3)=0)*(COUNTIFS($C$3:$P$3,"POM",$C5:$P5,AN$3)=0)*(COUNTIFS($C$3:$P$3,"NOTTE",$C5:$P5,AN$3)=0),"_n","")&amp;", ")))</f>
        <v/>
      </c>
    </row>
    <row r="6" customFormat="false" ht="15" hidden="false" customHeight="true" outlineLevel="0" collapsed="false">
      <c r="A6" s="15" t="str">
        <f aca="false">CHOOSE(WEEKDAY(DATE($B$1,$A$2,B6),2),"lunedì","martedì","mercoledì","giovedì","venerdì","sabato","domenica")</f>
        <v>martedì</v>
      </c>
      <c r="B6" s="15" t="n">
        <v>3</v>
      </c>
      <c r="C6" s="16" t="s">
        <v>23</v>
      </c>
      <c r="D6" s="16" t="s">
        <v>23</v>
      </c>
      <c r="E6" s="16" t="s">
        <v>28</v>
      </c>
      <c r="F6" s="16" t="s">
        <v>28</v>
      </c>
      <c r="G6" s="16" t="s">
        <v>26</v>
      </c>
      <c r="H6" s="16" t="s">
        <v>26</v>
      </c>
      <c r="I6" s="16" t="s">
        <v>31</v>
      </c>
      <c r="J6" s="16" t="s">
        <v>31</v>
      </c>
      <c r="K6" s="16" t="s">
        <v>29</v>
      </c>
      <c r="L6" s="16"/>
      <c r="M6" s="16" t="s">
        <v>35</v>
      </c>
      <c r="N6" s="16" t="s">
        <v>27</v>
      </c>
      <c r="O6" s="16" t="s">
        <v>27</v>
      </c>
      <c r="P6" s="16" t="s">
        <v>24</v>
      </c>
      <c r="Q6" s="16"/>
      <c r="R6" s="16" t="str">
        <f aca="false">IF(SUMPRODUCT(($C$3:$P$3&lt;&gt;"")*($C6:$P6&lt;&gt;"")*(COUNTIFS($C6:$P6,$C6:$P6,$C$3:$P$3,$C$3:$P$3)&gt;1))&gt;0,"X","")</f>
        <v/>
      </c>
      <c r="S6" s="17" t="str">
        <f aca="false"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MARINI_p_n, CONTI A, CONTI S, GRECO, SANNA</v>
      </c>
      <c r="T6" s="17" t="str">
        <f aca="false"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ROSSI L, HU_p, MARINI_p_n, CONTI S, GRECO, SANNA_m</v>
      </c>
      <c r="Y6" s="15" t="str">
        <f aca="false">A6</f>
        <v>martedì</v>
      </c>
      <c r="Z6" s="15" t="n">
        <f aca="false">B6</f>
        <v>3</v>
      </c>
      <c r="AA6" s="16"/>
      <c r="AB6" s="16"/>
      <c r="AC6" s="16"/>
      <c r="AD6" s="16"/>
      <c r="AE6" s="16"/>
      <c r="AF6" s="16"/>
      <c r="AG6" s="16"/>
      <c r="AH6" s="16" t="s">
        <v>46</v>
      </c>
      <c r="AI6" s="16"/>
      <c r="AJ6" s="16"/>
      <c r="AK6" s="16" t="s">
        <v>44</v>
      </c>
      <c r="AL6" s="16"/>
      <c r="AM6" s="16"/>
      <c r="AN6" s="16" t="s">
        <v>42</v>
      </c>
      <c r="AP6" s="11" t="s">
        <v>43</v>
      </c>
      <c r="AQ6" s="12" t="s">
        <v>48</v>
      </c>
      <c r="AS6" s="13" t="str">
        <f aca="false">AC$3</f>
        <v>ROSSI L</v>
      </c>
      <c r="AT6" s="13" t="n">
        <f aca="false">COUNTIF($C$4:$D$33,$AS6)</f>
        <v>0</v>
      </c>
      <c r="AU6" s="13" t="n">
        <f aca="false">COUNTIF($E$4:$F$33,$AS6)</f>
        <v>0</v>
      </c>
      <c r="AV6" s="13" t="n">
        <f aca="false">COUNTIF($G$4:$H$33,$AS6)</f>
        <v>0</v>
      </c>
      <c r="AW6" s="13" t="n">
        <f aca="false">COUNTIF($I$4:$J$33,$AS6)</f>
        <v>0</v>
      </c>
      <c r="AX6" s="13" t="n">
        <f aca="false">COUNTIF($K$4:$K$33,$AS6)</f>
        <v>0</v>
      </c>
      <c r="AY6" s="13" t="n">
        <f aca="false">COUNTIF($L$4:$L$33,$AS6)</f>
        <v>0</v>
      </c>
      <c r="AZ6" s="13" t="n">
        <f aca="false">COUNTIF($M$4:$M$33,$AS6)</f>
        <v>0</v>
      </c>
      <c r="BA6" s="13" t="n">
        <f aca="false">COUNTIF($N$4:$P$33,$AS6)</f>
        <v>37</v>
      </c>
      <c r="BB6" s="13" t="n">
        <f aca="false">COUNTIF($C$4:$P$33,$AS6)</f>
        <v>37</v>
      </c>
      <c r="BD6" s="14" t="str">
        <f aca="false">AC$3</f>
        <v>ROSSI L</v>
      </c>
      <c r="BE6" s="14"/>
      <c r="BF6" s="14"/>
      <c r="BG6" s="14"/>
      <c r="BH6" s="14"/>
      <c r="BI6" s="14"/>
      <c r="BJ6" s="14"/>
      <c r="BK6" s="14"/>
      <c r="BL6" s="14"/>
      <c r="BM6" s="14"/>
      <c r="BO6" s="1" t="str">
        <f aca="false">IF((AA6="X")+(AA6="Gn")+(AA6="C")+(AA5="Gn")&gt;0,"",IF(((AA6&lt;&gt;"Xm"))+((AA6&lt;&gt;"Xp"))+((AA6&lt;&gt;"Xn"))=0,"",IF(((AA6&lt;&gt;"Xm"))+((AA6&lt;&gt;"Xp"))+((AA6&lt;&gt;"Xn"))=3,AA$3&amp;", ",AA$3&amp;IF((AA6&lt;&gt;"Xm"),"_m","")&amp;IF((AA6&lt;&gt;"Xp"),"_p","")&amp;IF((AA6&lt;&gt;"Xn"),"_n","")&amp;", ")))</f>
        <v>LEONI, </v>
      </c>
      <c r="BP6" s="1" t="str">
        <f aca="false">IF((AB6="X")+(AB6="Gn")+(AB6="C")+(AB5="Gn")&gt;0,"",IF(((AB6&lt;&gt;"Xm"))+((AB6&lt;&gt;"Xp"))+((AB6&lt;&gt;"Xn"))=0,"",IF(((AB6&lt;&gt;"Xm"))+((AB6&lt;&gt;"Xp"))+((AB6&lt;&gt;"Xn"))=3,AB$3&amp;", ",AB$3&amp;IF((AB6&lt;&gt;"Xm"),"_m","")&amp;IF((AB6&lt;&gt;"Xp"),"_p","")&amp;IF((AB6&lt;&gt;"Xn"),"_n","")&amp;", ")))</f>
        <v>ROSSI M, </v>
      </c>
      <c r="BQ6" s="1" t="str">
        <f aca="false">IF((AC6="X")+(AC6="Gn")+(AC6="C")+(AC5="Gn")&gt;0,"",IF(((AC6&lt;&gt;"Xm"))+((AC6&lt;&gt;"Xp"))+((AC6&lt;&gt;"Xn"))=0,"",IF(((AC6&lt;&gt;"Xm"))+((AC6&lt;&gt;"Xp"))+((AC6&lt;&gt;"Xn"))=3,AC$3&amp;", ",AC$3&amp;IF((AC6&lt;&gt;"Xm"),"_m","")&amp;IF((AC6&lt;&gt;"Xp"),"_p","")&amp;IF((AC6&lt;&gt;"Xn"),"_n","")&amp;", ")))</f>
        <v>ROSSI L, </v>
      </c>
      <c r="BR6" s="1" t="str">
        <f aca="false">IF((AD6="X")+(AD6="Gn")+(AD6="C")+(AD5="Gn")&gt;0,"",IF(((AD6&lt;&gt;"Xm"))+((AD6&lt;&gt;"Xp"))+((AD6&lt;&gt;"Xn"))=0,"",IF(((AD6&lt;&gt;"Xm"))+((AD6&lt;&gt;"Xp"))+((AD6&lt;&gt;"Xn"))=3,AD$3&amp;", ",AD$3&amp;IF((AD6&lt;&gt;"Xm"),"_m","")&amp;IF((AD6&lt;&gt;"Xp"),"_p","")&amp;IF((AD6&lt;&gt;"Xn"),"_n","")&amp;", ")))</f>
        <v>GALLINA, </v>
      </c>
      <c r="BS6" s="1" t="str">
        <f aca="false">IF((AE6="X")+(AE6="Gn")+(AE6="C")+(AE5="Gn")&gt;0,"",IF(((AE6&lt;&gt;"Xm"))+((AE6&lt;&gt;"Xp"))+((AE6&lt;&gt;"Xn"))=0,"",IF(((AE6&lt;&gt;"Xm"))+((AE6&lt;&gt;"Xp"))+((AE6&lt;&gt;"Xn"))=3,AE$3&amp;", ",AE$3&amp;IF((AE6&lt;&gt;"Xm"),"_m","")&amp;IF((AE6&lt;&gt;"Xp"),"_p","")&amp;IF((AE6&lt;&gt;"Xn"),"_n","")&amp;", ")))</f>
        <v>RUSSO, </v>
      </c>
      <c r="BT6" s="1" t="str">
        <f aca="false">IF((AF6="X")+(AF6="Gn")+(AF6="C")+(AF5="Gn")&gt;0,"",IF(((AF6&lt;&gt;"Xm"))+((AF6&lt;&gt;"Xp"))+((AF6&lt;&gt;"Xn"))=0,"",IF(((AF6&lt;&gt;"Xm"))+((AF6&lt;&gt;"Xp"))+((AF6&lt;&gt;"Xn"))=3,AF$3&amp;", ",AF$3&amp;IF((AF6&lt;&gt;"Xm"),"_m","")&amp;IF((AF6&lt;&gt;"Xp"),"_p","")&amp;IF((AF6&lt;&gt;"Xn"),"_n","")&amp;", ")))</f>
        <v>VERDI, </v>
      </c>
      <c r="BU6" s="1" t="str">
        <f aca="false">IF((AG6="X")+(AG6="Gn")+(AG6="C")+(AG5="Gn")&gt;0,"",IF(((AG6&lt;&gt;"Xm"))+((AG6&lt;&gt;"Xp"))+((AG6&lt;&gt;"Xn"))=0,"",IF(((AG6&lt;&gt;"Xm"))+((AG6&lt;&gt;"Xp"))+((AG6&lt;&gt;"Xn"))=3,AG$3&amp;", ",AG$3&amp;IF((AG6&lt;&gt;"Xm"),"_m","")&amp;IF((AG6&lt;&gt;"Xp"),"_p","")&amp;IF((AG6&lt;&gt;"Xn"),"_n","")&amp;", ")))</f>
        <v>HU, </v>
      </c>
      <c r="BV6" s="1" t="str">
        <f aca="false">IF((AH6="X")+(AH6="Gn")+(AH6="C")+(AH5="Gn")&gt;0,"",IF(((AH6&lt;&gt;"Xm"))+((AH6&lt;&gt;"Xp"))+((AH6&lt;&gt;"Xn"))=0,"",IF(((AH6&lt;&gt;"Xm"))+((AH6&lt;&gt;"Xp"))+((AH6&lt;&gt;"Xn"))=3,AH$3&amp;", ",AH$3&amp;IF((AH6&lt;&gt;"Xm"),"_m","")&amp;IF((AH6&lt;&gt;"Xp"),"_p","")&amp;IF((AH6&lt;&gt;"Xn"),"_n","")&amp;", ")))</f>
        <v>MARINI_p_n, </v>
      </c>
      <c r="BW6" s="1" t="str">
        <f aca="false">IF((AI6="X")+(AI6="Gn")+(AI6="C")+(AI5="Gn")&gt;0,"",IF(((AI6&lt;&gt;"Xm"))+((AI6&lt;&gt;"Xp"))+((AI6&lt;&gt;"Xn"))=0,"",IF(((AI6&lt;&gt;"Xm"))+((AI6&lt;&gt;"Xp"))+((AI6&lt;&gt;"Xn"))=3,AI$3&amp;", ",AI$3&amp;IF((AI6&lt;&gt;"Xm"),"_m","")&amp;IF((AI6&lt;&gt;"Xp"),"_p","")&amp;IF((AI6&lt;&gt;"Xn"),"_n","")&amp;", ")))</f>
        <v>CONTI A, </v>
      </c>
      <c r="BX6" s="1" t="str">
        <f aca="false">IF((AJ6="X")+(AJ6="Gn")+(AJ6="C")+(AJ5="Gn")&gt;0,"",IF(((AJ6&lt;&gt;"Xm"))+((AJ6&lt;&gt;"Xp"))+((AJ6&lt;&gt;"Xn"))=0,"",IF(((AJ6&lt;&gt;"Xm"))+((AJ6&lt;&gt;"Xp"))+((AJ6&lt;&gt;"Xn"))=3,AJ$3&amp;", ",AJ$3&amp;IF((AJ6&lt;&gt;"Xm"),"_m","")&amp;IF((AJ6&lt;&gt;"Xp"),"_p","")&amp;IF((AJ6&lt;&gt;"Xn"),"_n","")&amp;", ")))</f>
        <v>CONTI S, </v>
      </c>
      <c r="BY6" s="1" t="str">
        <f aca="false">IF((AK6="X")+(AK6="Gn")+(AK6="C")+(AK5="Gn")&gt;0,"",IF(((AK6&lt;&gt;"Xm"))+((AK6&lt;&gt;"Xp"))+((AK6&lt;&gt;"Xn"))=0,"",IF(((AK6&lt;&gt;"Xm"))+((AK6&lt;&gt;"Xp"))+((AK6&lt;&gt;"Xn"))=3,AK$3&amp;", ",AK$3&amp;IF((AK6&lt;&gt;"Xm"),"_m","")&amp;IF((AK6&lt;&gt;"Xp"),"_p","")&amp;IF((AK6&lt;&gt;"Xn"),"_n","")&amp;", ")))</f>
        <v/>
      </c>
      <c r="BZ6" s="1" t="str">
        <f aca="false">IF((AL6="X")+(AL6="Gn")+(AL6="C")+(AL5="Gn")&gt;0,"",IF(((AL6&lt;&gt;"Xm"))+((AL6&lt;&gt;"Xp"))+((AL6&lt;&gt;"Xn"))=0,"",IF(((AL6&lt;&gt;"Xm"))+((AL6&lt;&gt;"Xp"))+((AL6&lt;&gt;"Xn"))=3,AL$3&amp;", ",AL$3&amp;IF((AL6&lt;&gt;"Xm"),"_m","")&amp;IF((AL6&lt;&gt;"Xp"),"_p","")&amp;IF((AL6&lt;&gt;"Xn"),"_n","")&amp;", ")))</f>
        <v>GRECO, </v>
      </c>
      <c r="CA6" s="1" t="str">
        <f aca="false">IF((AM6="X")+(AM6="Gn")+(AM6="C")+(AM5="Gn")&gt;0,"",IF(((AM6&lt;&gt;"Xm"))+((AM6&lt;&gt;"Xp"))+((AM6&lt;&gt;"Xn"))=0,"",IF(((AM6&lt;&gt;"Xm"))+((AM6&lt;&gt;"Xp"))+((AM6&lt;&gt;"Xn"))=3,AM$3&amp;", ",AM$3&amp;IF((AM6&lt;&gt;"Xm"),"_m","")&amp;IF((AM6&lt;&gt;"Xp"),"_p","")&amp;IF((AM6&lt;&gt;"Xn"),"_n","")&amp;", ")))</f>
        <v>SANNA, </v>
      </c>
      <c r="CB6" s="1" t="str">
        <f aca="false">IF((AN6="X")+(AN6="Gn")+(AN6="C")+(AN5="Gn")&gt;0,"",IF(((AN6&lt;&gt;"Xm"))+((AN6&lt;&gt;"Xp"))+((AN6&lt;&gt;"Xn"))=0,"",IF(((AN6&lt;&gt;"Xm"))+((AN6&lt;&gt;"Xp"))+((AN6&lt;&gt;"Xn"))=3,AN$3&amp;", ",AN$3&amp;IF((AN6&lt;&gt;"Xm"),"_m","")&amp;IF((AN6&lt;&gt;"Xp"),"_p","")&amp;IF((AN6&lt;&gt;"Xn"),"_n","")&amp;", ")))</f>
        <v/>
      </c>
      <c r="CD6" s="1" t="str">
        <f aca="false">IF((AA6="X")+(AA6="Gn")+(AA6="C")+(AA5="Gn")&gt;0,"",IF(((AA6&lt;&gt;"Xm")*(COUNTIFS($C$3:$P$3,"MAT",$C6:$P6,AA$3)=0)*(COUNTIFS($C$3:$P$3,"NOTTE",$C6:$P6,AA$3)=0))+((AA6&lt;&gt;"Xp")*(COUNTIFS($C$3:$P$3,"POM",$C6:$P6,AA$3)=0)*(COUNTIFS($C$3:$P$3,"NOTTE",$C6:$P6,AA$3)=0))+((AA6&lt;&gt;"Xn")*(COUNTIFS($C$3:$P$3,"MAT",$C6:$P6,AA$3)=0)*(COUNTIFS($C$3:$P$3,"POM",$C6:$P6,AA$3)=0)*(COUNTIFS($C$3:$P$3,"NOTTE",$C6:$P6,AA$3)=0))=0,"",IF(((AA6&lt;&gt;"Xm")*(COUNTIFS($C$3:$P$3,"MAT",$C6:$P6,AA$3)=0)*(COUNTIFS($C$3:$P$3,"NOTTE",$C6:$P6,AA$3)=0))+((AA6&lt;&gt;"Xp")*(COUNTIFS($C$3:$P$3,"POM",$C6:$P6,AA$3)=0)*(COUNTIFS($C$3:$P$3,"NOTTE",$C6:$P6,AA$3)=0))+((AA6&lt;&gt;"Xn")*(COUNTIFS($C$3:$P$3,"MAT",$C6:$P6,AA$3)=0)*(COUNTIFS($C$3:$P$3,"POM",$C6:$P6,AA$3)=0)*(COUNTIFS($C$3:$P$3,"NOTTE",$C6:$P6,AA$3)=0))=3,AA$3&amp;", ",AA$3&amp;IF((AA6&lt;&gt;"Xm")*(COUNTIFS($C$3:$P$3,"MAT",$C6:$P6,AA$3)=0)*(COUNTIFS($C$3:$P$3,"NOTTE",$C6:$P6,AA$3)=0),"_m","")&amp;IF((AA6&lt;&gt;"Xp")*(COUNTIFS($C$3:$P$3,"POM",$C6:$P6,AA$3)=0)*(COUNTIFS($C$3:$P$3,"NOTTE",$C6:$P6,AA$3)=0),"_p","")&amp;IF((AA6&lt;&gt;"Xn")*(COUNTIFS($C$3:$P$3,"MAT",$C6:$P6,AA$3)=0)*(COUNTIFS($C$3:$P$3,"POM",$C6:$P6,AA$3)=0)*(COUNTIFS($C$3:$P$3,"NOTTE",$C6:$P6,AA$3)=0),"_n","")&amp;", ")))</f>
        <v/>
      </c>
      <c r="CE6" s="1" t="str">
        <f aca="false">IF((AB6="X")+(AB6="Gn")+(AB6="C")+(AB5="Gn")&gt;0,"",IF(((AB6&lt;&gt;"Xm")*(COUNTIFS($C$3:$P$3,"MAT",$C6:$P6,AB$3)=0)*(COUNTIFS($C$3:$P$3,"NOTTE",$C6:$P6,AB$3)=0))+((AB6&lt;&gt;"Xp")*(COUNTIFS($C$3:$P$3,"POM",$C6:$P6,AB$3)=0)*(COUNTIFS($C$3:$P$3,"NOTTE",$C6:$P6,AB$3)=0))+((AB6&lt;&gt;"Xn")*(COUNTIFS($C$3:$P$3,"MAT",$C6:$P6,AB$3)=0)*(COUNTIFS($C$3:$P$3,"POM",$C6:$P6,AB$3)=0)*(COUNTIFS($C$3:$P$3,"NOTTE",$C6:$P6,AB$3)=0))=0,"",IF(((AB6&lt;&gt;"Xm")*(COUNTIFS($C$3:$P$3,"MAT",$C6:$P6,AB$3)=0)*(COUNTIFS($C$3:$P$3,"NOTTE",$C6:$P6,AB$3)=0))+((AB6&lt;&gt;"Xp")*(COUNTIFS($C$3:$P$3,"POM",$C6:$P6,AB$3)=0)*(COUNTIFS($C$3:$P$3,"NOTTE",$C6:$P6,AB$3)=0))+((AB6&lt;&gt;"Xn")*(COUNTIFS($C$3:$P$3,"MAT",$C6:$P6,AB$3)=0)*(COUNTIFS($C$3:$P$3,"POM",$C6:$P6,AB$3)=0)*(COUNTIFS($C$3:$P$3,"NOTTE",$C6:$P6,AB$3)=0))=3,AB$3&amp;", ",AB$3&amp;IF((AB6&lt;&gt;"Xm")*(COUNTIFS($C$3:$P$3,"MAT",$C6:$P6,AB$3)=0)*(COUNTIFS($C$3:$P$3,"NOTTE",$C6:$P6,AB$3)=0),"_m","")&amp;IF((AB6&lt;&gt;"Xp")*(COUNTIFS($C$3:$P$3,"POM",$C6:$P6,AB$3)=0)*(COUNTIFS($C$3:$P$3,"NOTTE",$C6:$P6,AB$3)=0),"_p","")&amp;IF((AB6&lt;&gt;"Xn")*(COUNTIFS($C$3:$P$3,"MAT",$C6:$P6,AB$3)=0)*(COUNTIFS($C$3:$P$3,"POM",$C6:$P6,AB$3)=0)*(COUNTIFS($C$3:$P$3,"NOTTE",$C6:$P6,AB$3)=0),"_n","")&amp;", ")))</f>
        <v/>
      </c>
      <c r="CF6" s="1" t="str">
        <f aca="false">IF((AC6="X")+(AC6="Gn")+(AC6="C")+(AC5="Gn")&gt;0,"",IF(((AC6&lt;&gt;"Xm")*(COUNTIFS($C$3:$P$3,"MAT",$C6:$P6,AC$3)=0)*(COUNTIFS($C$3:$P$3,"NOTTE",$C6:$P6,AC$3)=0))+((AC6&lt;&gt;"Xp")*(COUNTIFS($C$3:$P$3,"POM",$C6:$P6,AC$3)=0)*(COUNTIFS($C$3:$P$3,"NOTTE",$C6:$P6,AC$3)=0))+((AC6&lt;&gt;"Xn")*(COUNTIFS($C$3:$P$3,"MAT",$C6:$P6,AC$3)=0)*(COUNTIFS($C$3:$P$3,"POM",$C6:$P6,AC$3)=0)*(COUNTIFS($C$3:$P$3,"NOTTE",$C6:$P6,AC$3)=0))=0,"",IF(((AC6&lt;&gt;"Xm")*(COUNTIFS($C$3:$P$3,"MAT",$C6:$P6,AC$3)=0)*(COUNTIFS($C$3:$P$3,"NOTTE",$C6:$P6,AC$3)=0))+((AC6&lt;&gt;"Xp")*(COUNTIFS($C$3:$P$3,"POM",$C6:$P6,AC$3)=0)*(COUNTIFS($C$3:$P$3,"NOTTE",$C6:$P6,AC$3)=0))+((AC6&lt;&gt;"Xn")*(COUNTIFS($C$3:$P$3,"MAT",$C6:$P6,AC$3)=0)*(COUNTIFS($C$3:$P$3,"POM",$C6:$P6,AC$3)=0)*(COUNTIFS($C$3:$P$3,"NOTTE",$C6:$P6,AC$3)=0))=3,AC$3&amp;", ",AC$3&amp;IF((AC6&lt;&gt;"Xm")*(COUNTIFS($C$3:$P$3,"MAT",$C6:$P6,AC$3)=0)*(COUNTIFS($C$3:$P$3,"NOTTE",$C6:$P6,AC$3)=0),"_m","")&amp;IF((AC6&lt;&gt;"Xp")*(COUNTIFS($C$3:$P$3,"POM",$C6:$P6,AC$3)=0)*(COUNTIFS($C$3:$P$3,"NOTTE",$C6:$P6,AC$3)=0),"_p","")&amp;IF((AC6&lt;&gt;"Xn")*(COUNTIFS($C$3:$P$3,"MAT",$C6:$P6,AC$3)=0)*(COUNTIFS($C$3:$P$3,"POM",$C6:$P6,AC$3)=0)*(COUNTIFS($C$3:$P$3,"NOTTE",$C6:$P6,AC$3)=0),"_n","")&amp;", ")))</f>
        <v>ROSSI L, </v>
      </c>
      <c r="CG6" s="1" t="str">
        <f aca="false">IF((AD6="X")+(AD6="Gn")+(AD6="C")+(AD5="Gn")&gt;0,"",IF(((AD6&lt;&gt;"Xm")*(COUNTIFS($C$3:$P$3,"MAT",$C6:$P6,AD$3)=0)*(COUNTIFS($C$3:$P$3,"NOTTE",$C6:$P6,AD$3)=0))+((AD6&lt;&gt;"Xp")*(COUNTIFS($C$3:$P$3,"POM",$C6:$P6,AD$3)=0)*(COUNTIFS($C$3:$P$3,"NOTTE",$C6:$P6,AD$3)=0))+((AD6&lt;&gt;"Xn")*(COUNTIFS($C$3:$P$3,"MAT",$C6:$P6,AD$3)=0)*(COUNTIFS($C$3:$P$3,"POM",$C6:$P6,AD$3)=0)*(COUNTIFS($C$3:$P$3,"NOTTE",$C6:$P6,AD$3)=0))=0,"",IF(((AD6&lt;&gt;"Xm")*(COUNTIFS($C$3:$P$3,"MAT",$C6:$P6,AD$3)=0)*(COUNTIFS($C$3:$P$3,"NOTTE",$C6:$P6,AD$3)=0))+((AD6&lt;&gt;"Xp")*(COUNTIFS($C$3:$P$3,"POM",$C6:$P6,AD$3)=0)*(COUNTIFS($C$3:$P$3,"NOTTE",$C6:$P6,AD$3)=0))+((AD6&lt;&gt;"Xn")*(COUNTIFS($C$3:$P$3,"MAT",$C6:$P6,AD$3)=0)*(COUNTIFS($C$3:$P$3,"POM",$C6:$P6,AD$3)=0)*(COUNTIFS($C$3:$P$3,"NOTTE",$C6:$P6,AD$3)=0))=3,AD$3&amp;", ",AD$3&amp;IF((AD6&lt;&gt;"Xm")*(COUNTIFS($C$3:$P$3,"MAT",$C6:$P6,AD$3)=0)*(COUNTIFS($C$3:$P$3,"NOTTE",$C6:$P6,AD$3)=0),"_m","")&amp;IF((AD6&lt;&gt;"Xp")*(COUNTIFS($C$3:$P$3,"POM",$C6:$P6,AD$3)=0)*(COUNTIFS($C$3:$P$3,"NOTTE",$C6:$P6,AD$3)=0),"_p","")&amp;IF((AD6&lt;&gt;"Xn")*(COUNTIFS($C$3:$P$3,"MAT",$C6:$P6,AD$3)=0)*(COUNTIFS($C$3:$P$3,"POM",$C6:$P6,AD$3)=0)*(COUNTIFS($C$3:$P$3,"NOTTE",$C6:$P6,AD$3)=0),"_n","")&amp;", ")))</f>
        <v/>
      </c>
      <c r="CH6" s="1" t="str">
        <f aca="false">IF((AE6="X")+(AE6="Gn")+(AE6="C")+(AE5="Gn")&gt;0,"",IF(((AE6&lt;&gt;"Xm")*(COUNTIFS($C$3:$P$3,"MAT",$C6:$P6,AE$3)=0)*(COUNTIFS($C$3:$P$3,"NOTTE",$C6:$P6,AE$3)=0))+((AE6&lt;&gt;"Xp")*(COUNTIFS($C$3:$P$3,"POM",$C6:$P6,AE$3)=0)*(COUNTIFS($C$3:$P$3,"NOTTE",$C6:$P6,AE$3)=0))+((AE6&lt;&gt;"Xn")*(COUNTIFS($C$3:$P$3,"MAT",$C6:$P6,AE$3)=0)*(COUNTIFS($C$3:$P$3,"POM",$C6:$P6,AE$3)=0)*(COUNTIFS($C$3:$P$3,"NOTTE",$C6:$P6,AE$3)=0))=0,"",IF(((AE6&lt;&gt;"Xm")*(COUNTIFS($C$3:$P$3,"MAT",$C6:$P6,AE$3)=0)*(COUNTIFS($C$3:$P$3,"NOTTE",$C6:$P6,AE$3)=0))+((AE6&lt;&gt;"Xp")*(COUNTIFS($C$3:$P$3,"POM",$C6:$P6,AE$3)=0)*(COUNTIFS($C$3:$P$3,"NOTTE",$C6:$P6,AE$3)=0))+((AE6&lt;&gt;"Xn")*(COUNTIFS($C$3:$P$3,"MAT",$C6:$P6,AE$3)=0)*(COUNTIFS($C$3:$P$3,"POM",$C6:$P6,AE$3)=0)*(COUNTIFS($C$3:$P$3,"NOTTE",$C6:$P6,AE$3)=0))=3,AE$3&amp;", ",AE$3&amp;IF((AE6&lt;&gt;"Xm")*(COUNTIFS($C$3:$P$3,"MAT",$C6:$P6,AE$3)=0)*(COUNTIFS($C$3:$P$3,"NOTTE",$C6:$P6,AE$3)=0),"_m","")&amp;IF((AE6&lt;&gt;"Xp")*(COUNTIFS($C$3:$P$3,"POM",$C6:$P6,AE$3)=0)*(COUNTIFS($C$3:$P$3,"NOTTE",$C6:$P6,AE$3)=0),"_p","")&amp;IF((AE6&lt;&gt;"Xn")*(COUNTIFS($C$3:$P$3,"MAT",$C6:$P6,AE$3)=0)*(COUNTIFS($C$3:$P$3,"POM",$C6:$P6,AE$3)=0)*(COUNTIFS($C$3:$P$3,"NOTTE",$C6:$P6,AE$3)=0),"_n","")&amp;", ")))</f>
        <v/>
      </c>
      <c r="CI6" s="1" t="str">
        <f aca="false">IF((AF6="X")+(AF6="Gn")+(AF6="C")+(AF5="Gn")&gt;0,"",IF(((AF6&lt;&gt;"Xm")*(COUNTIFS($C$3:$P$3,"MAT",$C6:$P6,AF$3)=0)*(COUNTIFS($C$3:$P$3,"NOTTE",$C6:$P6,AF$3)=0))+((AF6&lt;&gt;"Xp")*(COUNTIFS($C$3:$P$3,"POM",$C6:$P6,AF$3)=0)*(COUNTIFS($C$3:$P$3,"NOTTE",$C6:$P6,AF$3)=0))+((AF6&lt;&gt;"Xn")*(COUNTIFS($C$3:$P$3,"MAT",$C6:$P6,AF$3)=0)*(COUNTIFS($C$3:$P$3,"POM",$C6:$P6,AF$3)=0)*(COUNTIFS($C$3:$P$3,"NOTTE",$C6:$P6,AF$3)=0))=0,"",IF(((AF6&lt;&gt;"Xm")*(COUNTIFS($C$3:$P$3,"MAT",$C6:$P6,AF$3)=0)*(COUNTIFS($C$3:$P$3,"NOTTE",$C6:$P6,AF$3)=0))+((AF6&lt;&gt;"Xp")*(COUNTIFS($C$3:$P$3,"POM",$C6:$P6,AF$3)=0)*(COUNTIFS($C$3:$P$3,"NOTTE",$C6:$P6,AF$3)=0))+((AF6&lt;&gt;"Xn")*(COUNTIFS($C$3:$P$3,"MAT",$C6:$P6,AF$3)=0)*(COUNTIFS($C$3:$P$3,"POM",$C6:$P6,AF$3)=0)*(COUNTIFS($C$3:$P$3,"NOTTE",$C6:$P6,AF$3)=0))=3,AF$3&amp;", ",AF$3&amp;IF((AF6&lt;&gt;"Xm")*(COUNTIFS($C$3:$P$3,"MAT",$C6:$P6,AF$3)=0)*(COUNTIFS($C$3:$P$3,"NOTTE",$C6:$P6,AF$3)=0),"_m","")&amp;IF((AF6&lt;&gt;"Xp")*(COUNTIFS($C$3:$P$3,"POM",$C6:$P6,AF$3)=0)*(COUNTIFS($C$3:$P$3,"NOTTE",$C6:$P6,AF$3)=0),"_p","")&amp;IF((AF6&lt;&gt;"Xn")*(COUNTIFS($C$3:$P$3,"MAT",$C6:$P6,AF$3)=0)*(COUNTIFS($C$3:$P$3,"POM",$C6:$P6,AF$3)=0)*(COUNTIFS($C$3:$P$3,"NOTTE",$C6:$P6,AF$3)=0),"_n","")&amp;", ")))</f>
        <v/>
      </c>
      <c r="CJ6" s="1" t="str">
        <f aca="false">IF((AG6="X")+(AG6="Gn")+(AG6="C")+(AG5="Gn")&gt;0,"",IF(((AG6&lt;&gt;"Xm")*(COUNTIFS($C$3:$P$3,"MAT",$C6:$P6,AG$3)=0)*(COUNTIFS($C$3:$P$3,"NOTTE",$C6:$P6,AG$3)=0))+((AG6&lt;&gt;"Xp")*(COUNTIFS($C$3:$P$3,"POM",$C6:$P6,AG$3)=0)*(COUNTIFS($C$3:$P$3,"NOTTE",$C6:$P6,AG$3)=0))+((AG6&lt;&gt;"Xn")*(COUNTIFS($C$3:$P$3,"MAT",$C6:$P6,AG$3)=0)*(COUNTIFS($C$3:$P$3,"POM",$C6:$P6,AG$3)=0)*(COUNTIFS($C$3:$P$3,"NOTTE",$C6:$P6,AG$3)=0))=0,"",IF(((AG6&lt;&gt;"Xm")*(COUNTIFS($C$3:$P$3,"MAT",$C6:$P6,AG$3)=0)*(COUNTIFS($C$3:$P$3,"NOTTE",$C6:$P6,AG$3)=0))+((AG6&lt;&gt;"Xp")*(COUNTIFS($C$3:$P$3,"POM",$C6:$P6,AG$3)=0)*(COUNTIFS($C$3:$P$3,"NOTTE",$C6:$P6,AG$3)=0))+((AG6&lt;&gt;"Xn")*(COUNTIFS($C$3:$P$3,"MAT",$C6:$P6,AG$3)=0)*(COUNTIFS($C$3:$P$3,"POM",$C6:$P6,AG$3)=0)*(COUNTIFS($C$3:$P$3,"NOTTE",$C6:$P6,AG$3)=0))=3,AG$3&amp;", ",AG$3&amp;IF((AG6&lt;&gt;"Xm")*(COUNTIFS($C$3:$P$3,"MAT",$C6:$P6,AG$3)=0)*(COUNTIFS($C$3:$P$3,"NOTTE",$C6:$P6,AG$3)=0),"_m","")&amp;IF((AG6&lt;&gt;"Xp")*(COUNTIFS($C$3:$P$3,"POM",$C6:$P6,AG$3)=0)*(COUNTIFS($C$3:$P$3,"NOTTE",$C6:$P6,AG$3)=0),"_p","")&amp;IF((AG6&lt;&gt;"Xn")*(COUNTIFS($C$3:$P$3,"MAT",$C6:$P6,AG$3)=0)*(COUNTIFS($C$3:$P$3,"POM",$C6:$P6,AG$3)=0)*(COUNTIFS($C$3:$P$3,"NOTTE",$C6:$P6,AG$3)=0),"_n","")&amp;", ")))</f>
        <v>HU_p, </v>
      </c>
      <c r="CK6" s="1" t="str">
        <f aca="false">IF((AH6="X")+(AH6="Gn")+(AH6="C")+(AH5="Gn")&gt;0,"",IF(((AH6&lt;&gt;"Xm")*(COUNTIFS($C$3:$P$3,"MAT",$C6:$P6,AH$3)=0)*(COUNTIFS($C$3:$P$3,"NOTTE",$C6:$P6,AH$3)=0))+((AH6&lt;&gt;"Xp")*(COUNTIFS($C$3:$P$3,"POM",$C6:$P6,AH$3)=0)*(COUNTIFS($C$3:$P$3,"NOTTE",$C6:$P6,AH$3)=0))+((AH6&lt;&gt;"Xn")*(COUNTIFS($C$3:$P$3,"MAT",$C6:$P6,AH$3)=0)*(COUNTIFS($C$3:$P$3,"POM",$C6:$P6,AH$3)=0)*(COUNTIFS($C$3:$P$3,"NOTTE",$C6:$P6,AH$3)=0))=0,"",IF(((AH6&lt;&gt;"Xm")*(COUNTIFS($C$3:$P$3,"MAT",$C6:$P6,AH$3)=0)*(COUNTIFS($C$3:$P$3,"NOTTE",$C6:$P6,AH$3)=0))+((AH6&lt;&gt;"Xp")*(COUNTIFS($C$3:$P$3,"POM",$C6:$P6,AH$3)=0)*(COUNTIFS($C$3:$P$3,"NOTTE",$C6:$P6,AH$3)=0))+((AH6&lt;&gt;"Xn")*(COUNTIFS($C$3:$P$3,"MAT",$C6:$P6,AH$3)=0)*(COUNTIFS($C$3:$P$3,"POM",$C6:$P6,AH$3)=0)*(COUNTIFS($C$3:$P$3,"NOTTE",$C6:$P6,AH$3)=0))=3,AH$3&amp;", ",AH$3&amp;IF((AH6&lt;&gt;"Xm")*(COUNTIFS($C$3:$P$3,"MAT",$C6:$P6,AH$3)=0)*(COUNTIFS($C$3:$P$3,"NOTTE",$C6:$P6,AH$3)=0),"_m","")&amp;IF((AH6&lt;&gt;"Xp")*(COUNTIFS($C$3:$P$3,"POM",$C6:$P6,AH$3)=0)*(COUNTIFS($C$3:$P$3,"NOTTE",$C6:$P6,AH$3)=0),"_p","")&amp;IF((AH6&lt;&gt;"Xn")*(COUNTIFS($C$3:$P$3,"MAT",$C6:$P6,AH$3)=0)*(COUNTIFS($C$3:$P$3,"POM",$C6:$P6,AH$3)=0)*(COUNTIFS($C$3:$P$3,"NOTTE",$C6:$P6,AH$3)=0),"_n","")&amp;", ")))</f>
        <v>MARINI_p_n, </v>
      </c>
      <c r="CL6" s="1" t="str">
        <f aca="false">IF((AI6="X")+(AI6="Gn")+(AI6="C")+(AI5="Gn")&gt;0,"",IF(((AI6&lt;&gt;"Xm")*(COUNTIFS($C$3:$P$3,"MAT",$C6:$P6,AI$3)=0)*(COUNTIFS($C$3:$P$3,"NOTTE",$C6:$P6,AI$3)=0))+((AI6&lt;&gt;"Xp")*(COUNTIFS($C$3:$P$3,"POM",$C6:$P6,AI$3)=0)*(COUNTIFS($C$3:$P$3,"NOTTE",$C6:$P6,AI$3)=0))+((AI6&lt;&gt;"Xn")*(COUNTIFS($C$3:$P$3,"MAT",$C6:$P6,AI$3)=0)*(COUNTIFS($C$3:$P$3,"POM",$C6:$P6,AI$3)=0)*(COUNTIFS($C$3:$P$3,"NOTTE",$C6:$P6,AI$3)=0))=0,"",IF(((AI6&lt;&gt;"Xm")*(COUNTIFS($C$3:$P$3,"MAT",$C6:$P6,AI$3)=0)*(COUNTIFS($C$3:$P$3,"NOTTE",$C6:$P6,AI$3)=0))+((AI6&lt;&gt;"Xp")*(COUNTIFS($C$3:$P$3,"POM",$C6:$P6,AI$3)=0)*(COUNTIFS($C$3:$P$3,"NOTTE",$C6:$P6,AI$3)=0))+((AI6&lt;&gt;"Xn")*(COUNTIFS($C$3:$P$3,"MAT",$C6:$P6,AI$3)=0)*(COUNTIFS($C$3:$P$3,"POM",$C6:$P6,AI$3)=0)*(COUNTIFS($C$3:$P$3,"NOTTE",$C6:$P6,AI$3)=0))=3,AI$3&amp;", ",AI$3&amp;IF((AI6&lt;&gt;"Xm")*(COUNTIFS($C$3:$P$3,"MAT",$C6:$P6,AI$3)=0)*(COUNTIFS($C$3:$P$3,"NOTTE",$C6:$P6,AI$3)=0),"_m","")&amp;IF((AI6&lt;&gt;"Xp")*(COUNTIFS($C$3:$P$3,"POM",$C6:$P6,AI$3)=0)*(COUNTIFS($C$3:$P$3,"NOTTE",$C6:$P6,AI$3)=0),"_p","")&amp;IF((AI6&lt;&gt;"Xn")*(COUNTIFS($C$3:$P$3,"MAT",$C6:$P6,AI$3)=0)*(COUNTIFS($C$3:$P$3,"POM",$C6:$P6,AI$3)=0)*(COUNTIFS($C$3:$P$3,"NOTTE",$C6:$P6,AI$3)=0),"_n","")&amp;", ")))</f>
        <v/>
      </c>
      <c r="CM6" s="1" t="str">
        <f aca="false">IF((AJ6="X")+(AJ6="Gn")+(AJ6="C")+(AJ5="Gn")&gt;0,"",IF(((AJ6&lt;&gt;"Xm")*(COUNTIFS($C$3:$P$3,"MAT",$C6:$P6,AJ$3)=0)*(COUNTIFS($C$3:$P$3,"NOTTE",$C6:$P6,AJ$3)=0))+((AJ6&lt;&gt;"Xp")*(COUNTIFS($C$3:$P$3,"POM",$C6:$P6,AJ$3)=0)*(COUNTIFS($C$3:$P$3,"NOTTE",$C6:$P6,AJ$3)=0))+((AJ6&lt;&gt;"Xn")*(COUNTIFS($C$3:$P$3,"MAT",$C6:$P6,AJ$3)=0)*(COUNTIFS($C$3:$P$3,"POM",$C6:$P6,AJ$3)=0)*(COUNTIFS($C$3:$P$3,"NOTTE",$C6:$P6,AJ$3)=0))=0,"",IF(((AJ6&lt;&gt;"Xm")*(COUNTIFS($C$3:$P$3,"MAT",$C6:$P6,AJ$3)=0)*(COUNTIFS($C$3:$P$3,"NOTTE",$C6:$P6,AJ$3)=0))+((AJ6&lt;&gt;"Xp")*(COUNTIFS($C$3:$P$3,"POM",$C6:$P6,AJ$3)=0)*(COUNTIFS($C$3:$P$3,"NOTTE",$C6:$P6,AJ$3)=0))+((AJ6&lt;&gt;"Xn")*(COUNTIFS($C$3:$P$3,"MAT",$C6:$P6,AJ$3)=0)*(COUNTIFS($C$3:$P$3,"POM",$C6:$P6,AJ$3)=0)*(COUNTIFS($C$3:$P$3,"NOTTE",$C6:$P6,AJ$3)=0))=3,AJ$3&amp;", ",AJ$3&amp;IF((AJ6&lt;&gt;"Xm")*(COUNTIFS($C$3:$P$3,"MAT",$C6:$P6,AJ$3)=0)*(COUNTIFS($C$3:$P$3,"NOTTE",$C6:$P6,AJ$3)=0),"_m","")&amp;IF((AJ6&lt;&gt;"Xp")*(COUNTIFS($C$3:$P$3,"POM",$C6:$P6,AJ$3)=0)*(COUNTIFS($C$3:$P$3,"NOTTE",$C6:$P6,AJ$3)=0),"_p","")&amp;IF((AJ6&lt;&gt;"Xn")*(COUNTIFS($C$3:$P$3,"MAT",$C6:$P6,AJ$3)=0)*(COUNTIFS($C$3:$P$3,"POM",$C6:$P6,AJ$3)=0)*(COUNTIFS($C$3:$P$3,"NOTTE",$C6:$P6,AJ$3)=0),"_n","")&amp;", ")))</f>
        <v>CONTI S, </v>
      </c>
      <c r="CN6" s="1" t="str">
        <f aca="false">IF((AK6="X")+(AK6="Gn")+(AK6="C")+(AK5="Gn")&gt;0,"",IF(((AK6&lt;&gt;"Xm")*(COUNTIFS($C$3:$P$3,"MAT",$C6:$P6,AK$3)=0)*(COUNTIFS($C$3:$P$3,"NOTTE",$C6:$P6,AK$3)=0))+((AK6&lt;&gt;"Xp")*(COUNTIFS($C$3:$P$3,"POM",$C6:$P6,AK$3)=0)*(COUNTIFS($C$3:$P$3,"NOTTE",$C6:$P6,AK$3)=0))+((AK6&lt;&gt;"Xn")*(COUNTIFS($C$3:$P$3,"MAT",$C6:$P6,AK$3)=0)*(COUNTIFS($C$3:$P$3,"POM",$C6:$P6,AK$3)=0)*(COUNTIFS($C$3:$P$3,"NOTTE",$C6:$P6,AK$3)=0))=0,"",IF(((AK6&lt;&gt;"Xm")*(COUNTIFS($C$3:$P$3,"MAT",$C6:$P6,AK$3)=0)*(COUNTIFS($C$3:$P$3,"NOTTE",$C6:$P6,AK$3)=0))+((AK6&lt;&gt;"Xp")*(COUNTIFS($C$3:$P$3,"POM",$C6:$P6,AK$3)=0)*(COUNTIFS($C$3:$P$3,"NOTTE",$C6:$P6,AK$3)=0))+((AK6&lt;&gt;"Xn")*(COUNTIFS($C$3:$P$3,"MAT",$C6:$P6,AK$3)=0)*(COUNTIFS($C$3:$P$3,"POM",$C6:$P6,AK$3)=0)*(COUNTIFS($C$3:$P$3,"NOTTE",$C6:$P6,AK$3)=0))=3,AK$3&amp;", ",AK$3&amp;IF((AK6&lt;&gt;"Xm")*(COUNTIFS($C$3:$P$3,"MAT",$C6:$P6,AK$3)=0)*(COUNTIFS($C$3:$P$3,"NOTTE",$C6:$P6,AK$3)=0),"_m","")&amp;IF((AK6&lt;&gt;"Xp")*(COUNTIFS($C$3:$P$3,"POM",$C6:$P6,AK$3)=0)*(COUNTIFS($C$3:$P$3,"NOTTE",$C6:$P6,AK$3)=0),"_p","")&amp;IF((AK6&lt;&gt;"Xn")*(COUNTIFS($C$3:$P$3,"MAT",$C6:$P6,AK$3)=0)*(COUNTIFS($C$3:$P$3,"POM",$C6:$P6,AK$3)=0)*(COUNTIFS($C$3:$P$3,"NOTTE",$C6:$P6,AK$3)=0),"_n","")&amp;", ")))</f>
        <v/>
      </c>
      <c r="CO6" s="1" t="str">
        <f aca="false">IF((AL6="X")+(AL6="Gn")+(AL6="C")+(AL5="Gn")&gt;0,"",IF(((AL6&lt;&gt;"Xm")*(COUNTIFS($C$3:$P$3,"MAT",$C6:$P6,AL$3)=0)*(COUNTIFS($C$3:$P$3,"NOTTE",$C6:$P6,AL$3)=0))+((AL6&lt;&gt;"Xp")*(COUNTIFS($C$3:$P$3,"POM",$C6:$P6,AL$3)=0)*(COUNTIFS($C$3:$P$3,"NOTTE",$C6:$P6,AL$3)=0))+((AL6&lt;&gt;"Xn")*(COUNTIFS($C$3:$P$3,"MAT",$C6:$P6,AL$3)=0)*(COUNTIFS($C$3:$P$3,"POM",$C6:$P6,AL$3)=0)*(COUNTIFS($C$3:$P$3,"NOTTE",$C6:$P6,AL$3)=0))=0,"",IF(((AL6&lt;&gt;"Xm")*(COUNTIFS($C$3:$P$3,"MAT",$C6:$P6,AL$3)=0)*(COUNTIFS($C$3:$P$3,"NOTTE",$C6:$P6,AL$3)=0))+((AL6&lt;&gt;"Xp")*(COUNTIFS($C$3:$P$3,"POM",$C6:$P6,AL$3)=0)*(COUNTIFS($C$3:$P$3,"NOTTE",$C6:$P6,AL$3)=0))+((AL6&lt;&gt;"Xn")*(COUNTIFS($C$3:$P$3,"MAT",$C6:$P6,AL$3)=0)*(COUNTIFS($C$3:$P$3,"POM",$C6:$P6,AL$3)=0)*(COUNTIFS($C$3:$P$3,"NOTTE",$C6:$P6,AL$3)=0))=3,AL$3&amp;", ",AL$3&amp;IF((AL6&lt;&gt;"Xm")*(COUNTIFS($C$3:$P$3,"MAT",$C6:$P6,AL$3)=0)*(COUNTIFS($C$3:$P$3,"NOTTE",$C6:$P6,AL$3)=0),"_m","")&amp;IF((AL6&lt;&gt;"Xp")*(COUNTIFS($C$3:$P$3,"POM",$C6:$P6,AL$3)=0)*(COUNTIFS($C$3:$P$3,"NOTTE",$C6:$P6,AL$3)=0),"_p","")&amp;IF((AL6&lt;&gt;"Xn")*(COUNTIFS($C$3:$P$3,"MAT",$C6:$P6,AL$3)=0)*(COUNTIFS($C$3:$P$3,"POM",$C6:$P6,AL$3)=0)*(COUNTIFS($C$3:$P$3,"NOTTE",$C6:$P6,AL$3)=0),"_n","")&amp;", ")))</f>
        <v>GRECO, </v>
      </c>
      <c r="CP6" s="1" t="str">
        <f aca="false">IF((AM6="X")+(AM6="Gn")+(AM6="C")+(AM5="Gn")&gt;0,"",IF(((AM6&lt;&gt;"Xm")*(COUNTIFS($C$3:$P$3,"MAT",$C6:$P6,AM$3)=0)*(COUNTIFS($C$3:$P$3,"NOTTE",$C6:$P6,AM$3)=0))+((AM6&lt;&gt;"Xp")*(COUNTIFS($C$3:$P$3,"POM",$C6:$P6,AM$3)=0)*(COUNTIFS($C$3:$P$3,"NOTTE",$C6:$P6,AM$3)=0))+((AM6&lt;&gt;"Xn")*(COUNTIFS($C$3:$P$3,"MAT",$C6:$P6,AM$3)=0)*(COUNTIFS($C$3:$P$3,"POM",$C6:$P6,AM$3)=0)*(COUNTIFS($C$3:$P$3,"NOTTE",$C6:$P6,AM$3)=0))=0,"",IF(((AM6&lt;&gt;"Xm")*(COUNTIFS($C$3:$P$3,"MAT",$C6:$P6,AM$3)=0)*(COUNTIFS($C$3:$P$3,"NOTTE",$C6:$P6,AM$3)=0))+((AM6&lt;&gt;"Xp")*(COUNTIFS($C$3:$P$3,"POM",$C6:$P6,AM$3)=0)*(COUNTIFS($C$3:$P$3,"NOTTE",$C6:$P6,AM$3)=0))+((AM6&lt;&gt;"Xn")*(COUNTIFS($C$3:$P$3,"MAT",$C6:$P6,AM$3)=0)*(COUNTIFS($C$3:$P$3,"POM",$C6:$P6,AM$3)=0)*(COUNTIFS($C$3:$P$3,"NOTTE",$C6:$P6,AM$3)=0))=3,AM$3&amp;", ",AM$3&amp;IF((AM6&lt;&gt;"Xm")*(COUNTIFS($C$3:$P$3,"MAT",$C6:$P6,AM$3)=0)*(COUNTIFS($C$3:$P$3,"NOTTE",$C6:$P6,AM$3)=0),"_m","")&amp;IF((AM6&lt;&gt;"Xp")*(COUNTIFS($C$3:$P$3,"POM",$C6:$P6,AM$3)=0)*(COUNTIFS($C$3:$P$3,"NOTTE",$C6:$P6,AM$3)=0),"_p","")&amp;IF((AM6&lt;&gt;"Xn")*(COUNTIFS($C$3:$P$3,"MAT",$C6:$P6,AM$3)=0)*(COUNTIFS($C$3:$P$3,"POM",$C6:$P6,AM$3)=0)*(COUNTIFS($C$3:$P$3,"NOTTE",$C6:$P6,AM$3)=0),"_n","")&amp;", ")))</f>
        <v>SANNA_m, </v>
      </c>
      <c r="CQ6" s="1" t="str">
        <f aca="false">IF((AN6="X")+(AN6="Gn")+(AN6="C")+(AN5="Gn")&gt;0,"",IF(((AN6&lt;&gt;"Xm")*(COUNTIFS($C$3:$P$3,"MAT",$C6:$P6,AN$3)=0)*(COUNTIFS($C$3:$P$3,"NOTTE",$C6:$P6,AN$3)=0))+((AN6&lt;&gt;"Xp")*(COUNTIFS($C$3:$P$3,"POM",$C6:$P6,AN$3)=0)*(COUNTIFS($C$3:$P$3,"NOTTE",$C6:$P6,AN$3)=0))+((AN6&lt;&gt;"Xn")*(COUNTIFS($C$3:$P$3,"MAT",$C6:$P6,AN$3)=0)*(COUNTIFS($C$3:$P$3,"POM",$C6:$P6,AN$3)=0)*(COUNTIFS($C$3:$P$3,"NOTTE",$C6:$P6,AN$3)=0))=0,"",IF(((AN6&lt;&gt;"Xm")*(COUNTIFS($C$3:$P$3,"MAT",$C6:$P6,AN$3)=0)*(COUNTIFS($C$3:$P$3,"NOTTE",$C6:$P6,AN$3)=0))+((AN6&lt;&gt;"Xp")*(COUNTIFS($C$3:$P$3,"POM",$C6:$P6,AN$3)=0)*(COUNTIFS($C$3:$P$3,"NOTTE",$C6:$P6,AN$3)=0))+((AN6&lt;&gt;"Xn")*(COUNTIFS($C$3:$P$3,"MAT",$C6:$P6,AN$3)=0)*(COUNTIFS($C$3:$P$3,"POM",$C6:$P6,AN$3)=0)*(COUNTIFS($C$3:$P$3,"NOTTE",$C6:$P6,AN$3)=0))=3,AN$3&amp;", ",AN$3&amp;IF((AN6&lt;&gt;"Xm")*(COUNTIFS($C$3:$P$3,"MAT",$C6:$P6,AN$3)=0)*(COUNTIFS($C$3:$P$3,"NOTTE",$C6:$P6,AN$3)=0),"_m","")&amp;IF((AN6&lt;&gt;"Xp")*(COUNTIFS($C$3:$P$3,"POM",$C6:$P6,AN$3)=0)*(COUNTIFS($C$3:$P$3,"NOTTE",$C6:$P6,AN$3)=0),"_p","")&amp;IF((AN6&lt;&gt;"Xn")*(COUNTIFS($C$3:$P$3,"MAT",$C6:$P6,AN$3)=0)*(COUNTIFS($C$3:$P$3,"POM",$C6:$P6,AN$3)=0)*(COUNTIFS($C$3:$P$3,"NOTTE",$C6:$P6,AN$3)=0),"_n","")&amp;", ")))</f>
        <v/>
      </c>
    </row>
    <row r="7" customFormat="false" ht="15" hidden="false" customHeight="true" outlineLevel="0" collapsed="false">
      <c r="A7" s="15" t="str">
        <f aca="false">CHOOSE(WEEKDAY(DATE($B$1,$A$2,B7),2),"lunedì","martedì","mercoledì","giovedì","venerdì","sabato","domenica")</f>
        <v>mercoledì</v>
      </c>
      <c r="B7" s="15" t="n">
        <v>4</v>
      </c>
      <c r="C7" s="16" t="s">
        <v>23</v>
      </c>
      <c r="D7" s="16" t="s">
        <v>23</v>
      </c>
      <c r="E7" s="16" t="s">
        <v>30</v>
      </c>
      <c r="F7" s="16" t="s">
        <v>36</v>
      </c>
      <c r="G7" s="16" t="s">
        <v>35</v>
      </c>
      <c r="H7" s="16" t="s">
        <v>35</v>
      </c>
      <c r="I7" s="16" t="s">
        <v>34</v>
      </c>
      <c r="J7" s="16" t="s">
        <v>34</v>
      </c>
      <c r="K7" s="16" t="s">
        <v>36</v>
      </c>
      <c r="L7" s="16"/>
      <c r="M7" s="16" t="s">
        <v>32</v>
      </c>
      <c r="N7" s="16" t="s">
        <v>27</v>
      </c>
      <c r="O7" s="16" t="s">
        <v>27</v>
      </c>
      <c r="P7" s="16" t="s">
        <v>25</v>
      </c>
      <c r="Q7" s="16"/>
      <c r="R7" s="16" t="str">
        <f aca="false">IF(SUMPRODUCT(($C$3:$P$3&lt;&gt;"")*($C7:$P7&lt;&gt;"")*(COUNTIFS($C7:$P7,$C7:$P7,$C$3:$P$3,$C$3:$P$3)&gt;1))&gt;0,"X","")</f>
        <v/>
      </c>
      <c r="S7" s="17" t="str">
        <f aca="false"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RUSSO, VERDI, HU_m_n, MARINI_m_n, CONTI A, CONTI S, GRECO, SANNA, LI</v>
      </c>
      <c r="T7" s="17" t="str">
        <f aca="false"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ROSSI M, VERDI, HU_m_n, CONTI A, CONTI S_m</v>
      </c>
      <c r="Y7" s="15" t="str">
        <f aca="false">A7</f>
        <v>mercoledì</v>
      </c>
      <c r="Z7" s="15" t="n">
        <f aca="false">B7</f>
        <v>4</v>
      </c>
      <c r="AA7" s="16"/>
      <c r="AB7" s="16"/>
      <c r="AC7" s="16"/>
      <c r="AD7" s="16" t="s">
        <v>42</v>
      </c>
      <c r="AE7" s="16"/>
      <c r="AF7" s="16"/>
      <c r="AG7" s="16" t="s">
        <v>43</v>
      </c>
      <c r="AH7" s="16" t="s">
        <v>43</v>
      </c>
      <c r="AI7" s="16"/>
      <c r="AJ7" s="16"/>
      <c r="AK7" s="16"/>
      <c r="AL7" s="16"/>
      <c r="AM7" s="16"/>
      <c r="AN7" s="16"/>
      <c r="AP7" s="11" t="s">
        <v>41</v>
      </c>
      <c r="AQ7" s="12" t="s">
        <v>49</v>
      </c>
      <c r="AS7" s="13" t="str">
        <f aca="false">AD$3</f>
        <v>GALLINA</v>
      </c>
      <c r="AT7" s="13" t="n">
        <f aca="false">COUNTIF($C$4:$D$33,$AS7)</f>
        <v>1</v>
      </c>
      <c r="AU7" s="13" t="n">
        <f aca="false">COUNTIF($E$4:$F$33,$AS7)</f>
        <v>5</v>
      </c>
      <c r="AV7" s="13" t="n">
        <f aca="false">COUNTIF($G$4:$H$33,$AS7)</f>
        <v>8</v>
      </c>
      <c r="AW7" s="13" t="n">
        <f aca="false">COUNTIF($I$4:$J$33,$AS7)</f>
        <v>0</v>
      </c>
      <c r="AX7" s="13" t="n">
        <f aca="false">COUNTIF($K$4:$K$33,$AS7)</f>
        <v>3</v>
      </c>
      <c r="AY7" s="13" t="n">
        <f aca="false">COUNTIF($L$4:$L$33,$AS7)</f>
        <v>0</v>
      </c>
      <c r="AZ7" s="13" t="n">
        <f aca="false">COUNTIF($M$4:$M$33,$AS7)</f>
        <v>2</v>
      </c>
      <c r="BA7" s="13" t="n">
        <f aca="false">COUNTIF($N$4:$P$33,$AS7)</f>
        <v>1</v>
      </c>
      <c r="BB7" s="13" t="n">
        <f aca="false">COUNTIF($C$4:$P$33,$AS7)</f>
        <v>20</v>
      </c>
      <c r="BD7" s="14" t="str">
        <f aca="false">AD$3</f>
        <v>GALLINA</v>
      </c>
      <c r="BE7" s="14"/>
      <c r="BF7" s="14"/>
      <c r="BG7" s="14"/>
      <c r="BH7" s="14"/>
      <c r="BI7" s="14"/>
      <c r="BJ7" s="14"/>
      <c r="BK7" s="14"/>
      <c r="BL7" s="14"/>
      <c r="BM7" s="14"/>
      <c r="BO7" s="1" t="str">
        <f aca="false">IF((AA7="X")+(AA7="Gn")+(AA7="C")+(AA6="Gn")&gt;0,"",IF(((AA7&lt;&gt;"Xm"))+((AA7&lt;&gt;"Xp"))+((AA7&lt;&gt;"Xn"))=0,"",IF(((AA7&lt;&gt;"Xm"))+((AA7&lt;&gt;"Xp"))+((AA7&lt;&gt;"Xn"))=3,AA$3&amp;", ",AA$3&amp;IF((AA7&lt;&gt;"Xm"),"_m","")&amp;IF((AA7&lt;&gt;"Xp"),"_p","")&amp;IF((AA7&lt;&gt;"Xn"),"_n","")&amp;", ")))</f>
        <v>LEONI, </v>
      </c>
      <c r="BP7" s="1" t="str">
        <f aca="false">IF((AB7="X")+(AB7="Gn")+(AB7="C")+(AB6="Gn")&gt;0,"",IF(((AB7&lt;&gt;"Xm"))+((AB7&lt;&gt;"Xp"))+((AB7&lt;&gt;"Xn"))=0,"",IF(((AB7&lt;&gt;"Xm"))+((AB7&lt;&gt;"Xp"))+((AB7&lt;&gt;"Xn"))=3,AB$3&amp;", ",AB$3&amp;IF((AB7&lt;&gt;"Xm"),"_m","")&amp;IF((AB7&lt;&gt;"Xp"),"_p","")&amp;IF((AB7&lt;&gt;"Xn"),"_n","")&amp;", ")))</f>
        <v>ROSSI M, </v>
      </c>
      <c r="BQ7" s="1" t="str">
        <f aca="false">IF((AC7="X")+(AC7="Gn")+(AC7="C")+(AC6="Gn")&gt;0,"",IF(((AC7&lt;&gt;"Xm"))+((AC7&lt;&gt;"Xp"))+((AC7&lt;&gt;"Xn"))=0,"",IF(((AC7&lt;&gt;"Xm"))+((AC7&lt;&gt;"Xp"))+((AC7&lt;&gt;"Xn"))=3,AC$3&amp;", ",AC$3&amp;IF((AC7&lt;&gt;"Xm"),"_m","")&amp;IF((AC7&lt;&gt;"Xp"),"_p","")&amp;IF((AC7&lt;&gt;"Xn"),"_n","")&amp;", ")))</f>
        <v>ROSSI L, </v>
      </c>
      <c r="BR7" s="1" t="str">
        <f aca="false">IF((AD7="X")+(AD7="Gn")+(AD7="C")+(AD6="Gn")&gt;0,"",IF(((AD7&lt;&gt;"Xm"))+((AD7&lt;&gt;"Xp"))+((AD7&lt;&gt;"Xn"))=0,"",IF(((AD7&lt;&gt;"Xm"))+((AD7&lt;&gt;"Xp"))+((AD7&lt;&gt;"Xn"))=3,AD$3&amp;", ",AD$3&amp;IF((AD7&lt;&gt;"Xm"),"_m","")&amp;IF((AD7&lt;&gt;"Xp"),"_p","")&amp;IF((AD7&lt;&gt;"Xn"),"_n","")&amp;", ")))</f>
        <v/>
      </c>
      <c r="BS7" s="1" t="str">
        <f aca="false">IF((AE7="X")+(AE7="Gn")+(AE7="C")+(AE6="Gn")&gt;0,"",IF(((AE7&lt;&gt;"Xm"))+((AE7&lt;&gt;"Xp"))+((AE7&lt;&gt;"Xn"))=0,"",IF(((AE7&lt;&gt;"Xm"))+((AE7&lt;&gt;"Xp"))+((AE7&lt;&gt;"Xn"))=3,AE$3&amp;", ",AE$3&amp;IF((AE7&lt;&gt;"Xm"),"_m","")&amp;IF((AE7&lt;&gt;"Xp"),"_p","")&amp;IF((AE7&lt;&gt;"Xn"),"_n","")&amp;", ")))</f>
        <v>RUSSO, </v>
      </c>
      <c r="BT7" s="1" t="str">
        <f aca="false">IF((AF7="X")+(AF7="Gn")+(AF7="C")+(AF6="Gn")&gt;0,"",IF(((AF7&lt;&gt;"Xm"))+((AF7&lt;&gt;"Xp"))+((AF7&lt;&gt;"Xn"))=0,"",IF(((AF7&lt;&gt;"Xm"))+((AF7&lt;&gt;"Xp"))+((AF7&lt;&gt;"Xn"))=3,AF$3&amp;", ",AF$3&amp;IF((AF7&lt;&gt;"Xm"),"_m","")&amp;IF((AF7&lt;&gt;"Xp"),"_p","")&amp;IF((AF7&lt;&gt;"Xn"),"_n","")&amp;", ")))</f>
        <v>VERDI, </v>
      </c>
      <c r="BU7" s="1" t="str">
        <f aca="false">IF((AG7="X")+(AG7="Gn")+(AG7="C")+(AG6="Gn")&gt;0,"",IF(((AG7&lt;&gt;"Xm"))+((AG7&lt;&gt;"Xp"))+((AG7&lt;&gt;"Xn"))=0,"",IF(((AG7&lt;&gt;"Xm"))+((AG7&lt;&gt;"Xp"))+((AG7&lt;&gt;"Xn"))=3,AG$3&amp;", ",AG$3&amp;IF((AG7&lt;&gt;"Xm"),"_m","")&amp;IF((AG7&lt;&gt;"Xp"),"_p","")&amp;IF((AG7&lt;&gt;"Xn"),"_n","")&amp;", ")))</f>
        <v>HU_m_n, </v>
      </c>
      <c r="BV7" s="1" t="str">
        <f aca="false">IF((AH7="X")+(AH7="Gn")+(AH7="C")+(AH6="Gn")&gt;0,"",IF(((AH7&lt;&gt;"Xm"))+((AH7&lt;&gt;"Xp"))+((AH7&lt;&gt;"Xn"))=0,"",IF(((AH7&lt;&gt;"Xm"))+((AH7&lt;&gt;"Xp"))+((AH7&lt;&gt;"Xn"))=3,AH$3&amp;", ",AH$3&amp;IF((AH7&lt;&gt;"Xm"),"_m","")&amp;IF((AH7&lt;&gt;"Xp"),"_p","")&amp;IF((AH7&lt;&gt;"Xn"),"_n","")&amp;", ")))</f>
        <v>MARINI_m_n, </v>
      </c>
      <c r="BW7" s="1" t="str">
        <f aca="false">IF((AI7="X")+(AI7="Gn")+(AI7="C")+(AI6="Gn")&gt;0,"",IF(((AI7&lt;&gt;"Xm"))+((AI7&lt;&gt;"Xp"))+((AI7&lt;&gt;"Xn"))=0,"",IF(((AI7&lt;&gt;"Xm"))+((AI7&lt;&gt;"Xp"))+((AI7&lt;&gt;"Xn"))=3,AI$3&amp;", ",AI$3&amp;IF((AI7&lt;&gt;"Xm"),"_m","")&amp;IF((AI7&lt;&gt;"Xp"),"_p","")&amp;IF((AI7&lt;&gt;"Xn"),"_n","")&amp;", ")))</f>
        <v>CONTI A, </v>
      </c>
      <c r="BX7" s="1" t="str">
        <f aca="false">IF((AJ7="X")+(AJ7="Gn")+(AJ7="C")+(AJ6="Gn")&gt;0,"",IF(((AJ7&lt;&gt;"Xm"))+((AJ7&lt;&gt;"Xp"))+((AJ7&lt;&gt;"Xn"))=0,"",IF(((AJ7&lt;&gt;"Xm"))+((AJ7&lt;&gt;"Xp"))+((AJ7&lt;&gt;"Xn"))=3,AJ$3&amp;", ",AJ$3&amp;IF((AJ7&lt;&gt;"Xm"),"_m","")&amp;IF((AJ7&lt;&gt;"Xp"),"_p","")&amp;IF((AJ7&lt;&gt;"Xn"),"_n","")&amp;", ")))</f>
        <v>CONTI S, </v>
      </c>
      <c r="BY7" s="1" t="str">
        <f aca="false">IF((AK7="X")+(AK7="Gn")+(AK7="C")+(AK6="Gn")&gt;0,"",IF(((AK7&lt;&gt;"Xm"))+((AK7&lt;&gt;"Xp"))+((AK7&lt;&gt;"Xn"))=0,"",IF(((AK7&lt;&gt;"Xm"))+((AK7&lt;&gt;"Xp"))+((AK7&lt;&gt;"Xn"))=3,AK$3&amp;", ",AK$3&amp;IF((AK7&lt;&gt;"Xm"),"_m","")&amp;IF((AK7&lt;&gt;"Xp"),"_p","")&amp;IF((AK7&lt;&gt;"Xn"),"_n","")&amp;", ")))</f>
        <v/>
      </c>
      <c r="BZ7" s="1" t="str">
        <f aca="false">IF((AL7="X")+(AL7="Gn")+(AL7="C")+(AL6="Gn")&gt;0,"",IF(((AL7&lt;&gt;"Xm"))+((AL7&lt;&gt;"Xp"))+((AL7&lt;&gt;"Xn"))=0,"",IF(((AL7&lt;&gt;"Xm"))+((AL7&lt;&gt;"Xp"))+((AL7&lt;&gt;"Xn"))=3,AL$3&amp;", ",AL$3&amp;IF((AL7&lt;&gt;"Xm"),"_m","")&amp;IF((AL7&lt;&gt;"Xp"),"_p","")&amp;IF((AL7&lt;&gt;"Xn"),"_n","")&amp;", ")))</f>
        <v>GRECO, </v>
      </c>
      <c r="CA7" s="1" t="str">
        <f aca="false">IF((AM7="X")+(AM7="Gn")+(AM7="C")+(AM6="Gn")&gt;0,"",IF(((AM7&lt;&gt;"Xm"))+((AM7&lt;&gt;"Xp"))+((AM7&lt;&gt;"Xn"))=0,"",IF(((AM7&lt;&gt;"Xm"))+((AM7&lt;&gt;"Xp"))+((AM7&lt;&gt;"Xn"))=3,AM$3&amp;", ",AM$3&amp;IF((AM7&lt;&gt;"Xm"),"_m","")&amp;IF((AM7&lt;&gt;"Xp"),"_p","")&amp;IF((AM7&lt;&gt;"Xn"),"_n","")&amp;", ")))</f>
        <v>SANNA, </v>
      </c>
      <c r="CB7" s="1" t="str">
        <f aca="false">IF((AN7="X")+(AN7="Gn")+(AN7="C")+(AN6="Gn")&gt;0,"",IF(((AN7&lt;&gt;"Xm"))+((AN7&lt;&gt;"Xp"))+((AN7&lt;&gt;"Xn"))=0,"",IF(((AN7&lt;&gt;"Xm"))+((AN7&lt;&gt;"Xp"))+((AN7&lt;&gt;"Xn"))=3,AN$3&amp;", ",AN$3&amp;IF((AN7&lt;&gt;"Xm"),"_m","")&amp;IF((AN7&lt;&gt;"Xp"),"_p","")&amp;IF((AN7&lt;&gt;"Xn"),"_n","")&amp;", ")))</f>
        <v>LI, </v>
      </c>
      <c r="CD7" s="1" t="str">
        <f aca="false">IF((AA7="X")+(AA7="Gn")+(AA7="C")+(AA6="Gn")&gt;0,"",IF(((AA7&lt;&gt;"Xm")*(COUNTIFS($C$3:$P$3,"MAT",$C7:$P7,AA$3)=0)*(COUNTIFS($C$3:$P$3,"NOTTE",$C7:$P7,AA$3)=0))+((AA7&lt;&gt;"Xp")*(COUNTIFS($C$3:$P$3,"POM",$C7:$P7,AA$3)=0)*(COUNTIFS($C$3:$P$3,"NOTTE",$C7:$P7,AA$3)=0))+((AA7&lt;&gt;"Xn")*(COUNTIFS($C$3:$P$3,"MAT",$C7:$P7,AA$3)=0)*(COUNTIFS($C$3:$P$3,"POM",$C7:$P7,AA$3)=0)*(COUNTIFS($C$3:$P$3,"NOTTE",$C7:$P7,AA$3)=0))=0,"",IF(((AA7&lt;&gt;"Xm")*(COUNTIFS($C$3:$P$3,"MAT",$C7:$P7,AA$3)=0)*(COUNTIFS($C$3:$P$3,"NOTTE",$C7:$P7,AA$3)=0))+((AA7&lt;&gt;"Xp")*(COUNTIFS($C$3:$P$3,"POM",$C7:$P7,AA$3)=0)*(COUNTIFS($C$3:$P$3,"NOTTE",$C7:$P7,AA$3)=0))+((AA7&lt;&gt;"Xn")*(COUNTIFS($C$3:$P$3,"MAT",$C7:$P7,AA$3)=0)*(COUNTIFS($C$3:$P$3,"POM",$C7:$P7,AA$3)=0)*(COUNTIFS($C$3:$P$3,"NOTTE",$C7:$P7,AA$3)=0))=3,AA$3&amp;", ",AA$3&amp;IF((AA7&lt;&gt;"Xm")*(COUNTIFS($C$3:$P$3,"MAT",$C7:$P7,AA$3)=0)*(COUNTIFS($C$3:$P$3,"NOTTE",$C7:$P7,AA$3)=0),"_m","")&amp;IF((AA7&lt;&gt;"Xp")*(COUNTIFS($C$3:$P$3,"POM",$C7:$P7,AA$3)=0)*(COUNTIFS($C$3:$P$3,"NOTTE",$C7:$P7,AA$3)=0),"_p","")&amp;IF((AA7&lt;&gt;"Xn")*(COUNTIFS($C$3:$P$3,"MAT",$C7:$P7,AA$3)=0)*(COUNTIFS($C$3:$P$3,"POM",$C7:$P7,AA$3)=0)*(COUNTIFS($C$3:$P$3,"NOTTE",$C7:$P7,AA$3)=0),"_n","")&amp;", ")))</f>
        <v/>
      </c>
      <c r="CE7" s="1" t="str">
        <f aca="false">IF((AB7="X")+(AB7="Gn")+(AB7="C")+(AB6="Gn")&gt;0,"",IF(((AB7&lt;&gt;"Xm")*(COUNTIFS($C$3:$P$3,"MAT",$C7:$P7,AB$3)=0)*(COUNTIFS($C$3:$P$3,"NOTTE",$C7:$P7,AB$3)=0))+((AB7&lt;&gt;"Xp")*(COUNTIFS($C$3:$P$3,"POM",$C7:$P7,AB$3)=0)*(COUNTIFS($C$3:$P$3,"NOTTE",$C7:$P7,AB$3)=0))+((AB7&lt;&gt;"Xn")*(COUNTIFS($C$3:$P$3,"MAT",$C7:$P7,AB$3)=0)*(COUNTIFS($C$3:$P$3,"POM",$C7:$P7,AB$3)=0)*(COUNTIFS($C$3:$P$3,"NOTTE",$C7:$P7,AB$3)=0))=0,"",IF(((AB7&lt;&gt;"Xm")*(COUNTIFS($C$3:$P$3,"MAT",$C7:$P7,AB$3)=0)*(COUNTIFS($C$3:$P$3,"NOTTE",$C7:$P7,AB$3)=0))+((AB7&lt;&gt;"Xp")*(COUNTIFS($C$3:$P$3,"POM",$C7:$P7,AB$3)=0)*(COUNTIFS($C$3:$P$3,"NOTTE",$C7:$P7,AB$3)=0))+((AB7&lt;&gt;"Xn")*(COUNTIFS($C$3:$P$3,"MAT",$C7:$P7,AB$3)=0)*(COUNTIFS($C$3:$P$3,"POM",$C7:$P7,AB$3)=0)*(COUNTIFS($C$3:$P$3,"NOTTE",$C7:$P7,AB$3)=0))=3,AB$3&amp;", ",AB$3&amp;IF((AB7&lt;&gt;"Xm")*(COUNTIFS($C$3:$P$3,"MAT",$C7:$P7,AB$3)=0)*(COUNTIFS($C$3:$P$3,"NOTTE",$C7:$P7,AB$3)=0),"_m","")&amp;IF((AB7&lt;&gt;"Xp")*(COUNTIFS($C$3:$P$3,"POM",$C7:$P7,AB$3)=0)*(COUNTIFS($C$3:$P$3,"NOTTE",$C7:$P7,AB$3)=0),"_p","")&amp;IF((AB7&lt;&gt;"Xn")*(COUNTIFS($C$3:$P$3,"MAT",$C7:$P7,AB$3)=0)*(COUNTIFS($C$3:$P$3,"POM",$C7:$P7,AB$3)=0)*(COUNTIFS($C$3:$P$3,"NOTTE",$C7:$P7,AB$3)=0),"_n","")&amp;", ")))</f>
        <v>ROSSI M, </v>
      </c>
      <c r="CF7" s="1" t="str">
        <f aca="false">IF((AC7="X")+(AC7="Gn")+(AC7="C")+(AC6="Gn")&gt;0,"",IF(((AC7&lt;&gt;"Xm")*(COUNTIFS($C$3:$P$3,"MAT",$C7:$P7,AC$3)=0)*(COUNTIFS($C$3:$P$3,"NOTTE",$C7:$P7,AC$3)=0))+((AC7&lt;&gt;"Xp")*(COUNTIFS($C$3:$P$3,"POM",$C7:$P7,AC$3)=0)*(COUNTIFS($C$3:$P$3,"NOTTE",$C7:$P7,AC$3)=0))+((AC7&lt;&gt;"Xn")*(COUNTIFS($C$3:$P$3,"MAT",$C7:$P7,AC$3)=0)*(COUNTIFS($C$3:$P$3,"POM",$C7:$P7,AC$3)=0)*(COUNTIFS($C$3:$P$3,"NOTTE",$C7:$P7,AC$3)=0))=0,"",IF(((AC7&lt;&gt;"Xm")*(COUNTIFS($C$3:$P$3,"MAT",$C7:$P7,AC$3)=0)*(COUNTIFS($C$3:$P$3,"NOTTE",$C7:$P7,AC$3)=0))+((AC7&lt;&gt;"Xp")*(COUNTIFS($C$3:$P$3,"POM",$C7:$P7,AC$3)=0)*(COUNTIFS($C$3:$P$3,"NOTTE",$C7:$P7,AC$3)=0))+((AC7&lt;&gt;"Xn")*(COUNTIFS($C$3:$P$3,"MAT",$C7:$P7,AC$3)=0)*(COUNTIFS($C$3:$P$3,"POM",$C7:$P7,AC$3)=0)*(COUNTIFS($C$3:$P$3,"NOTTE",$C7:$P7,AC$3)=0))=3,AC$3&amp;", ",AC$3&amp;IF((AC7&lt;&gt;"Xm")*(COUNTIFS($C$3:$P$3,"MAT",$C7:$P7,AC$3)=0)*(COUNTIFS($C$3:$P$3,"NOTTE",$C7:$P7,AC$3)=0),"_m","")&amp;IF((AC7&lt;&gt;"Xp")*(COUNTIFS($C$3:$P$3,"POM",$C7:$P7,AC$3)=0)*(COUNTIFS($C$3:$P$3,"NOTTE",$C7:$P7,AC$3)=0),"_p","")&amp;IF((AC7&lt;&gt;"Xn")*(COUNTIFS($C$3:$P$3,"MAT",$C7:$P7,AC$3)=0)*(COUNTIFS($C$3:$P$3,"POM",$C7:$P7,AC$3)=0)*(COUNTIFS($C$3:$P$3,"NOTTE",$C7:$P7,AC$3)=0),"_n","")&amp;", ")))</f>
        <v/>
      </c>
      <c r="CG7" s="1" t="str">
        <f aca="false">IF((AD7="X")+(AD7="Gn")+(AD7="C")+(AD6="Gn")&gt;0,"",IF(((AD7&lt;&gt;"Xm")*(COUNTIFS($C$3:$P$3,"MAT",$C7:$P7,AD$3)=0)*(COUNTIFS($C$3:$P$3,"NOTTE",$C7:$P7,AD$3)=0))+((AD7&lt;&gt;"Xp")*(COUNTIFS($C$3:$P$3,"POM",$C7:$P7,AD$3)=0)*(COUNTIFS($C$3:$P$3,"NOTTE",$C7:$P7,AD$3)=0))+((AD7&lt;&gt;"Xn")*(COUNTIFS($C$3:$P$3,"MAT",$C7:$P7,AD$3)=0)*(COUNTIFS($C$3:$P$3,"POM",$C7:$P7,AD$3)=0)*(COUNTIFS($C$3:$P$3,"NOTTE",$C7:$P7,AD$3)=0))=0,"",IF(((AD7&lt;&gt;"Xm")*(COUNTIFS($C$3:$P$3,"MAT",$C7:$P7,AD$3)=0)*(COUNTIFS($C$3:$P$3,"NOTTE",$C7:$P7,AD$3)=0))+((AD7&lt;&gt;"Xp")*(COUNTIFS($C$3:$P$3,"POM",$C7:$P7,AD$3)=0)*(COUNTIFS($C$3:$P$3,"NOTTE",$C7:$P7,AD$3)=0))+((AD7&lt;&gt;"Xn")*(COUNTIFS($C$3:$P$3,"MAT",$C7:$P7,AD$3)=0)*(COUNTIFS($C$3:$P$3,"POM",$C7:$P7,AD$3)=0)*(COUNTIFS($C$3:$P$3,"NOTTE",$C7:$P7,AD$3)=0))=3,AD$3&amp;", ",AD$3&amp;IF((AD7&lt;&gt;"Xm")*(COUNTIFS($C$3:$P$3,"MAT",$C7:$P7,AD$3)=0)*(COUNTIFS($C$3:$P$3,"NOTTE",$C7:$P7,AD$3)=0),"_m","")&amp;IF((AD7&lt;&gt;"Xp")*(COUNTIFS($C$3:$P$3,"POM",$C7:$P7,AD$3)=0)*(COUNTIFS($C$3:$P$3,"NOTTE",$C7:$P7,AD$3)=0),"_p","")&amp;IF((AD7&lt;&gt;"Xn")*(COUNTIFS($C$3:$P$3,"MAT",$C7:$P7,AD$3)=0)*(COUNTIFS($C$3:$P$3,"POM",$C7:$P7,AD$3)=0)*(COUNTIFS($C$3:$P$3,"NOTTE",$C7:$P7,AD$3)=0),"_n","")&amp;", ")))</f>
        <v/>
      </c>
      <c r="CH7" s="1" t="str">
        <f aca="false">IF((AE7="X")+(AE7="Gn")+(AE7="C")+(AE6="Gn")&gt;0,"",IF(((AE7&lt;&gt;"Xm")*(COUNTIFS($C$3:$P$3,"MAT",$C7:$P7,AE$3)=0)*(COUNTIFS($C$3:$P$3,"NOTTE",$C7:$P7,AE$3)=0))+((AE7&lt;&gt;"Xp")*(COUNTIFS($C$3:$P$3,"POM",$C7:$P7,AE$3)=0)*(COUNTIFS($C$3:$P$3,"NOTTE",$C7:$P7,AE$3)=0))+((AE7&lt;&gt;"Xn")*(COUNTIFS($C$3:$P$3,"MAT",$C7:$P7,AE$3)=0)*(COUNTIFS($C$3:$P$3,"POM",$C7:$P7,AE$3)=0)*(COUNTIFS($C$3:$P$3,"NOTTE",$C7:$P7,AE$3)=0))=0,"",IF(((AE7&lt;&gt;"Xm")*(COUNTIFS($C$3:$P$3,"MAT",$C7:$P7,AE$3)=0)*(COUNTIFS($C$3:$P$3,"NOTTE",$C7:$P7,AE$3)=0))+((AE7&lt;&gt;"Xp")*(COUNTIFS($C$3:$P$3,"POM",$C7:$P7,AE$3)=0)*(COUNTIFS($C$3:$P$3,"NOTTE",$C7:$P7,AE$3)=0))+((AE7&lt;&gt;"Xn")*(COUNTIFS($C$3:$P$3,"MAT",$C7:$P7,AE$3)=0)*(COUNTIFS($C$3:$P$3,"POM",$C7:$P7,AE$3)=0)*(COUNTIFS($C$3:$P$3,"NOTTE",$C7:$P7,AE$3)=0))=3,AE$3&amp;", ",AE$3&amp;IF((AE7&lt;&gt;"Xm")*(COUNTIFS($C$3:$P$3,"MAT",$C7:$P7,AE$3)=0)*(COUNTIFS($C$3:$P$3,"NOTTE",$C7:$P7,AE$3)=0),"_m","")&amp;IF((AE7&lt;&gt;"Xp")*(COUNTIFS($C$3:$P$3,"POM",$C7:$P7,AE$3)=0)*(COUNTIFS($C$3:$P$3,"NOTTE",$C7:$P7,AE$3)=0),"_p","")&amp;IF((AE7&lt;&gt;"Xn")*(COUNTIFS($C$3:$P$3,"MAT",$C7:$P7,AE$3)=0)*(COUNTIFS($C$3:$P$3,"POM",$C7:$P7,AE$3)=0)*(COUNTIFS($C$3:$P$3,"NOTTE",$C7:$P7,AE$3)=0),"_n","")&amp;", ")))</f>
        <v/>
      </c>
      <c r="CI7" s="1" t="str">
        <f aca="false">IF((AF7="X")+(AF7="Gn")+(AF7="C")+(AF6="Gn")&gt;0,"",IF(((AF7&lt;&gt;"Xm")*(COUNTIFS($C$3:$P$3,"MAT",$C7:$P7,AF$3)=0)*(COUNTIFS($C$3:$P$3,"NOTTE",$C7:$P7,AF$3)=0))+((AF7&lt;&gt;"Xp")*(COUNTIFS($C$3:$P$3,"POM",$C7:$P7,AF$3)=0)*(COUNTIFS($C$3:$P$3,"NOTTE",$C7:$P7,AF$3)=0))+((AF7&lt;&gt;"Xn")*(COUNTIFS($C$3:$P$3,"MAT",$C7:$P7,AF$3)=0)*(COUNTIFS($C$3:$P$3,"POM",$C7:$P7,AF$3)=0)*(COUNTIFS($C$3:$P$3,"NOTTE",$C7:$P7,AF$3)=0))=0,"",IF(((AF7&lt;&gt;"Xm")*(COUNTIFS($C$3:$P$3,"MAT",$C7:$P7,AF$3)=0)*(COUNTIFS($C$3:$P$3,"NOTTE",$C7:$P7,AF$3)=0))+((AF7&lt;&gt;"Xp")*(COUNTIFS($C$3:$P$3,"POM",$C7:$P7,AF$3)=0)*(COUNTIFS($C$3:$P$3,"NOTTE",$C7:$P7,AF$3)=0))+((AF7&lt;&gt;"Xn")*(COUNTIFS($C$3:$P$3,"MAT",$C7:$P7,AF$3)=0)*(COUNTIFS($C$3:$P$3,"POM",$C7:$P7,AF$3)=0)*(COUNTIFS($C$3:$P$3,"NOTTE",$C7:$P7,AF$3)=0))=3,AF$3&amp;", ",AF$3&amp;IF((AF7&lt;&gt;"Xm")*(COUNTIFS($C$3:$P$3,"MAT",$C7:$P7,AF$3)=0)*(COUNTIFS($C$3:$P$3,"NOTTE",$C7:$P7,AF$3)=0),"_m","")&amp;IF((AF7&lt;&gt;"Xp")*(COUNTIFS($C$3:$P$3,"POM",$C7:$P7,AF$3)=0)*(COUNTIFS($C$3:$P$3,"NOTTE",$C7:$P7,AF$3)=0),"_p","")&amp;IF((AF7&lt;&gt;"Xn")*(COUNTIFS($C$3:$P$3,"MAT",$C7:$P7,AF$3)=0)*(COUNTIFS($C$3:$P$3,"POM",$C7:$P7,AF$3)=0)*(COUNTIFS($C$3:$P$3,"NOTTE",$C7:$P7,AF$3)=0),"_n","")&amp;", ")))</f>
        <v>VERDI, </v>
      </c>
      <c r="CJ7" s="1" t="str">
        <f aca="false">IF((AG7="X")+(AG7="Gn")+(AG7="C")+(AG6="Gn")&gt;0,"",IF(((AG7&lt;&gt;"Xm")*(COUNTIFS($C$3:$P$3,"MAT",$C7:$P7,AG$3)=0)*(COUNTIFS($C$3:$P$3,"NOTTE",$C7:$P7,AG$3)=0))+((AG7&lt;&gt;"Xp")*(COUNTIFS($C$3:$P$3,"POM",$C7:$P7,AG$3)=0)*(COUNTIFS($C$3:$P$3,"NOTTE",$C7:$P7,AG$3)=0))+((AG7&lt;&gt;"Xn")*(COUNTIFS($C$3:$P$3,"MAT",$C7:$P7,AG$3)=0)*(COUNTIFS($C$3:$P$3,"POM",$C7:$P7,AG$3)=0)*(COUNTIFS($C$3:$P$3,"NOTTE",$C7:$P7,AG$3)=0))=0,"",IF(((AG7&lt;&gt;"Xm")*(COUNTIFS($C$3:$P$3,"MAT",$C7:$P7,AG$3)=0)*(COUNTIFS($C$3:$P$3,"NOTTE",$C7:$P7,AG$3)=0))+((AG7&lt;&gt;"Xp")*(COUNTIFS($C$3:$P$3,"POM",$C7:$P7,AG$3)=0)*(COUNTIFS($C$3:$P$3,"NOTTE",$C7:$P7,AG$3)=0))+((AG7&lt;&gt;"Xn")*(COUNTIFS($C$3:$P$3,"MAT",$C7:$P7,AG$3)=0)*(COUNTIFS($C$3:$P$3,"POM",$C7:$P7,AG$3)=0)*(COUNTIFS($C$3:$P$3,"NOTTE",$C7:$P7,AG$3)=0))=3,AG$3&amp;", ",AG$3&amp;IF((AG7&lt;&gt;"Xm")*(COUNTIFS($C$3:$P$3,"MAT",$C7:$P7,AG$3)=0)*(COUNTIFS($C$3:$P$3,"NOTTE",$C7:$P7,AG$3)=0),"_m","")&amp;IF((AG7&lt;&gt;"Xp")*(COUNTIFS($C$3:$P$3,"POM",$C7:$P7,AG$3)=0)*(COUNTIFS($C$3:$P$3,"NOTTE",$C7:$P7,AG$3)=0),"_p","")&amp;IF((AG7&lt;&gt;"Xn")*(COUNTIFS($C$3:$P$3,"MAT",$C7:$P7,AG$3)=0)*(COUNTIFS($C$3:$P$3,"POM",$C7:$P7,AG$3)=0)*(COUNTIFS($C$3:$P$3,"NOTTE",$C7:$P7,AG$3)=0),"_n","")&amp;", ")))</f>
        <v>HU_m_n, </v>
      </c>
      <c r="CK7" s="1" t="str">
        <f aca="false">IF((AH7="X")+(AH7="Gn")+(AH7="C")+(AH6="Gn")&gt;0,"",IF(((AH7&lt;&gt;"Xm")*(COUNTIFS($C$3:$P$3,"MAT",$C7:$P7,AH$3)=0)*(COUNTIFS($C$3:$P$3,"NOTTE",$C7:$P7,AH$3)=0))+((AH7&lt;&gt;"Xp")*(COUNTIFS($C$3:$P$3,"POM",$C7:$P7,AH$3)=0)*(COUNTIFS($C$3:$P$3,"NOTTE",$C7:$P7,AH$3)=0))+((AH7&lt;&gt;"Xn")*(COUNTIFS($C$3:$P$3,"MAT",$C7:$P7,AH$3)=0)*(COUNTIFS($C$3:$P$3,"POM",$C7:$P7,AH$3)=0)*(COUNTIFS($C$3:$P$3,"NOTTE",$C7:$P7,AH$3)=0))=0,"",IF(((AH7&lt;&gt;"Xm")*(COUNTIFS($C$3:$P$3,"MAT",$C7:$P7,AH$3)=0)*(COUNTIFS($C$3:$P$3,"NOTTE",$C7:$P7,AH$3)=0))+((AH7&lt;&gt;"Xp")*(COUNTIFS($C$3:$P$3,"POM",$C7:$P7,AH$3)=0)*(COUNTIFS($C$3:$P$3,"NOTTE",$C7:$P7,AH$3)=0))+((AH7&lt;&gt;"Xn")*(COUNTIFS($C$3:$P$3,"MAT",$C7:$P7,AH$3)=0)*(COUNTIFS($C$3:$P$3,"POM",$C7:$P7,AH$3)=0)*(COUNTIFS($C$3:$P$3,"NOTTE",$C7:$P7,AH$3)=0))=3,AH$3&amp;", ",AH$3&amp;IF((AH7&lt;&gt;"Xm")*(COUNTIFS($C$3:$P$3,"MAT",$C7:$P7,AH$3)=0)*(COUNTIFS($C$3:$P$3,"NOTTE",$C7:$P7,AH$3)=0),"_m","")&amp;IF((AH7&lt;&gt;"Xp")*(COUNTIFS($C$3:$P$3,"POM",$C7:$P7,AH$3)=0)*(COUNTIFS($C$3:$P$3,"NOTTE",$C7:$P7,AH$3)=0),"_p","")&amp;IF((AH7&lt;&gt;"Xn")*(COUNTIFS($C$3:$P$3,"MAT",$C7:$P7,AH$3)=0)*(COUNTIFS($C$3:$P$3,"POM",$C7:$P7,AH$3)=0)*(COUNTIFS($C$3:$P$3,"NOTTE",$C7:$P7,AH$3)=0),"_n","")&amp;", ")))</f>
        <v/>
      </c>
      <c r="CL7" s="1" t="str">
        <f aca="false">IF((AI7="X")+(AI7="Gn")+(AI7="C")+(AI6="Gn")&gt;0,"",IF(((AI7&lt;&gt;"Xm")*(COUNTIFS($C$3:$P$3,"MAT",$C7:$P7,AI$3)=0)*(COUNTIFS($C$3:$P$3,"NOTTE",$C7:$P7,AI$3)=0))+((AI7&lt;&gt;"Xp")*(COUNTIFS($C$3:$P$3,"POM",$C7:$P7,AI$3)=0)*(COUNTIFS($C$3:$P$3,"NOTTE",$C7:$P7,AI$3)=0))+((AI7&lt;&gt;"Xn")*(COUNTIFS($C$3:$P$3,"MAT",$C7:$P7,AI$3)=0)*(COUNTIFS($C$3:$P$3,"POM",$C7:$P7,AI$3)=0)*(COUNTIFS($C$3:$P$3,"NOTTE",$C7:$P7,AI$3)=0))=0,"",IF(((AI7&lt;&gt;"Xm")*(COUNTIFS($C$3:$P$3,"MAT",$C7:$P7,AI$3)=0)*(COUNTIFS($C$3:$P$3,"NOTTE",$C7:$P7,AI$3)=0))+((AI7&lt;&gt;"Xp")*(COUNTIFS($C$3:$P$3,"POM",$C7:$P7,AI$3)=0)*(COUNTIFS($C$3:$P$3,"NOTTE",$C7:$P7,AI$3)=0))+((AI7&lt;&gt;"Xn")*(COUNTIFS($C$3:$P$3,"MAT",$C7:$P7,AI$3)=0)*(COUNTIFS($C$3:$P$3,"POM",$C7:$P7,AI$3)=0)*(COUNTIFS($C$3:$P$3,"NOTTE",$C7:$P7,AI$3)=0))=3,AI$3&amp;", ",AI$3&amp;IF((AI7&lt;&gt;"Xm")*(COUNTIFS($C$3:$P$3,"MAT",$C7:$P7,AI$3)=0)*(COUNTIFS($C$3:$P$3,"NOTTE",$C7:$P7,AI$3)=0),"_m","")&amp;IF((AI7&lt;&gt;"Xp")*(COUNTIFS($C$3:$P$3,"POM",$C7:$P7,AI$3)=0)*(COUNTIFS($C$3:$P$3,"NOTTE",$C7:$P7,AI$3)=0),"_p","")&amp;IF((AI7&lt;&gt;"Xn")*(COUNTIFS($C$3:$P$3,"MAT",$C7:$P7,AI$3)=0)*(COUNTIFS($C$3:$P$3,"POM",$C7:$P7,AI$3)=0)*(COUNTIFS($C$3:$P$3,"NOTTE",$C7:$P7,AI$3)=0),"_n","")&amp;", ")))</f>
        <v>CONTI A, </v>
      </c>
      <c r="CM7" s="1" t="str">
        <f aca="false">IF((AJ7="X")+(AJ7="Gn")+(AJ7="C")+(AJ6="Gn")&gt;0,"",IF(((AJ7&lt;&gt;"Xm")*(COUNTIFS($C$3:$P$3,"MAT",$C7:$P7,AJ$3)=0)*(COUNTIFS($C$3:$P$3,"NOTTE",$C7:$P7,AJ$3)=0))+((AJ7&lt;&gt;"Xp")*(COUNTIFS($C$3:$P$3,"POM",$C7:$P7,AJ$3)=0)*(COUNTIFS($C$3:$P$3,"NOTTE",$C7:$P7,AJ$3)=0))+((AJ7&lt;&gt;"Xn")*(COUNTIFS($C$3:$P$3,"MAT",$C7:$P7,AJ$3)=0)*(COUNTIFS($C$3:$P$3,"POM",$C7:$P7,AJ$3)=0)*(COUNTIFS($C$3:$P$3,"NOTTE",$C7:$P7,AJ$3)=0))=0,"",IF(((AJ7&lt;&gt;"Xm")*(COUNTIFS($C$3:$P$3,"MAT",$C7:$P7,AJ$3)=0)*(COUNTIFS($C$3:$P$3,"NOTTE",$C7:$P7,AJ$3)=0))+((AJ7&lt;&gt;"Xp")*(COUNTIFS($C$3:$P$3,"POM",$C7:$P7,AJ$3)=0)*(COUNTIFS($C$3:$P$3,"NOTTE",$C7:$P7,AJ$3)=0))+((AJ7&lt;&gt;"Xn")*(COUNTIFS($C$3:$P$3,"MAT",$C7:$P7,AJ$3)=0)*(COUNTIFS($C$3:$P$3,"POM",$C7:$P7,AJ$3)=0)*(COUNTIFS($C$3:$P$3,"NOTTE",$C7:$P7,AJ$3)=0))=3,AJ$3&amp;", ",AJ$3&amp;IF((AJ7&lt;&gt;"Xm")*(COUNTIFS($C$3:$P$3,"MAT",$C7:$P7,AJ$3)=0)*(COUNTIFS($C$3:$P$3,"NOTTE",$C7:$P7,AJ$3)=0),"_m","")&amp;IF((AJ7&lt;&gt;"Xp")*(COUNTIFS($C$3:$P$3,"POM",$C7:$P7,AJ$3)=0)*(COUNTIFS($C$3:$P$3,"NOTTE",$C7:$P7,AJ$3)=0),"_p","")&amp;IF((AJ7&lt;&gt;"Xn")*(COUNTIFS($C$3:$P$3,"MAT",$C7:$P7,AJ$3)=0)*(COUNTIFS($C$3:$P$3,"POM",$C7:$P7,AJ$3)=0)*(COUNTIFS($C$3:$P$3,"NOTTE",$C7:$P7,AJ$3)=0),"_n","")&amp;", ")))</f>
        <v>CONTI S_m, </v>
      </c>
      <c r="CN7" s="1" t="str">
        <f aca="false">IF((AK7="X")+(AK7="Gn")+(AK7="C")+(AK6="Gn")&gt;0,"",IF(((AK7&lt;&gt;"Xm")*(COUNTIFS($C$3:$P$3,"MAT",$C7:$P7,AK$3)=0)*(COUNTIFS($C$3:$P$3,"NOTTE",$C7:$P7,AK$3)=0))+((AK7&lt;&gt;"Xp")*(COUNTIFS($C$3:$P$3,"POM",$C7:$P7,AK$3)=0)*(COUNTIFS($C$3:$P$3,"NOTTE",$C7:$P7,AK$3)=0))+((AK7&lt;&gt;"Xn")*(COUNTIFS($C$3:$P$3,"MAT",$C7:$P7,AK$3)=0)*(COUNTIFS($C$3:$P$3,"POM",$C7:$P7,AK$3)=0)*(COUNTIFS($C$3:$P$3,"NOTTE",$C7:$P7,AK$3)=0))=0,"",IF(((AK7&lt;&gt;"Xm")*(COUNTIFS($C$3:$P$3,"MAT",$C7:$P7,AK$3)=0)*(COUNTIFS($C$3:$P$3,"NOTTE",$C7:$P7,AK$3)=0))+((AK7&lt;&gt;"Xp")*(COUNTIFS($C$3:$P$3,"POM",$C7:$P7,AK$3)=0)*(COUNTIFS($C$3:$P$3,"NOTTE",$C7:$P7,AK$3)=0))+((AK7&lt;&gt;"Xn")*(COUNTIFS($C$3:$P$3,"MAT",$C7:$P7,AK$3)=0)*(COUNTIFS($C$3:$P$3,"POM",$C7:$P7,AK$3)=0)*(COUNTIFS($C$3:$P$3,"NOTTE",$C7:$P7,AK$3)=0))=3,AK$3&amp;", ",AK$3&amp;IF((AK7&lt;&gt;"Xm")*(COUNTIFS($C$3:$P$3,"MAT",$C7:$P7,AK$3)=0)*(COUNTIFS($C$3:$P$3,"NOTTE",$C7:$P7,AK$3)=0),"_m","")&amp;IF((AK7&lt;&gt;"Xp")*(COUNTIFS($C$3:$P$3,"POM",$C7:$P7,AK$3)=0)*(COUNTIFS($C$3:$P$3,"NOTTE",$C7:$P7,AK$3)=0),"_p","")&amp;IF((AK7&lt;&gt;"Xn")*(COUNTIFS($C$3:$P$3,"MAT",$C7:$P7,AK$3)=0)*(COUNTIFS($C$3:$P$3,"POM",$C7:$P7,AK$3)=0)*(COUNTIFS($C$3:$P$3,"NOTTE",$C7:$P7,AK$3)=0),"_n","")&amp;", ")))</f>
        <v/>
      </c>
      <c r="CO7" s="1" t="str">
        <f aca="false">IF((AL7="X")+(AL7="Gn")+(AL7="C")+(AL6="Gn")&gt;0,"",IF(((AL7&lt;&gt;"Xm")*(COUNTIFS($C$3:$P$3,"MAT",$C7:$P7,AL$3)=0)*(COUNTIFS($C$3:$P$3,"NOTTE",$C7:$P7,AL$3)=0))+((AL7&lt;&gt;"Xp")*(COUNTIFS($C$3:$P$3,"POM",$C7:$P7,AL$3)=0)*(COUNTIFS($C$3:$P$3,"NOTTE",$C7:$P7,AL$3)=0))+((AL7&lt;&gt;"Xn")*(COUNTIFS($C$3:$P$3,"MAT",$C7:$P7,AL$3)=0)*(COUNTIFS($C$3:$P$3,"POM",$C7:$P7,AL$3)=0)*(COUNTIFS($C$3:$P$3,"NOTTE",$C7:$P7,AL$3)=0))=0,"",IF(((AL7&lt;&gt;"Xm")*(COUNTIFS($C$3:$P$3,"MAT",$C7:$P7,AL$3)=0)*(COUNTIFS($C$3:$P$3,"NOTTE",$C7:$P7,AL$3)=0))+((AL7&lt;&gt;"Xp")*(COUNTIFS($C$3:$P$3,"POM",$C7:$P7,AL$3)=0)*(COUNTIFS($C$3:$P$3,"NOTTE",$C7:$P7,AL$3)=0))+((AL7&lt;&gt;"Xn")*(COUNTIFS($C$3:$P$3,"MAT",$C7:$P7,AL$3)=0)*(COUNTIFS($C$3:$P$3,"POM",$C7:$P7,AL$3)=0)*(COUNTIFS($C$3:$P$3,"NOTTE",$C7:$P7,AL$3)=0))=3,AL$3&amp;", ",AL$3&amp;IF((AL7&lt;&gt;"Xm")*(COUNTIFS($C$3:$P$3,"MAT",$C7:$P7,AL$3)=0)*(COUNTIFS($C$3:$P$3,"NOTTE",$C7:$P7,AL$3)=0),"_m","")&amp;IF((AL7&lt;&gt;"Xp")*(COUNTIFS($C$3:$P$3,"POM",$C7:$P7,AL$3)=0)*(COUNTIFS($C$3:$P$3,"NOTTE",$C7:$P7,AL$3)=0),"_p","")&amp;IF((AL7&lt;&gt;"Xn")*(COUNTIFS($C$3:$P$3,"MAT",$C7:$P7,AL$3)=0)*(COUNTIFS($C$3:$P$3,"POM",$C7:$P7,AL$3)=0)*(COUNTIFS($C$3:$P$3,"NOTTE",$C7:$P7,AL$3)=0),"_n","")&amp;", ")))</f>
        <v/>
      </c>
      <c r="CP7" s="1" t="str">
        <f aca="false">IF((AM7="X")+(AM7="Gn")+(AM7="C")+(AM6="Gn")&gt;0,"",IF(((AM7&lt;&gt;"Xm")*(COUNTIFS($C$3:$P$3,"MAT",$C7:$P7,AM$3)=0)*(COUNTIFS($C$3:$P$3,"NOTTE",$C7:$P7,AM$3)=0))+((AM7&lt;&gt;"Xp")*(COUNTIFS($C$3:$P$3,"POM",$C7:$P7,AM$3)=0)*(COUNTIFS($C$3:$P$3,"NOTTE",$C7:$P7,AM$3)=0))+((AM7&lt;&gt;"Xn")*(COUNTIFS($C$3:$P$3,"MAT",$C7:$P7,AM$3)=0)*(COUNTIFS($C$3:$P$3,"POM",$C7:$P7,AM$3)=0)*(COUNTIFS($C$3:$P$3,"NOTTE",$C7:$P7,AM$3)=0))=0,"",IF(((AM7&lt;&gt;"Xm")*(COUNTIFS($C$3:$P$3,"MAT",$C7:$P7,AM$3)=0)*(COUNTIFS($C$3:$P$3,"NOTTE",$C7:$P7,AM$3)=0))+((AM7&lt;&gt;"Xp")*(COUNTIFS($C$3:$P$3,"POM",$C7:$P7,AM$3)=0)*(COUNTIFS($C$3:$P$3,"NOTTE",$C7:$P7,AM$3)=0))+((AM7&lt;&gt;"Xn")*(COUNTIFS($C$3:$P$3,"MAT",$C7:$P7,AM$3)=0)*(COUNTIFS($C$3:$P$3,"POM",$C7:$P7,AM$3)=0)*(COUNTIFS($C$3:$P$3,"NOTTE",$C7:$P7,AM$3)=0))=3,AM$3&amp;", ",AM$3&amp;IF((AM7&lt;&gt;"Xm")*(COUNTIFS($C$3:$P$3,"MAT",$C7:$P7,AM$3)=0)*(COUNTIFS($C$3:$P$3,"NOTTE",$C7:$P7,AM$3)=0),"_m","")&amp;IF((AM7&lt;&gt;"Xp")*(COUNTIFS($C$3:$P$3,"POM",$C7:$P7,AM$3)=0)*(COUNTIFS($C$3:$P$3,"NOTTE",$C7:$P7,AM$3)=0),"_p","")&amp;IF((AM7&lt;&gt;"Xn")*(COUNTIFS($C$3:$P$3,"MAT",$C7:$P7,AM$3)=0)*(COUNTIFS($C$3:$P$3,"POM",$C7:$P7,AM$3)=0)*(COUNTIFS($C$3:$P$3,"NOTTE",$C7:$P7,AM$3)=0),"_n","")&amp;", ")))</f>
        <v/>
      </c>
      <c r="CQ7" s="1" t="str">
        <f aca="false">IF((AN7="X")+(AN7="Gn")+(AN7="C")+(AN6="Gn")&gt;0,"",IF(((AN7&lt;&gt;"Xm")*(COUNTIFS($C$3:$P$3,"MAT",$C7:$P7,AN$3)=0)*(COUNTIFS($C$3:$P$3,"NOTTE",$C7:$P7,AN$3)=0))+((AN7&lt;&gt;"Xp")*(COUNTIFS($C$3:$P$3,"POM",$C7:$P7,AN$3)=0)*(COUNTIFS($C$3:$P$3,"NOTTE",$C7:$P7,AN$3)=0))+((AN7&lt;&gt;"Xn")*(COUNTIFS($C$3:$P$3,"MAT",$C7:$P7,AN$3)=0)*(COUNTIFS($C$3:$P$3,"POM",$C7:$P7,AN$3)=0)*(COUNTIFS($C$3:$P$3,"NOTTE",$C7:$P7,AN$3)=0))=0,"",IF(((AN7&lt;&gt;"Xm")*(COUNTIFS($C$3:$P$3,"MAT",$C7:$P7,AN$3)=0)*(COUNTIFS($C$3:$P$3,"NOTTE",$C7:$P7,AN$3)=0))+((AN7&lt;&gt;"Xp")*(COUNTIFS($C$3:$P$3,"POM",$C7:$P7,AN$3)=0)*(COUNTIFS($C$3:$P$3,"NOTTE",$C7:$P7,AN$3)=0))+((AN7&lt;&gt;"Xn")*(COUNTIFS($C$3:$P$3,"MAT",$C7:$P7,AN$3)=0)*(COUNTIFS($C$3:$P$3,"POM",$C7:$P7,AN$3)=0)*(COUNTIFS($C$3:$P$3,"NOTTE",$C7:$P7,AN$3)=0))=3,AN$3&amp;", ",AN$3&amp;IF((AN7&lt;&gt;"Xm")*(COUNTIFS($C$3:$P$3,"MAT",$C7:$P7,AN$3)=0)*(COUNTIFS($C$3:$P$3,"NOTTE",$C7:$P7,AN$3)=0),"_m","")&amp;IF((AN7&lt;&gt;"Xp")*(COUNTIFS($C$3:$P$3,"POM",$C7:$P7,AN$3)=0)*(COUNTIFS($C$3:$P$3,"NOTTE",$C7:$P7,AN$3)=0),"_p","")&amp;IF((AN7&lt;&gt;"Xn")*(COUNTIFS($C$3:$P$3,"MAT",$C7:$P7,AN$3)=0)*(COUNTIFS($C$3:$P$3,"POM",$C7:$P7,AN$3)=0)*(COUNTIFS($C$3:$P$3,"NOTTE",$C7:$P7,AN$3)=0),"_n","")&amp;", ")))</f>
        <v/>
      </c>
    </row>
    <row r="8" customFormat="false" ht="15" hidden="false" customHeight="true" outlineLevel="0" collapsed="false">
      <c r="A8" s="15" t="str">
        <f aca="false">CHOOSE(WEEKDAY(DATE($B$1,$A$2,B8),2),"lunedì","martedì","mercoledì","giovedì","venerdì","sabato","domenica")</f>
        <v>giovedì</v>
      </c>
      <c r="B8" s="15" t="n">
        <v>5</v>
      </c>
      <c r="C8" s="16" t="s">
        <v>33</v>
      </c>
      <c r="D8" s="16" t="s">
        <v>33</v>
      </c>
      <c r="E8" s="16" t="s">
        <v>36</v>
      </c>
      <c r="F8" s="16" t="s">
        <v>36</v>
      </c>
      <c r="G8" s="16" t="s">
        <v>28</v>
      </c>
      <c r="H8" s="16" t="s">
        <v>28</v>
      </c>
      <c r="I8" s="16" t="s">
        <v>31</v>
      </c>
      <c r="J8" s="16" t="s">
        <v>31</v>
      </c>
      <c r="K8" s="16" t="s">
        <v>26</v>
      </c>
      <c r="L8" s="16"/>
      <c r="M8" s="16" t="s">
        <v>35</v>
      </c>
      <c r="N8" s="16" t="s">
        <v>27</v>
      </c>
      <c r="O8" s="16" t="s">
        <v>27</v>
      </c>
      <c r="P8" s="16" t="s">
        <v>24</v>
      </c>
      <c r="Q8" s="16"/>
      <c r="R8" s="16" t="str">
        <f aca="false">IF(SUMPRODUCT(($C$3:$P$3&lt;&gt;"")*($C8:$P8&lt;&gt;"")*(COUNTIFS($C8:$P8,$C8:$P8,$C$3:$P$3,$C$3:$P$3)&gt;1))&gt;0,"X","")</f>
        <v/>
      </c>
      <c r="S8" s="17" t="str">
        <f aca="false"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ROSSI M_p_n, ROSSI L, GALLINA, RUSSO, VERDI, MARINI, CONTI A, FERRARI, GRECO, SANNA, LI</v>
      </c>
      <c r="T8" s="17" t="str">
        <f aca="false"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ROSSI L, GALLINA_p, MARINI, GRECO, SANNA_m</v>
      </c>
      <c r="Y8" s="15" t="str">
        <f aca="false">A8</f>
        <v>giovedì</v>
      </c>
      <c r="Z8" s="15" t="n">
        <f aca="false">B8</f>
        <v>5</v>
      </c>
      <c r="AA8" s="16" t="s">
        <v>44</v>
      </c>
      <c r="AB8" s="16" t="s">
        <v>46</v>
      </c>
      <c r="AC8" s="16"/>
      <c r="AD8" s="16"/>
      <c r="AE8" s="16"/>
      <c r="AF8" s="16"/>
      <c r="AG8" s="16" t="s">
        <v>42</v>
      </c>
      <c r="AH8" s="16"/>
      <c r="AI8" s="16"/>
      <c r="AJ8" s="16" t="s">
        <v>44</v>
      </c>
      <c r="AK8" s="16"/>
      <c r="AL8" s="16"/>
      <c r="AM8" s="16"/>
      <c r="AN8" s="16"/>
      <c r="AP8" s="11" t="s">
        <v>44</v>
      </c>
      <c r="AQ8" s="12" t="s">
        <v>50</v>
      </c>
      <c r="AS8" s="13" t="str">
        <f aca="false">AE$3</f>
        <v>RUSSO</v>
      </c>
      <c r="AT8" s="13" t="n">
        <f aca="false">COUNTIF($C$4:$D$33,$AS8)</f>
        <v>0</v>
      </c>
      <c r="AU8" s="13" t="n">
        <f aca="false">COUNTIF($E$4:$F$33,$AS8)</f>
        <v>0</v>
      </c>
      <c r="AV8" s="13" t="n">
        <f aca="false">COUNTIF($G$4:$H$33,$AS8)</f>
        <v>0</v>
      </c>
      <c r="AW8" s="13" t="n">
        <f aca="false">COUNTIF($I$4:$J$33,$AS8)</f>
        <v>0</v>
      </c>
      <c r="AX8" s="13" t="n">
        <f aca="false">COUNTIF($K$4:$K$33,$AS8)</f>
        <v>1</v>
      </c>
      <c r="AY8" s="13" t="n">
        <f aca="false">COUNTIF($L$4:$L$33,$AS8)</f>
        <v>0</v>
      </c>
      <c r="AZ8" s="13" t="n">
        <f aca="false">COUNTIF($M$4:$M$33,$AS8)</f>
        <v>0</v>
      </c>
      <c r="BA8" s="13" t="n">
        <f aca="false">COUNTIF($N$4:$P$33,$AS8)</f>
        <v>19</v>
      </c>
      <c r="BB8" s="13" t="n">
        <f aca="false">COUNTIF($C$4:$P$33,$AS8)</f>
        <v>20</v>
      </c>
      <c r="BD8" s="14" t="str">
        <f aca="false">AE$3</f>
        <v>RUSSO</v>
      </c>
      <c r="BE8" s="14"/>
      <c r="BF8" s="14"/>
      <c r="BG8" s="14"/>
      <c r="BH8" s="14"/>
      <c r="BI8" s="14"/>
      <c r="BJ8" s="14"/>
      <c r="BK8" s="14"/>
      <c r="BL8" s="14"/>
      <c r="BM8" s="14"/>
      <c r="BO8" s="1" t="str">
        <f aca="false">IF((AA8="X")+(AA8="Gn")+(AA8="C")+(AA7="Gn")&gt;0,"",IF(((AA8&lt;&gt;"Xm"))+((AA8&lt;&gt;"Xp"))+((AA8&lt;&gt;"Xn"))=0,"",IF(((AA8&lt;&gt;"Xm"))+((AA8&lt;&gt;"Xp"))+((AA8&lt;&gt;"Xn"))=3,AA$3&amp;", ",AA$3&amp;IF((AA8&lt;&gt;"Xm"),"_m","")&amp;IF((AA8&lt;&gt;"Xp"),"_p","")&amp;IF((AA8&lt;&gt;"Xn"),"_n","")&amp;", ")))</f>
        <v/>
      </c>
      <c r="BP8" s="1" t="str">
        <f aca="false">IF((AB8="X")+(AB8="Gn")+(AB8="C")+(AB7="Gn")&gt;0,"",IF(((AB8&lt;&gt;"Xm"))+((AB8&lt;&gt;"Xp"))+((AB8&lt;&gt;"Xn"))=0,"",IF(((AB8&lt;&gt;"Xm"))+((AB8&lt;&gt;"Xp"))+((AB8&lt;&gt;"Xn"))=3,AB$3&amp;", ",AB$3&amp;IF((AB8&lt;&gt;"Xm"),"_m","")&amp;IF((AB8&lt;&gt;"Xp"),"_p","")&amp;IF((AB8&lt;&gt;"Xn"),"_n","")&amp;", ")))</f>
        <v>ROSSI M_p_n, </v>
      </c>
      <c r="BQ8" s="1" t="str">
        <f aca="false">IF((AC8="X")+(AC8="Gn")+(AC8="C")+(AC7="Gn")&gt;0,"",IF(((AC8&lt;&gt;"Xm"))+((AC8&lt;&gt;"Xp"))+((AC8&lt;&gt;"Xn"))=0,"",IF(((AC8&lt;&gt;"Xm"))+((AC8&lt;&gt;"Xp"))+((AC8&lt;&gt;"Xn"))=3,AC$3&amp;", ",AC$3&amp;IF((AC8&lt;&gt;"Xm"),"_m","")&amp;IF((AC8&lt;&gt;"Xp"),"_p","")&amp;IF((AC8&lt;&gt;"Xn"),"_n","")&amp;", ")))</f>
        <v>ROSSI L, </v>
      </c>
      <c r="BR8" s="1" t="str">
        <f aca="false">IF((AD8="X")+(AD8="Gn")+(AD8="C")+(AD7="Gn")&gt;0,"",IF(((AD8&lt;&gt;"Xm"))+((AD8&lt;&gt;"Xp"))+((AD8&lt;&gt;"Xn"))=0,"",IF(((AD8&lt;&gt;"Xm"))+((AD8&lt;&gt;"Xp"))+((AD8&lt;&gt;"Xn"))=3,AD$3&amp;", ",AD$3&amp;IF((AD8&lt;&gt;"Xm"),"_m","")&amp;IF((AD8&lt;&gt;"Xp"),"_p","")&amp;IF((AD8&lt;&gt;"Xn"),"_n","")&amp;", ")))</f>
        <v>GALLINA, </v>
      </c>
      <c r="BS8" s="1" t="str">
        <f aca="false">IF((AE8="X")+(AE8="Gn")+(AE8="C")+(AE7="Gn")&gt;0,"",IF(((AE8&lt;&gt;"Xm"))+((AE8&lt;&gt;"Xp"))+((AE8&lt;&gt;"Xn"))=0,"",IF(((AE8&lt;&gt;"Xm"))+((AE8&lt;&gt;"Xp"))+((AE8&lt;&gt;"Xn"))=3,AE$3&amp;", ",AE$3&amp;IF((AE8&lt;&gt;"Xm"),"_m","")&amp;IF((AE8&lt;&gt;"Xp"),"_p","")&amp;IF((AE8&lt;&gt;"Xn"),"_n","")&amp;", ")))</f>
        <v>RUSSO, </v>
      </c>
      <c r="BT8" s="1" t="str">
        <f aca="false">IF((AF8="X")+(AF8="Gn")+(AF8="C")+(AF7="Gn")&gt;0,"",IF(((AF8&lt;&gt;"Xm"))+((AF8&lt;&gt;"Xp"))+((AF8&lt;&gt;"Xn"))=0,"",IF(((AF8&lt;&gt;"Xm"))+((AF8&lt;&gt;"Xp"))+((AF8&lt;&gt;"Xn"))=3,AF$3&amp;", ",AF$3&amp;IF((AF8&lt;&gt;"Xm"),"_m","")&amp;IF((AF8&lt;&gt;"Xp"),"_p","")&amp;IF((AF8&lt;&gt;"Xn"),"_n","")&amp;", ")))</f>
        <v>VERDI, </v>
      </c>
      <c r="BU8" s="1" t="str">
        <f aca="false">IF((AG8="X")+(AG8="Gn")+(AG8="C")+(AG7="Gn")&gt;0,"",IF(((AG8&lt;&gt;"Xm"))+((AG8&lt;&gt;"Xp"))+((AG8&lt;&gt;"Xn"))=0,"",IF(((AG8&lt;&gt;"Xm"))+((AG8&lt;&gt;"Xp"))+((AG8&lt;&gt;"Xn"))=3,AG$3&amp;", ",AG$3&amp;IF((AG8&lt;&gt;"Xm"),"_m","")&amp;IF((AG8&lt;&gt;"Xp"),"_p","")&amp;IF((AG8&lt;&gt;"Xn"),"_n","")&amp;", ")))</f>
        <v/>
      </c>
      <c r="BV8" s="1" t="str">
        <f aca="false">IF((AH8="X")+(AH8="Gn")+(AH8="C")+(AH7="Gn")&gt;0,"",IF(((AH8&lt;&gt;"Xm"))+((AH8&lt;&gt;"Xp"))+((AH8&lt;&gt;"Xn"))=0,"",IF(((AH8&lt;&gt;"Xm"))+((AH8&lt;&gt;"Xp"))+((AH8&lt;&gt;"Xn"))=3,AH$3&amp;", ",AH$3&amp;IF((AH8&lt;&gt;"Xm"),"_m","")&amp;IF((AH8&lt;&gt;"Xp"),"_p","")&amp;IF((AH8&lt;&gt;"Xn"),"_n","")&amp;", ")))</f>
        <v>MARINI, </v>
      </c>
      <c r="BW8" s="1" t="str">
        <f aca="false">IF((AI8="X")+(AI8="Gn")+(AI8="C")+(AI7="Gn")&gt;0,"",IF(((AI8&lt;&gt;"Xm"))+((AI8&lt;&gt;"Xp"))+((AI8&lt;&gt;"Xn"))=0,"",IF(((AI8&lt;&gt;"Xm"))+((AI8&lt;&gt;"Xp"))+((AI8&lt;&gt;"Xn"))=3,AI$3&amp;", ",AI$3&amp;IF((AI8&lt;&gt;"Xm"),"_m","")&amp;IF((AI8&lt;&gt;"Xp"),"_p","")&amp;IF((AI8&lt;&gt;"Xn"),"_n","")&amp;", ")))</f>
        <v>CONTI A, </v>
      </c>
      <c r="BX8" s="1" t="str">
        <f aca="false">IF((AJ8="X")+(AJ8="Gn")+(AJ8="C")+(AJ7="Gn")&gt;0,"",IF(((AJ8&lt;&gt;"Xm"))+((AJ8&lt;&gt;"Xp"))+((AJ8&lt;&gt;"Xn"))=0,"",IF(((AJ8&lt;&gt;"Xm"))+((AJ8&lt;&gt;"Xp"))+((AJ8&lt;&gt;"Xn"))=3,AJ$3&amp;", ",AJ$3&amp;IF((AJ8&lt;&gt;"Xm"),"_m","")&amp;IF((AJ8&lt;&gt;"Xp"),"_p","")&amp;IF((AJ8&lt;&gt;"Xn"),"_n","")&amp;", ")))</f>
        <v/>
      </c>
      <c r="BY8" s="1" t="str">
        <f aca="false">IF((AK8="X")+(AK8="Gn")+(AK8="C")+(AK7="Gn")&gt;0,"",IF(((AK8&lt;&gt;"Xm"))+((AK8&lt;&gt;"Xp"))+((AK8&lt;&gt;"Xn"))=0,"",IF(((AK8&lt;&gt;"Xm"))+((AK8&lt;&gt;"Xp"))+((AK8&lt;&gt;"Xn"))=3,AK$3&amp;", ",AK$3&amp;IF((AK8&lt;&gt;"Xm"),"_m","")&amp;IF((AK8&lt;&gt;"Xp"),"_p","")&amp;IF((AK8&lt;&gt;"Xn"),"_n","")&amp;", ")))</f>
        <v>FERRARI, </v>
      </c>
      <c r="BZ8" s="1" t="str">
        <f aca="false">IF((AL8="X")+(AL8="Gn")+(AL8="C")+(AL7="Gn")&gt;0,"",IF(((AL8&lt;&gt;"Xm"))+((AL8&lt;&gt;"Xp"))+((AL8&lt;&gt;"Xn"))=0,"",IF(((AL8&lt;&gt;"Xm"))+((AL8&lt;&gt;"Xp"))+((AL8&lt;&gt;"Xn"))=3,AL$3&amp;", ",AL$3&amp;IF((AL8&lt;&gt;"Xm"),"_m","")&amp;IF((AL8&lt;&gt;"Xp"),"_p","")&amp;IF((AL8&lt;&gt;"Xn"),"_n","")&amp;", ")))</f>
        <v>GRECO, </v>
      </c>
      <c r="CA8" s="1" t="str">
        <f aca="false">IF((AM8="X")+(AM8="Gn")+(AM8="C")+(AM7="Gn")&gt;0,"",IF(((AM8&lt;&gt;"Xm"))+((AM8&lt;&gt;"Xp"))+((AM8&lt;&gt;"Xn"))=0,"",IF(((AM8&lt;&gt;"Xm"))+((AM8&lt;&gt;"Xp"))+((AM8&lt;&gt;"Xn"))=3,AM$3&amp;", ",AM$3&amp;IF((AM8&lt;&gt;"Xm"),"_m","")&amp;IF((AM8&lt;&gt;"Xp"),"_p","")&amp;IF((AM8&lt;&gt;"Xn"),"_n","")&amp;", ")))</f>
        <v>SANNA, </v>
      </c>
      <c r="CB8" s="1" t="str">
        <f aca="false">IF((AN8="X")+(AN8="Gn")+(AN8="C")+(AN7="Gn")&gt;0,"",IF(((AN8&lt;&gt;"Xm"))+((AN8&lt;&gt;"Xp"))+((AN8&lt;&gt;"Xn"))=0,"",IF(((AN8&lt;&gt;"Xm"))+((AN8&lt;&gt;"Xp"))+((AN8&lt;&gt;"Xn"))=3,AN$3&amp;", ",AN$3&amp;IF((AN8&lt;&gt;"Xm"),"_m","")&amp;IF((AN8&lt;&gt;"Xp"),"_p","")&amp;IF((AN8&lt;&gt;"Xn"),"_n","")&amp;", ")))</f>
        <v>LI, </v>
      </c>
      <c r="CD8" s="1" t="str">
        <f aca="false">IF((AA8="X")+(AA8="Gn")+(AA8="C")+(AA7="Gn")&gt;0,"",IF(((AA8&lt;&gt;"Xm")*(COUNTIFS($C$3:$P$3,"MAT",$C8:$P8,AA$3)=0)*(COUNTIFS($C$3:$P$3,"NOTTE",$C8:$P8,AA$3)=0))+((AA8&lt;&gt;"Xp")*(COUNTIFS($C$3:$P$3,"POM",$C8:$P8,AA$3)=0)*(COUNTIFS($C$3:$P$3,"NOTTE",$C8:$P8,AA$3)=0))+((AA8&lt;&gt;"Xn")*(COUNTIFS($C$3:$P$3,"MAT",$C8:$P8,AA$3)=0)*(COUNTIFS($C$3:$P$3,"POM",$C8:$P8,AA$3)=0)*(COUNTIFS($C$3:$P$3,"NOTTE",$C8:$P8,AA$3)=0))=0,"",IF(((AA8&lt;&gt;"Xm")*(COUNTIFS($C$3:$P$3,"MAT",$C8:$P8,AA$3)=0)*(COUNTIFS($C$3:$P$3,"NOTTE",$C8:$P8,AA$3)=0))+((AA8&lt;&gt;"Xp")*(COUNTIFS($C$3:$P$3,"POM",$C8:$P8,AA$3)=0)*(COUNTIFS($C$3:$P$3,"NOTTE",$C8:$P8,AA$3)=0))+((AA8&lt;&gt;"Xn")*(COUNTIFS($C$3:$P$3,"MAT",$C8:$P8,AA$3)=0)*(COUNTIFS($C$3:$P$3,"POM",$C8:$P8,AA$3)=0)*(COUNTIFS($C$3:$P$3,"NOTTE",$C8:$P8,AA$3)=0))=3,AA$3&amp;", ",AA$3&amp;IF((AA8&lt;&gt;"Xm")*(COUNTIFS($C$3:$P$3,"MAT",$C8:$P8,AA$3)=0)*(COUNTIFS($C$3:$P$3,"NOTTE",$C8:$P8,AA$3)=0),"_m","")&amp;IF((AA8&lt;&gt;"Xp")*(COUNTIFS($C$3:$P$3,"POM",$C8:$P8,AA$3)=0)*(COUNTIFS($C$3:$P$3,"NOTTE",$C8:$P8,AA$3)=0),"_p","")&amp;IF((AA8&lt;&gt;"Xn")*(COUNTIFS($C$3:$P$3,"MAT",$C8:$P8,AA$3)=0)*(COUNTIFS($C$3:$P$3,"POM",$C8:$P8,AA$3)=0)*(COUNTIFS($C$3:$P$3,"NOTTE",$C8:$P8,AA$3)=0),"_n","")&amp;", ")))</f>
        <v/>
      </c>
      <c r="CE8" s="1" t="str">
        <f aca="false">IF((AB8="X")+(AB8="Gn")+(AB8="C")+(AB7="Gn")&gt;0,"",IF(((AB8&lt;&gt;"Xm")*(COUNTIFS($C$3:$P$3,"MAT",$C8:$P8,AB$3)=0)*(COUNTIFS($C$3:$P$3,"NOTTE",$C8:$P8,AB$3)=0))+((AB8&lt;&gt;"Xp")*(COUNTIFS($C$3:$P$3,"POM",$C8:$P8,AB$3)=0)*(COUNTIFS($C$3:$P$3,"NOTTE",$C8:$P8,AB$3)=0))+((AB8&lt;&gt;"Xn")*(COUNTIFS($C$3:$P$3,"MAT",$C8:$P8,AB$3)=0)*(COUNTIFS($C$3:$P$3,"POM",$C8:$P8,AB$3)=0)*(COUNTIFS($C$3:$P$3,"NOTTE",$C8:$P8,AB$3)=0))=0,"",IF(((AB8&lt;&gt;"Xm")*(COUNTIFS($C$3:$P$3,"MAT",$C8:$P8,AB$3)=0)*(COUNTIFS($C$3:$P$3,"NOTTE",$C8:$P8,AB$3)=0))+((AB8&lt;&gt;"Xp")*(COUNTIFS($C$3:$P$3,"POM",$C8:$P8,AB$3)=0)*(COUNTIFS($C$3:$P$3,"NOTTE",$C8:$P8,AB$3)=0))+((AB8&lt;&gt;"Xn")*(COUNTIFS($C$3:$P$3,"MAT",$C8:$P8,AB$3)=0)*(COUNTIFS($C$3:$P$3,"POM",$C8:$P8,AB$3)=0)*(COUNTIFS($C$3:$P$3,"NOTTE",$C8:$P8,AB$3)=0))=3,AB$3&amp;", ",AB$3&amp;IF((AB8&lt;&gt;"Xm")*(COUNTIFS($C$3:$P$3,"MAT",$C8:$P8,AB$3)=0)*(COUNTIFS($C$3:$P$3,"NOTTE",$C8:$P8,AB$3)=0),"_m","")&amp;IF((AB8&lt;&gt;"Xp")*(COUNTIFS($C$3:$P$3,"POM",$C8:$P8,AB$3)=0)*(COUNTIFS($C$3:$P$3,"NOTTE",$C8:$P8,AB$3)=0),"_p","")&amp;IF((AB8&lt;&gt;"Xn")*(COUNTIFS($C$3:$P$3,"MAT",$C8:$P8,AB$3)=0)*(COUNTIFS($C$3:$P$3,"POM",$C8:$P8,AB$3)=0)*(COUNTIFS($C$3:$P$3,"NOTTE",$C8:$P8,AB$3)=0),"_n","")&amp;", ")))</f>
        <v/>
      </c>
      <c r="CF8" s="1" t="str">
        <f aca="false">IF((AC8="X")+(AC8="Gn")+(AC8="C")+(AC7="Gn")&gt;0,"",IF(((AC8&lt;&gt;"Xm")*(COUNTIFS($C$3:$P$3,"MAT",$C8:$P8,AC$3)=0)*(COUNTIFS($C$3:$P$3,"NOTTE",$C8:$P8,AC$3)=0))+((AC8&lt;&gt;"Xp")*(COUNTIFS($C$3:$P$3,"POM",$C8:$P8,AC$3)=0)*(COUNTIFS($C$3:$P$3,"NOTTE",$C8:$P8,AC$3)=0))+((AC8&lt;&gt;"Xn")*(COUNTIFS($C$3:$P$3,"MAT",$C8:$P8,AC$3)=0)*(COUNTIFS($C$3:$P$3,"POM",$C8:$P8,AC$3)=0)*(COUNTIFS($C$3:$P$3,"NOTTE",$C8:$P8,AC$3)=0))=0,"",IF(((AC8&lt;&gt;"Xm")*(COUNTIFS($C$3:$P$3,"MAT",$C8:$P8,AC$3)=0)*(COUNTIFS($C$3:$P$3,"NOTTE",$C8:$P8,AC$3)=0))+((AC8&lt;&gt;"Xp")*(COUNTIFS($C$3:$P$3,"POM",$C8:$P8,AC$3)=0)*(COUNTIFS($C$3:$P$3,"NOTTE",$C8:$P8,AC$3)=0))+((AC8&lt;&gt;"Xn")*(COUNTIFS($C$3:$P$3,"MAT",$C8:$P8,AC$3)=0)*(COUNTIFS($C$3:$P$3,"POM",$C8:$P8,AC$3)=0)*(COUNTIFS($C$3:$P$3,"NOTTE",$C8:$P8,AC$3)=0))=3,AC$3&amp;", ",AC$3&amp;IF((AC8&lt;&gt;"Xm")*(COUNTIFS($C$3:$P$3,"MAT",$C8:$P8,AC$3)=0)*(COUNTIFS($C$3:$P$3,"NOTTE",$C8:$P8,AC$3)=0),"_m","")&amp;IF((AC8&lt;&gt;"Xp")*(COUNTIFS($C$3:$P$3,"POM",$C8:$P8,AC$3)=0)*(COUNTIFS($C$3:$P$3,"NOTTE",$C8:$P8,AC$3)=0),"_p","")&amp;IF((AC8&lt;&gt;"Xn")*(COUNTIFS($C$3:$P$3,"MAT",$C8:$P8,AC$3)=0)*(COUNTIFS($C$3:$P$3,"POM",$C8:$P8,AC$3)=0)*(COUNTIFS($C$3:$P$3,"NOTTE",$C8:$P8,AC$3)=0),"_n","")&amp;", ")))</f>
        <v>ROSSI L, </v>
      </c>
      <c r="CG8" s="1" t="str">
        <f aca="false">IF((AD8="X")+(AD8="Gn")+(AD8="C")+(AD7="Gn")&gt;0,"",IF(((AD8&lt;&gt;"Xm")*(COUNTIFS($C$3:$P$3,"MAT",$C8:$P8,AD$3)=0)*(COUNTIFS($C$3:$P$3,"NOTTE",$C8:$P8,AD$3)=0))+((AD8&lt;&gt;"Xp")*(COUNTIFS($C$3:$P$3,"POM",$C8:$P8,AD$3)=0)*(COUNTIFS($C$3:$P$3,"NOTTE",$C8:$P8,AD$3)=0))+((AD8&lt;&gt;"Xn")*(COUNTIFS($C$3:$P$3,"MAT",$C8:$P8,AD$3)=0)*(COUNTIFS($C$3:$P$3,"POM",$C8:$P8,AD$3)=0)*(COUNTIFS($C$3:$P$3,"NOTTE",$C8:$P8,AD$3)=0))=0,"",IF(((AD8&lt;&gt;"Xm")*(COUNTIFS($C$3:$P$3,"MAT",$C8:$P8,AD$3)=0)*(COUNTIFS($C$3:$P$3,"NOTTE",$C8:$P8,AD$3)=0))+((AD8&lt;&gt;"Xp")*(COUNTIFS($C$3:$P$3,"POM",$C8:$P8,AD$3)=0)*(COUNTIFS($C$3:$P$3,"NOTTE",$C8:$P8,AD$3)=0))+((AD8&lt;&gt;"Xn")*(COUNTIFS($C$3:$P$3,"MAT",$C8:$P8,AD$3)=0)*(COUNTIFS($C$3:$P$3,"POM",$C8:$P8,AD$3)=0)*(COUNTIFS($C$3:$P$3,"NOTTE",$C8:$P8,AD$3)=0))=3,AD$3&amp;", ",AD$3&amp;IF((AD8&lt;&gt;"Xm")*(COUNTIFS($C$3:$P$3,"MAT",$C8:$P8,AD$3)=0)*(COUNTIFS($C$3:$P$3,"NOTTE",$C8:$P8,AD$3)=0),"_m","")&amp;IF((AD8&lt;&gt;"Xp")*(COUNTIFS($C$3:$P$3,"POM",$C8:$P8,AD$3)=0)*(COUNTIFS($C$3:$P$3,"NOTTE",$C8:$P8,AD$3)=0),"_p","")&amp;IF((AD8&lt;&gt;"Xn")*(COUNTIFS($C$3:$P$3,"MAT",$C8:$P8,AD$3)=0)*(COUNTIFS($C$3:$P$3,"POM",$C8:$P8,AD$3)=0)*(COUNTIFS($C$3:$P$3,"NOTTE",$C8:$P8,AD$3)=0),"_n","")&amp;", ")))</f>
        <v>GALLINA_p, </v>
      </c>
      <c r="CH8" s="1" t="str">
        <f aca="false">IF((AE8="X")+(AE8="Gn")+(AE8="C")+(AE7="Gn")&gt;0,"",IF(((AE8&lt;&gt;"Xm")*(COUNTIFS($C$3:$P$3,"MAT",$C8:$P8,AE$3)=0)*(COUNTIFS($C$3:$P$3,"NOTTE",$C8:$P8,AE$3)=0))+((AE8&lt;&gt;"Xp")*(COUNTIFS($C$3:$P$3,"POM",$C8:$P8,AE$3)=0)*(COUNTIFS($C$3:$P$3,"NOTTE",$C8:$P8,AE$3)=0))+((AE8&lt;&gt;"Xn")*(COUNTIFS($C$3:$P$3,"MAT",$C8:$P8,AE$3)=0)*(COUNTIFS($C$3:$P$3,"POM",$C8:$P8,AE$3)=0)*(COUNTIFS($C$3:$P$3,"NOTTE",$C8:$P8,AE$3)=0))=0,"",IF(((AE8&lt;&gt;"Xm")*(COUNTIFS($C$3:$P$3,"MAT",$C8:$P8,AE$3)=0)*(COUNTIFS($C$3:$P$3,"NOTTE",$C8:$P8,AE$3)=0))+((AE8&lt;&gt;"Xp")*(COUNTIFS($C$3:$P$3,"POM",$C8:$P8,AE$3)=0)*(COUNTIFS($C$3:$P$3,"NOTTE",$C8:$P8,AE$3)=0))+((AE8&lt;&gt;"Xn")*(COUNTIFS($C$3:$P$3,"MAT",$C8:$P8,AE$3)=0)*(COUNTIFS($C$3:$P$3,"POM",$C8:$P8,AE$3)=0)*(COUNTIFS($C$3:$P$3,"NOTTE",$C8:$P8,AE$3)=0))=3,AE$3&amp;", ",AE$3&amp;IF((AE8&lt;&gt;"Xm")*(COUNTIFS($C$3:$P$3,"MAT",$C8:$P8,AE$3)=0)*(COUNTIFS($C$3:$P$3,"NOTTE",$C8:$P8,AE$3)=0),"_m","")&amp;IF((AE8&lt;&gt;"Xp")*(COUNTIFS($C$3:$P$3,"POM",$C8:$P8,AE$3)=0)*(COUNTIFS($C$3:$P$3,"NOTTE",$C8:$P8,AE$3)=0),"_p","")&amp;IF((AE8&lt;&gt;"Xn")*(COUNTIFS($C$3:$P$3,"MAT",$C8:$P8,AE$3)=0)*(COUNTIFS($C$3:$P$3,"POM",$C8:$P8,AE$3)=0)*(COUNTIFS($C$3:$P$3,"NOTTE",$C8:$P8,AE$3)=0),"_n","")&amp;", ")))</f>
        <v/>
      </c>
      <c r="CI8" s="1" t="str">
        <f aca="false">IF((AF8="X")+(AF8="Gn")+(AF8="C")+(AF7="Gn")&gt;0,"",IF(((AF8&lt;&gt;"Xm")*(COUNTIFS($C$3:$P$3,"MAT",$C8:$P8,AF$3)=0)*(COUNTIFS($C$3:$P$3,"NOTTE",$C8:$P8,AF$3)=0))+((AF8&lt;&gt;"Xp")*(COUNTIFS($C$3:$P$3,"POM",$C8:$P8,AF$3)=0)*(COUNTIFS($C$3:$P$3,"NOTTE",$C8:$P8,AF$3)=0))+((AF8&lt;&gt;"Xn")*(COUNTIFS($C$3:$P$3,"MAT",$C8:$P8,AF$3)=0)*(COUNTIFS($C$3:$P$3,"POM",$C8:$P8,AF$3)=0)*(COUNTIFS($C$3:$P$3,"NOTTE",$C8:$P8,AF$3)=0))=0,"",IF(((AF8&lt;&gt;"Xm")*(COUNTIFS($C$3:$P$3,"MAT",$C8:$P8,AF$3)=0)*(COUNTIFS($C$3:$P$3,"NOTTE",$C8:$P8,AF$3)=0))+((AF8&lt;&gt;"Xp")*(COUNTIFS($C$3:$P$3,"POM",$C8:$P8,AF$3)=0)*(COUNTIFS($C$3:$P$3,"NOTTE",$C8:$P8,AF$3)=0))+((AF8&lt;&gt;"Xn")*(COUNTIFS($C$3:$P$3,"MAT",$C8:$P8,AF$3)=0)*(COUNTIFS($C$3:$P$3,"POM",$C8:$P8,AF$3)=0)*(COUNTIFS($C$3:$P$3,"NOTTE",$C8:$P8,AF$3)=0))=3,AF$3&amp;", ",AF$3&amp;IF((AF8&lt;&gt;"Xm")*(COUNTIFS($C$3:$P$3,"MAT",$C8:$P8,AF$3)=0)*(COUNTIFS($C$3:$P$3,"NOTTE",$C8:$P8,AF$3)=0),"_m","")&amp;IF((AF8&lt;&gt;"Xp")*(COUNTIFS($C$3:$P$3,"POM",$C8:$P8,AF$3)=0)*(COUNTIFS($C$3:$P$3,"NOTTE",$C8:$P8,AF$3)=0),"_p","")&amp;IF((AF8&lt;&gt;"Xn")*(COUNTIFS($C$3:$P$3,"MAT",$C8:$P8,AF$3)=0)*(COUNTIFS($C$3:$P$3,"POM",$C8:$P8,AF$3)=0)*(COUNTIFS($C$3:$P$3,"NOTTE",$C8:$P8,AF$3)=0),"_n","")&amp;", ")))</f>
        <v/>
      </c>
      <c r="CJ8" s="1" t="str">
        <f aca="false">IF((AG8="X")+(AG8="Gn")+(AG8="C")+(AG7="Gn")&gt;0,"",IF(((AG8&lt;&gt;"Xm")*(COUNTIFS($C$3:$P$3,"MAT",$C8:$P8,AG$3)=0)*(COUNTIFS($C$3:$P$3,"NOTTE",$C8:$P8,AG$3)=0))+((AG8&lt;&gt;"Xp")*(COUNTIFS($C$3:$P$3,"POM",$C8:$P8,AG$3)=0)*(COUNTIFS($C$3:$P$3,"NOTTE",$C8:$P8,AG$3)=0))+((AG8&lt;&gt;"Xn")*(COUNTIFS($C$3:$P$3,"MAT",$C8:$P8,AG$3)=0)*(COUNTIFS($C$3:$P$3,"POM",$C8:$P8,AG$3)=0)*(COUNTIFS($C$3:$P$3,"NOTTE",$C8:$P8,AG$3)=0))=0,"",IF(((AG8&lt;&gt;"Xm")*(COUNTIFS($C$3:$P$3,"MAT",$C8:$P8,AG$3)=0)*(COUNTIFS($C$3:$P$3,"NOTTE",$C8:$P8,AG$3)=0))+((AG8&lt;&gt;"Xp")*(COUNTIFS($C$3:$P$3,"POM",$C8:$P8,AG$3)=0)*(COUNTIFS($C$3:$P$3,"NOTTE",$C8:$P8,AG$3)=0))+((AG8&lt;&gt;"Xn")*(COUNTIFS($C$3:$P$3,"MAT",$C8:$P8,AG$3)=0)*(COUNTIFS($C$3:$P$3,"POM",$C8:$P8,AG$3)=0)*(COUNTIFS($C$3:$P$3,"NOTTE",$C8:$P8,AG$3)=0))=3,AG$3&amp;", ",AG$3&amp;IF((AG8&lt;&gt;"Xm")*(COUNTIFS($C$3:$P$3,"MAT",$C8:$P8,AG$3)=0)*(COUNTIFS($C$3:$P$3,"NOTTE",$C8:$P8,AG$3)=0),"_m","")&amp;IF((AG8&lt;&gt;"Xp")*(COUNTIFS($C$3:$P$3,"POM",$C8:$P8,AG$3)=0)*(COUNTIFS($C$3:$P$3,"NOTTE",$C8:$P8,AG$3)=0),"_p","")&amp;IF((AG8&lt;&gt;"Xn")*(COUNTIFS($C$3:$P$3,"MAT",$C8:$P8,AG$3)=0)*(COUNTIFS($C$3:$P$3,"POM",$C8:$P8,AG$3)=0)*(COUNTIFS($C$3:$P$3,"NOTTE",$C8:$P8,AG$3)=0),"_n","")&amp;", ")))</f>
        <v/>
      </c>
      <c r="CK8" s="1" t="str">
        <f aca="false">IF((AH8="X")+(AH8="Gn")+(AH8="C")+(AH7="Gn")&gt;0,"",IF(((AH8&lt;&gt;"Xm")*(COUNTIFS($C$3:$P$3,"MAT",$C8:$P8,AH$3)=0)*(COUNTIFS($C$3:$P$3,"NOTTE",$C8:$P8,AH$3)=0))+((AH8&lt;&gt;"Xp")*(COUNTIFS($C$3:$P$3,"POM",$C8:$P8,AH$3)=0)*(COUNTIFS($C$3:$P$3,"NOTTE",$C8:$P8,AH$3)=0))+((AH8&lt;&gt;"Xn")*(COUNTIFS($C$3:$P$3,"MAT",$C8:$P8,AH$3)=0)*(COUNTIFS($C$3:$P$3,"POM",$C8:$P8,AH$3)=0)*(COUNTIFS($C$3:$P$3,"NOTTE",$C8:$P8,AH$3)=0))=0,"",IF(((AH8&lt;&gt;"Xm")*(COUNTIFS($C$3:$P$3,"MAT",$C8:$P8,AH$3)=0)*(COUNTIFS($C$3:$P$3,"NOTTE",$C8:$P8,AH$3)=0))+((AH8&lt;&gt;"Xp")*(COUNTIFS($C$3:$P$3,"POM",$C8:$P8,AH$3)=0)*(COUNTIFS($C$3:$P$3,"NOTTE",$C8:$P8,AH$3)=0))+((AH8&lt;&gt;"Xn")*(COUNTIFS($C$3:$P$3,"MAT",$C8:$P8,AH$3)=0)*(COUNTIFS($C$3:$P$3,"POM",$C8:$P8,AH$3)=0)*(COUNTIFS($C$3:$P$3,"NOTTE",$C8:$P8,AH$3)=0))=3,AH$3&amp;", ",AH$3&amp;IF((AH8&lt;&gt;"Xm")*(COUNTIFS($C$3:$P$3,"MAT",$C8:$P8,AH$3)=0)*(COUNTIFS($C$3:$P$3,"NOTTE",$C8:$P8,AH$3)=0),"_m","")&amp;IF((AH8&lt;&gt;"Xp")*(COUNTIFS($C$3:$P$3,"POM",$C8:$P8,AH$3)=0)*(COUNTIFS($C$3:$P$3,"NOTTE",$C8:$P8,AH$3)=0),"_p","")&amp;IF((AH8&lt;&gt;"Xn")*(COUNTIFS($C$3:$P$3,"MAT",$C8:$P8,AH$3)=0)*(COUNTIFS($C$3:$P$3,"POM",$C8:$P8,AH$3)=0)*(COUNTIFS($C$3:$P$3,"NOTTE",$C8:$P8,AH$3)=0),"_n","")&amp;", ")))</f>
        <v>MARINI, </v>
      </c>
      <c r="CL8" s="1" t="str">
        <f aca="false">IF((AI8="X")+(AI8="Gn")+(AI8="C")+(AI7="Gn")&gt;0,"",IF(((AI8&lt;&gt;"Xm")*(COUNTIFS($C$3:$P$3,"MAT",$C8:$P8,AI$3)=0)*(COUNTIFS($C$3:$P$3,"NOTTE",$C8:$P8,AI$3)=0))+((AI8&lt;&gt;"Xp")*(COUNTIFS($C$3:$P$3,"POM",$C8:$P8,AI$3)=0)*(COUNTIFS($C$3:$P$3,"NOTTE",$C8:$P8,AI$3)=0))+((AI8&lt;&gt;"Xn")*(COUNTIFS($C$3:$P$3,"MAT",$C8:$P8,AI$3)=0)*(COUNTIFS($C$3:$P$3,"POM",$C8:$P8,AI$3)=0)*(COUNTIFS($C$3:$P$3,"NOTTE",$C8:$P8,AI$3)=0))=0,"",IF(((AI8&lt;&gt;"Xm")*(COUNTIFS($C$3:$P$3,"MAT",$C8:$P8,AI$3)=0)*(COUNTIFS($C$3:$P$3,"NOTTE",$C8:$P8,AI$3)=0))+((AI8&lt;&gt;"Xp")*(COUNTIFS($C$3:$P$3,"POM",$C8:$P8,AI$3)=0)*(COUNTIFS($C$3:$P$3,"NOTTE",$C8:$P8,AI$3)=0))+((AI8&lt;&gt;"Xn")*(COUNTIFS($C$3:$P$3,"MAT",$C8:$P8,AI$3)=0)*(COUNTIFS($C$3:$P$3,"POM",$C8:$P8,AI$3)=0)*(COUNTIFS($C$3:$P$3,"NOTTE",$C8:$P8,AI$3)=0))=3,AI$3&amp;", ",AI$3&amp;IF((AI8&lt;&gt;"Xm")*(COUNTIFS($C$3:$P$3,"MAT",$C8:$P8,AI$3)=0)*(COUNTIFS($C$3:$P$3,"NOTTE",$C8:$P8,AI$3)=0),"_m","")&amp;IF((AI8&lt;&gt;"Xp")*(COUNTIFS($C$3:$P$3,"POM",$C8:$P8,AI$3)=0)*(COUNTIFS($C$3:$P$3,"NOTTE",$C8:$P8,AI$3)=0),"_p","")&amp;IF((AI8&lt;&gt;"Xn")*(COUNTIFS($C$3:$P$3,"MAT",$C8:$P8,AI$3)=0)*(COUNTIFS($C$3:$P$3,"POM",$C8:$P8,AI$3)=0)*(COUNTIFS($C$3:$P$3,"NOTTE",$C8:$P8,AI$3)=0),"_n","")&amp;", ")))</f>
        <v/>
      </c>
      <c r="CM8" s="1" t="str">
        <f aca="false">IF((AJ8="X")+(AJ8="Gn")+(AJ8="C")+(AJ7="Gn")&gt;0,"",IF(((AJ8&lt;&gt;"Xm")*(COUNTIFS($C$3:$P$3,"MAT",$C8:$P8,AJ$3)=0)*(COUNTIFS($C$3:$P$3,"NOTTE",$C8:$P8,AJ$3)=0))+((AJ8&lt;&gt;"Xp")*(COUNTIFS($C$3:$P$3,"POM",$C8:$P8,AJ$3)=0)*(COUNTIFS($C$3:$P$3,"NOTTE",$C8:$P8,AJ$3)=0))+((AJ8&lt;&gt;"Xn")*(COUNTIFS($C$3:$P$3,"MAT",$C8:$P8,AJ$3)=0)*(COUNTIFS($C$3:$P$3,"POM",$C8:$P8,AJ$3)=0)*(COUNTIFS($C$3:$P$3,"NOTTE",$C8:$P8,AJ$3)=0))=0,"",IF(((AJ8&lt;&gt;"Xm")*(COUNTIFS($C$3:$P$3,"MAT",$C8:$P8,AJ$3)=0)*(COUNTIFS($C$3:$P$3,"NOTTE",$C8:$P8,AJ$3)=0))+((AJ8&lt;&gt;"Xp")*(COUNTIFS($C$3:$P$3,"POM",$C8:$P8,AJ$3)=0)*(COUNTIFS($C$3:$P$3,"NOTTE",$C8:$P8,AJ$3)=0))+((AJ8&lt;&gt;"Xn")*(COUNTIFS($C$3:$P$3,"MAT",$C8:$P8,AJ$3)=0)*(COUNTIFS($C$3:$P$3,"POM",$C8:$P8,AJ$3)=0)*(COUNTIFS($C$3:$P$3,"NOTTE",$C8:$P8,AJ$3)=0))=3,AJ$3&amp;", ",AJ$3&amp;IF((AJ8&lt;&gt;"Xm")*(COUNTIFS($C$3:$P$3,"MAT",$C8:$P8,AJ$3)=0)*(COUNTIFS($C$3:$P$3,"NOTTE",$C8:$P8,AJ$3)=0),"_m","")&amp;IF((AJ8&lt;&gt;"Xp")*(COUNTIFS($C$3:$P$3,"POM",$C8:$P8,AJ$3)=0)*(COUNTIFS($C$3:$P$3,"NOTTE",$C8:$P8,AJ$3)=0),"_p","")&amp;IF((AJ8&lt;&gt;"Xn")*(COUNTIFS($C$3:$P$3,"MAT",$C8:$P8,AJ$3)=0)*(COUNTIFS($C$3:$P$3,"POM",$C8:$P8,AJ$3)=0)*(COUNTIFS($C$3:$P$3,"NOTTE",$C8:$P8,AJ$3)=0),"_n","")&amp;", ")))</f>
        <v/>
      </c>
      <c r="CN8" s="1" t="str">
        <f aca="false">IF((AK8="X")+(AK8="Gn")+(AK8="C")+(AK7="Gn")&gt;0,"",IF(((AK8&lt;&gt;"Xm")*(COUNTIFS($C$3:$P$3,"MAT",$C8:$P8,AK$3)=0)*(COUNTIFS($C$3:$P$3,"NOTTE",$C8:$P8,AK$3)=0))+((AK8&lt;&gt;"Xp")*(COUNTIFS($C$3:$P$3,"POM",$C8:$P8,AK$3)=0)*(COUNTIFS($C$3:$P$3,"NOTTE",$C8:$P8,AK$3)=0))+((AK8&lt;&gt;"Xn")*(COUNTIFS($C$3:$P$3,"MAT",$C8:$P8,AK$3)=0)*(COUNTIFS($C$3:$P$3,"POM",$C8:$P8,AK$3)=0)*(COUNTIFS($C$3:$P$3,"NOTTE",$C8:$P8,AK$3)=0))=0,"",IF(((AK8&lt;&gt;"Xm")*(COUNTIFS($C$3:$P$3,"MAT",$C8:$P8,AK$3)=0)*(COUNTIFS($C$3:$P$3,"NOTTE",$C8:$P8,AK$3)=0))+((AK8&lt;&gt;"Xp")*(COUNTIFS($C$3:$P$3,"POM",$C8:$P8,AK$3)=0)*(COUNTIFS($C$3:$P$3,"NOTTE",$C8:$P8,AK$3)=0))+((AK8&lt;&gt;"Xn")*(COUNTIFS($C$3:$P$3,"MAT",$C8:$P8,AK$3)=0)*(COUNTIFS($C$3:$P$3,"POM",$C8:$P8,AK$3)=0)*(COUNTIFS($C$3:$P$3,"NOTTE",$C8:$P8,AK$3)=0))=3,AK$3&amp;", ",AK$3&amp;IF((AK8&lt;&gt;"Xm")*(COUNTIFS($C$3:$P$3,"MAT",$C8:$P8,AK$3)=0)*(COUNTIFS($C$3:$P$3,"NOTTE",$C8:$P8,AK$3)=0),"_m","")&amp;IF((AK8&lt;&gt;"Xp")*(COUNTIFS($C$3:$P$3,"POM",$C8:$P8,AK$3)=0)*(COUNTIFS($C$3:$P$3,"NOTTE",$C8:$P8,AK$3)=0),"_p","")&amp;IF((AK8&lt;&gt;"Xn")*(COUNTIFS($C$3:$P$3,"MAT",$C8:$P8,AK$3)=0)*(COUNTIFS($C$3:$P$3,"POM",$C8:$P8,AK$3)=0)*(COUNTIFS($C$3:$P$3,"NOTTE",$C8:$P8,AK$3)=0),"_n","")&amp;", ")))</f>
        <v/>
      </c>
      <c r="CO8" s="1" t="str">
        <f aca="false">IF((AL8="X")+(AL8="Gn")+(AL8="C")+(AL7="Gn")&gt;0,"",IF(((AL8&lt;&gt;"Xm")*(COUNTIFS($C$3:$P$3,"MAT",$C8:$P8,AL$3)=0)*(COUNTIFS($C$3:$P$3,"NOTTE",$C8:$P8,AL$3)=0))+((AL8&lt;&gt;"Xp")*(COUNTIFS($C$3:$P$3,"POM",$C8:$P8,AL$3)=0)*(COUNTIFS($C$3:$P$3,"NOTTE",$C8:$P8,AL$3)=0))+((AL8&lt;&gt;"Xn")*(COUNTIFS($C$3:$P$3,"MAT",$C8:$P8,AL$3)=0)*(COUNTIFS($C$3:$P$3,"POM",$C8:$P8,AL$3)=0)*(COUNTIFS($C$3:$P$3,"NOTTE",$C8:$P8,AL$3)=0))=0,"",IF(((AL8&lt;&gt;"Xm")*(COUNTIFS($C$3:$P$3,"MAT",$C8:$P8,AL$3)=0)*(COUNTIFS($C$3:$P$3,"NOTTE",$C8:$P8,AL$3)=0))+((AL8&lt;&gt;"Xp")*(COUNTIFS($C$3:$P$3,"POM",$C8:$P8,AL$3)=0)*(COUNTIFS($C$3:$P$3,"NOTTE",$C8:$P8,AL$3)=0))+((AL8&lt;&gt;"Xn")*(COUNTIFS($C$3:$P$3,"MAT",$C8:$P8,AL$3)=0)*(COUNTIFS($C$3:$P$3,"POM",$C8:$P8,AL$3)=0)*(COUNTIFS($C$3:$P$3,"NOTTE",$C8:$P8,AL$3)=0))=3,AL$3&amp;", ",AL$3&amp;IF((AL8&lt;&gt;"Xm")*(COUNTIFS($C$3:$P$3,"MAT",$C8:$P8,AL$3)=0)*(COUNTIFS($C$3:$P$3,"NOTTE",$C8:$P8,AL$3)=0),"_m","")&amp;IF((AL8&lt;&gt;"Xp")*(COUNTIFS($C$3:$P$3,"POM",$C8:$P8,AL$3)=0)*(COUNTIFS($C$3:$P$3,"NOTTE",$C8:$P8,AL$3)=0),"_p","")&amp;IF((AL8&lt;&gt;"Xn")*(COUNTIFS($C$3:$P$3,"MAT",$C8:$P8,AL$3)=0)*(COUNTIFS($C$3:$P$3,"POM",$C8:$P8,AL$3)=0)*(COUNTIFS($C$3:$P$3,"NOTTE",$C8:$P8,AL$3)=0),"_n","")&amp;", ")))</f>
        <v>GRECO, </v>
      </c>
      <c r="CP8" s="1" t="str">
        <f aca="false">IF((AM8="X")+(AM8="Gn")+(AM8="C")+(AM7="Gn")&gt;0,"",IF(((AM8&lt;&gt;"Xm")*(COUNTIFS($C$3:$P$3,"MAT",$C8:$P8,AM$3)=0)*(COUNTIFS($C$3:$P$3,"NOTTE",$C8:$P8,AM$3)=0))+((AM8&lt;&gt;"Xp")*(COUNTIFS($C$3:$P$3,"POM",$C8:$P8,AM$3)=0)*(COUNTIFS($C$3:$P$3,"NOTTE",$C8:$P8,AM$3)=0))+((AM8&lt;&gt;"Xn")*(COUNTIFS($C$3:$P$3,"MAT",$C8:$P8,AM$3)=0)*(COUNTIFS($C$3:$P$3,"POM",$C8:$P8,AM$3)=0)*(COUNTIFS($C$3:$P$3,"NOTTE",$C8:$P8,AM$3)=0))=0,"",IF(((AM8&lt;&gt;"Xm")*(COUNTIFS($C$3:$P$3,"MAT",$C8:$P8,AM$3)=0)*(COUNTIFS($C$3:$P$3,"NOTTE",$C8:$P8,AM$3)=0))+((AM8&lt;&gt;"Xp")*(COUNTIFS($C$3:$P$3,"POM",$C8:$P8,AM$3)=0)*(COUNTIFS($C$3:$P$3,"NOTTE",$C8:$P8,AM$3)=0))+((AM8&lt;&gt;"Xn")*(COUNTIFS($C$3:$P$3,"MAT",$C8:$P8,AM$3)=0)*(COUNTIFS($C$3:$P$3,"POM",$C8:$P8,AM$3)=0)*(COUNTIFS($C$3:$P$3,"NOTTE",$C8:$P8,AM$3)=0))=3,AM$3&amp;", ",AM$3&amp;IF((AM8&lt;&gt;"Xm")*(COUNTIFS($C$3:$P$3,"MAT",$C8:$P8,AM$3)=0)*(COUNTIFS($C$3:$P$3,"NOTTE",$C8:$P8,AM$3)=0),"_m","")&amp;IF((AM8&lt;&gt;"Xp")*(COUNTIFS($C$3:$P$3,"POM",$C8:$P8,AM$3)=0)*(COUNTIFS($C$3:$P$3,"NOTTE",$C8:$P8,AM$3)=0),"_p","")&amp;IF((AM8&lt;&gt;"Xn")*(COUNTIFS($C$3:$P$3,"MAT",$C8:$P8,AM$3)=0)*(COUNTIFS($C$3:$P$3,"POM",$C8:$P8,AM$3)=0)*(COUNTIFS($C$3:$P$3,"NOTTE",$C8:$P8,AM$3)=0),"_n","")&amp;", ")))</f>
        <v>SANNA_m, </v>
      </c>
      <c r="CQ8" s="1" t="str">
        <f aca="false">IF((AN8="X")+(AN8="Gn")+(AN8="C")+(AN7="Gn")&gt;0,"",IF(((AN8&lt;&gt;"Xm")*(COUNTIFS($C$3:$P$3,"MAT",$C8:$P8,AN$3)=0)*(COUNTIFS($C$3:$P$3,"NOTTE",$C8:$P8,AN$3)=0))+((AN8&lt;&gt;"Xp")*(COUNTIFS($C$3:$P$3,"POM",$C8:$P8,AN$3)=0)*(COUNTIFS($C$3:$P$3,"NOTTE",$C8:$P8,AN$3)=0))+((AN8&lt;&gt;"Xn")*(COUNTIFS($C$3:$P$3,"MAT",$C8:$P8,AN$3)=0)*(COUNTIFS($C$3:$P$3,"POM",$C8:$P8,AN$3)=0)*(COUNTIFS($C$3:$P$3,"NOTTE",$C8:$P8,AN$3)=0))=0,"",IF(((AN8&lt;&gt;"Xm")*(COUNTIFS($C$3:$P$3,"MAT",$C8:$P8,AN$3)=0)*(COUNTIFS($C$3:$P$3,"NOTTE",$C8:$P8,AN$3)=0))+((AN8&lt;&gt;"Xp")*(COUNTIFS($C$3:$P$3,"POM",$C8:$P8,AN$3)=0)*(COUNTIFS($C$3:$P$3,"NOTTE",$C8:$P8,AN$3)=0))+((AN8&lt;&gt;"Xn")*(COUNTIFS($C$3:$P$3,"MAT",$C8:$P8,AN$3)=0)*(COUNTIFS($C$3:$P$3,"POM",$C8:$P8,AN$3)=0)*(COUNTIFS($C$3:$P$3,"NOTTE",$C8:$P8,AN$3)=0))=3,AN$3&amp;", ",AN$3&amp;IF((AN8&lt;&gt;"Xm")*(COUNTIFS($C$3:$P$3,"MAT",$C8:$P8,AN$3)=0)*(COUNTIFS($C$3:$P$3,"NOTTE",$C8:$P8,AN$3)=0),"_m","")&amp;IF((AN8&lt;&gt;"Xp")*(COUNTIFS($C$3:$P$3,"POM",$C8:$P8,AN$3)=0)*(COUNTIFS($C$3:$P$3,"NOTTE",$C8:$P8,AN$3)=0),"_p","")&amp;IF((AN8&lt;&gt;"Xn")*(COUNTIFS($C$3:$P$3,"MAT",$C8:$P8,AN$3)=0)*(COUNTIFS($C$3:$P$3,"POM",$C8:$P8,AN$3)=0)*(COUNTIFS($C$3:$P$3,"NOTTE",$C8:$P8,AN$3)=0),"_n","")&amp;", ")))</f>
        <v/>
      </c>
    </row>
    <row r="9" customFormat="false" ht="15" hidden="false" customHeight="true" outlineLevel="0" collapsed="false">
      <c r="A9" s="15" t="str">
        <f aca="false">CHOOSE(WEEKDAY(DATE($B$1,$A$2,B9),2),"lunedì","martedì","mercoledì","giovedì","venerdì","sabato","domenica")</f>
        <v>venerdì</v>
      </c>
      <c r="B9" s="15" t="n">
        <v>6</v>
      </c>
      <c r="C9" s="16" t="s">
        <v>33</v>
      </c>
      <c r="D9" s="16" t="s">
        <v>33</v>
      </c>
      <c r="E9" s="16" t="s">
        <v>26</v>
      </c>
      <c r="F9" s="16" t="s">
        <v>26</v>
      </c>
      <c r="G9" s="16" t="s">
        <v>36</v>
      </c>
      <c r="H9" s="16" t="s">
        <v>36</v>
      </c>
      <c r="I9" s="16" t="s">
        <v>34</v>
      </c>
      <c r="J9" s="16" t="s">
        <v>34</v>
      </c>
      <c r="K9" s="16" t="s">
        <v>35</v>
      </c>
      <c r="L9" s="16"/>
      <c r="M9" s="16" t="s">
        <v>28</v>
      </c>
      <c r="N9" s="16" t="s">
        <v>29</v>
      </c>
      <c r="O9" s="16" t="s">
        <v>29</v>
      </c>
      <c r="P9" s="16" t="s">
        <v>25</v>
      </c>
      <c r="Q9" s="16"/>
      <c r="R9" s="16" t="str">
        <f aca="false">IF(SUMPRODUCT(($C$3:$P$3&lt;&gt;"")*($C9:$P9&lt;&gt;"")*(COUNTIFS($C9:$P9,$C9:$P9,$C$3:$P$3,$C$3:$P$3)&gt;1))&gt;0,"X","")</f>
        <v/>
      </c>
      <c r="S9" s="17" t="str">
        <f aca="false"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ROSSI L, GALLINA, VERDI, HU, MARINI, CONTI A, FERRARI, GRECO, SANNA, LI</v>
      </c>
      <c r="T9" s="17" t="str">
        <f aca="false"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VERDI_m, MARINI, CONTI A, SANNA_p</v>
      </c>
      <c r="Y9" s="15" t="str">
        <f aca="false">A9</f>
        <v>venerdì</v>
      </c>
      <c r="Z9" s="15" t="n">
        <f aca="false">B9</f>
        <v>6</v>
      </c>
      <c r="AA9" s="16"/>
      <c r="AB9" s="16" t="s">
        <v>44</v>
      </c>
      <c r="AC9" s="16"/>
      <c r="AD9" s="16"/>
      <c r="AE9" s="16" t="s">
        <v>44</v>
      </c>
      <c r="AF9" s="16"/>
      <c r="AG9" s="16"/>
      <c r="AH9" s="16"/>
      <c r="AI9" s="16"/>
      <c r="AJ9" s="16"/>
      <c r="AK9" s="16"/>
      <c r="AL9" s="16"/>
      <c r="AM9" s="16"/>
      <c r="AN9" s="16"/>
      <c r="AP9" s="11" t="s">
        <v>51</v>
      </c>
      <c r="AQ9" s="12" t="s">
        <v>52</v>
      </c>
      <c r="AS9" s="13" t="str">
        <f aca="false">AF$3</f>
        <v>VERDI</v>
      </c>
      <c r="AT9" s="13" t="n">
        <f aca="false">COUNTIF($C$4:$D$33,$AS9)</f>
        <v>4</v>
      </c>
      <c r="AU9" s="13" t="n">
        <f aca="false">COUNTIF($E$4:$F$33,$AS9)</f>
        <v>4</v>
      </c>
      <c r="AV9" s="13" t="n">
        <f aca="false">COUNTIF($G$4:$H$33,$AS9)</f>
        <v>4</v>
      </c>
      <c r="AW9" s="13" t="n">
        <f aca="false">COUNTIF($I$4:$J$33,$AS9)</f>
        <v>0</v>
      </c>
      <c r="AX9" s="13" t="n">
        <f aca="false">COUNTIF($K$4:$K$33,$AS9)</f>
        <v>3</v>
      </c>
      <c r="AY9" s="13" t="n">
        <f aca="false">COUNTIF($L$4:$L$33,$AS9)</f>
        <v>0</v>
      </c>
      <c r="AZ9" s="13" t="n">
        <f aca="false">COUNTIF($M$4:$M$33,$AS9)</f>
        <v>2</v>
      </c>
      <c r="BA9" s="13" t="n">
        <f aca="false">COUNTIF($N$4:$P$33,$AS9)</f>
        <v>2</v>
      </c>
      <c r="BB9" s="13" t="n">
        <f aca="false">COUNTIF($C$4:$P$33,$AS9)</f>
        <v>19</v>
      </c>
      <c r="BD9" s="14" t="str">
        <f aca="false">AF$3</f>
        <v>VERDI</v>
      </c>
      <c r="BE9" s="14"/>
      <c r="BF9" s="14"/>
      <c r="BG9" s="14"/>
      <c r="BH9" s="14"/>
      <c r="BI9" s="14"/>
      <c r="BJ9" s="14"/>
      <c r="BK9" s="14"/>
      <c r="BL9" s="14"/>
      <c r="BM9" s="14"/>
      <c r="BO9" s="1" t="str">
        <f aca="false">IF((AA9="X")+(AA9="Gn")+(AA9="C")+(AA8="Gn")&gt;0,"",IF(((AA9&lt;&gt;"Xm"))+((AA9&lt;&gt;"Xp"))+((AA9&lt;&gt;"Xn"))=0,"",IF(((AA9&lt;&gt;"Xm"))+((AA9&lt;&gt;"Xp"))+((AA9&lt;&gt;"Xn"))=3,AA$3&amp;", ",AA$3&amp;IF((AA9&lt;&gt;"Xm"),"_m","")&amp;IF((AA9&lt;&gt;"Xp"),"_p","")&amp;IF((AA9&lt;&gt;"Xn"),"_n","")&amp;", ")))</f>
        <v/>
      </c>
      <c r="BP9" s="1" t="str">
        <f aca="false">IF((AB9="X")+(AB9="Gn")+(AB9="C")+(AB8="Gn")&gt;0,"",IF(((AB9&lt;&gt;"Xm"))+((AB9&lt;&gt;"Xp"))+((AB9&lt;&gt;"Xn"))=0,"",IF(((AB9&lt;&gt;"Xm"))+((AB9&lt;&gt;"Xp"))+((AB9&lt;&gt;"Xn"))=3,AB$3&amp;", ",AB$3&amp;IF((AB9&lt;&gt;"Xm"),"_m","")&amp;IF((AB9&lt;&gt;"Xp"),"_p","")&amp;IF((AB9&lt;&gt;"Xn"),"_n","")&amp;", ")))</f>
        <v/>
      </c>
      <c r="BQ9" s="1" t="str">
        <f aca="false">IF((AC9="X")+(AC9="Gn")+(AC9="C")+(AC8="Gn")&gt;0,"",IF(((AC9&lt;&gt;"Xm"))+((AC9&lt;&gt;"Xp"))+((AC9&lt;&gt;"Xn"))=0,"",IF(((AC9&lt;&gt;"Xm"))+((AC9&lt;&gt;"Xp"))+((AC9&lt;&gt;"Xn"))=3,AC$3&amp;", ",AC$3&amp;IF((AC9&lt;&gt;"Xm"),"_m","")&amp;IF((AC9&lt;&gt;"Xp"),"_p","")&amp;IF((AC9&lt;&gt;"Xn"),"_n","")&amp;", ")))</f>
        <v>ROSSI L, </v>
      </c>
      <c r="BR9" s="1" t="str">
        <f aca="false">IF((AD9="X")+(AD9="Gn")+(AD9="C")+(AD8="Gn")&gt;0,"",IF(((AD9&lt;&gt;"Xm"))+((AD9&lt;&gt;"Xp"))+((AD9&lt;&gt;"Xn"))=0,"",IF(((AD9&lt;&gt;"Xm"))+((AD9&lt;&gt;"Xp"))+((AD9&lt;&gt;"Xn"))=3,AD$3&amp;", ",AD$3&amp;IF((AD9&lt;&gt;"Xm"),"_m","")&amp;IF((AD9&lt;&gt;"Xp"),"_p","")&amp;IF((AD9&lt;&gt;"Xn"),"_n","")&amp;", ")))</f>
        <v>GALLINA, </v>
      </c>
      <c r="BS9" s="1" t="str">
        <f aca="false">IF((AE9="X")+(AE9="Gn")+(AE9="C")+(AE8="Gn")&gt;0,"",IF(((AE9&lt;&gt;"Xm"))+((AE9&lt;&gt;"Xp"))+((AE9&lt;&gt;"Xn"))=0,"",IF(((AE9&lt;&gt;"Xm"))+((AE9&lt;&gt;"Xp"))+((AE9&lt;&gt;"Xn"))=3,AE$3&amp;", ",AE$3&amp;IF((AE9&lt;&gt;"Xm"),"_m","")&amp;IF((AE9&lt;&gt;"Xp"),"_p","")&amp;IF((AE9&lt;&gt;"Xn"),"_n","")&amp;", ")))</f>
        <v/>
      </c>
      <c r="BT9" s="1" t="str">
        <f aca="false">IF((AF9="X")+(AF9="Gn")+(AF9="C")+(AF8="Gn")&gt;0,"",IF(((AF9&lt;&gt;"Xm"))+((AF9&lt;&gt;"Xp"))+((AF9&lt;&gt;"Xn"))=0,"",IF(((AF9&lt;&gt;"Xm"))+((AF9&lt;&gt;"Xp"))+((AF9&lt;&gt;"Xn"))=3,AF$3&amp;", ",AF$3&amp;IF((AF9&lt;&gt;"Xm"),"_m","")&amp;IF((AF9&lt;&gt;"Xp"),"_p","")&amp;IF((AF9&lt;&gt;"Xn"),"_n","")&amp;", ")))</f>
        <v>VERDI, </v>
      </c>
      <c r="BU9" s="1" t="str">
        <f aca="false">IF((AG9="X")+(AG9="Gn")+(AG9="C")+(AG8="Gn")&gt;0,"",IF(((AG9&lt;&gt;"Xm"))+((AG9&lt;&gt;"Xp"))+((AG9&lt;&gt;"Xn"))=0,"",IF(((AG9&lt;&gt;"Xm"))+((AG9&lt;&gt;"Xp"))+((AG9&lt;&gt;"Xn"))=3,AG$3&amp;", ",AG$3&amp;IF((AG9&lt;&gt;"Xm"),"_m","")&amp;IF((AG9&lt;&gt;"Xp"),"_p","")&amp;IF((AG9&lt;&gt;"Xn"),"_n","")&amp;", ")))</f>
        <v>HU, </v>
      </c>
      <c r="BV9" s="1" t="str">
        <f aca="false">IF((AH9="X")+(AH9="Gn")+(AH9="C")+(AH8="Gn")&gt;0,"",IF(((AH9&lt;&gt;"Xm"))+((AH9&lt;&gt;"Xp"))+((AH9&lt;&gt;"Xn"))=0,"",IF(((AH9&lt;&gt;"Xm"))+((AH9&lt;&gt;"Xp"))+((AH9&lt;&gt;"Xn"))=3,AH$3&amp;", ",AH$3&amp;IF((AH9&lt;&gt;"Xm"),"_m","")&amp;IF((AH9&lt;&gt;"Xp"),"_p","")&amp;IF((AH9&lt;&gt;"Xn"),"_n","")&amp;", ")))</f>
        <v>MARINI, </v>
      </c>
      <c r="BW9" s="1" t="str">
        <f aca="false">IF((AI9="X")+(AI9="Gn")+(AI9="C")+(AI8="Gn")&gt;0,"",IF(((AI9&lt;&gt;"Xm"))+((AI9&lt;&gt;"Xp"))+((AI9&lt;&gt;"Xn"))=0,"",IF(((AI9&lt;&gt;"Xm"))+((AI9&lt;&gt;"Xp"))+((AI9&lt;&gt;"Xn"))=3,AI$3&amp;", ",AI$3&amp;IF((AI9&lt;&gt;"Xm"),"_m","")&amp;IF((AI9&lt;&gt;"Xp"),"_p","")&amp;IF((AI9&lt;&gt;"Xn"),"_n","")&amp;", ")))</f>
        <v>CONTI A, </v>
      </c>
      <c r="BX9" s="1" t="str">
        <f aca="false">IF((AJ9="X")+(AJ9="Gn")+(AJ9="C")+(AJ8="Gn")&gt;0,"",IF(((AJ9&lt;&gt;"Xm"))+((AJ9&lt;&gt;"Xp"))+((AJ9&lt;&gt;"Xn"))=0,"",IF(((AJ9&lt;&gt;"Xm"))+((AJ9&lt;&gt;"Xp"))+((AJ9&lt;&gt;"Xn"))=3,AJ$3&amp;", ",AJ$3&amp;IF((AJ9&lt;&gt;"Xm"),"_m","")&amp;IF((AJ9&lt;&gt;"Xp"),"_p","")&amp;IF((AJ9&lt;&gt;"Xn"),"_n","")&amp;", ")))</f>
        <v/>
      </c>
      <c r="BY9" s="1" t="str">
        <f aca="false">IF((AK9="X")+(AK9="Gn")+(AK9="C")+(AK8="Gn")&gt;0,"",IF(((AK9&lt;&gt;"Xm"))+((AK9&lt;&gt;"Xp"))+((AK9&lt;&gt;"Xn"))=0,"",IF(((AK9&lt;&gt;"Xm"))+((AK9&lt;&gt;"Xp"))+((AK9&lt;&gt;"Xn"))=3,AK$3&amp;", ",AK$3&amp;IF((AK9&lt;&gt;"Xm"),"_m","")&amp;IF((AK9&lt;&gt;"Xp"),"_p","")&amp;IF((AK9&lt;&gt;"Xn"),"_n","")&amp;", ")))</f>
        <v>FERRARI, </v>
      </c>
      <c r="BZ9" s="1" t="str">
        <f aca="false">IF((AL9="X")+(AL9="Gn")+(AL9="C")+(AL8="Gn")&gt;0,"",IF(((AL9&lt;&gt;"Xm"))+((AL9&lt;&gt;"Xp"))+((AL9&lt;&gt;"Xn"))=0,"",IF(((AL9&lt;&gt;"Xm"))+((AL9&lt;&gt;"Xp"))+((AL9&lt;&gt;"Xn"))=3,AL$3&amp;", ",AL$3&amp;IF((AL9&lt;&gt;"Xm"),"_m","")&amp;IF((AL9&lt;&gt;"Xp"),"_p","")&amp;IF((AL9&lt;&gt;"Xn"),"_n","")&amp;", ")))</f>
        <v>GRECO, </v>
      </c>
      <c r="CA9" s="1" t="str">
        <f aca="false">IF((AM9="X")+(AM9="Gn")+(AM9="C")+(AM8="Gn")&gt;0,"",IF(((AM9&lt;&gt;"Xm"))+((AM9&lt;&gt;"Xp"))+((AM9&lt;&gt;"Xn"))=0,"",IF(((AM9&lt;&gt;"Xm"))+((AM9&lt;&gt;"Xp"))+((AM9&lt;&gt;"Xn"))=3,AM$3&amp;", ",AM$3&amp;IF((AM9&lt;&gt;"Xm"),"_m","")&amp;IF((AM9&lt;&gt;"Xp"),"_p","")&amp;IF((AM9&lt;&gt;"Xn"),"_n","")&amp;", ")))</f>
        <v>SANNA, </v>
      </c>
      <c r="CB9" s="1" t="str">
        <f aca="false">IF((AN9="X")+(AN9="Gn")+(AN9="C")+(AN8="Gn")&gt;0,"",IF(((AN9&lt;&gt;"Xm"))+((AN9&lt;&gt;"Xp"))+((AN9&lt;&gt;"Xn"))=0,"",IF(((AN9&lt;&gt;"Xm"))+((AN9&lt;&gt;"Xp"))+((AN9&lt;&gt;"Xn"))=3,AN$3&amp;", ",AN$3&amp;IF((AN9&lt;&gt;"Xm"),"_m","")&amp;IF((AN9&lt;&gt;"Xp"),"_p","")&amp;IF((AN9&lt;&gt;"Xn"),"_n","")&amp;", ")))</f>
        <v>LI, </v>
      </c>
      <c r="CD9" s="1" t="str">
        <f aca="false">IF((AA9="X")+(AA9="Gn")+(AA9="C")+(AA8="Gn")&gt;0,"",IF(((AA9&lt;&gt;"Xm")*(COUNTIFS($C$3:$P$3,"MAT",$C9:$P9,AA$3)=0)*(COUNTIFS($C$3:$P$3,"NOTTE",$C9:$P9,AA$3)=0))+((AA9&lt;&gt;"Xp")*(COUNTIFS($C$3:$P$3,"POM",$C9:$P9,AA$3)=0)*(COUNTIFS($C$3:$P$3,"NOTTE",$C9:$P9,AA$3)=0))+((AA9&lt;&gt;"Xn")*(COUNTIFS($C$3:$P$3,"MAT",$C9:$P9,AA$3)=0)*(COUNTIFS($C$3:$P$3,"POM",$C9:$P9,AA$3)=0)*(COUNTIFS($C$3:$P$3,"NOTTE",$C9:$P9,AA$3)=0))=0,"",IF(((AA9&lt;&gt;"Xm")*(COUNTIFS($C$3:$P$3,"MAT",$C9:$P9,AA$3)=0)*(COUNTIFS($C$3:$P$3,"NOTTE",$C9:$P9,AA$3)=0))+((AA9&lt;&gt;"Xp")*(COUNTIFS($C$3:$P$3,"POM",$C9:$P9,AA$3)=0)*(COUNTIFS($C$3:$P$3,"NOTTE",$C9:$P9,AA$3)=0))+((AA9&lt;&gt;"Xn")*(COUNTIFS($C$3:$P$3,"MAT",$C9:$P9,AA$3)=0)*(COUNTIFS($C$3:$P$3,"POM",$C9:$P9,AA$3)=0)*(COUNTIFS($C$3:$P$3,"NOTTE",$C9:$P9,AA$3)=0))=3,AA$3&amp;", ",AA$3&amp;IF((AA9&lt;&gt;"Xm")*(COUNTIFS($C$3:$P$3,"MAT",$C9:$P9,AA$3)=0)*(COUNTIFS($C$3:$P$3,"NOTTE",$C9:$P9,AA$3)=0),"_m","")&amp;IF((AA9&lt;&gt;"Xp")*(COUNTIFS($C$3:$P$3,"POM",$C9:$P9,AA$3)=0)*(COUNTIFS($C$3:$P$3,"NOTTE",$C9:$P9,AA$3)=0),"_p","")&amp;IF((AA9&lt;&gt;"Xn")*(COUNTIFS($C$3:$P$3,"MAT",$C9:$P9,AA$3)=0)*(COUNTIFS($C$3:$P$3,"POM",$C9:$P9,AA$3)=0)*(COUNTIFS($C$3:$P$3,"NOTTE",$C9:$P9,AA$3)=0),"_n","")&amp;", ")))</f>
        <v/>
      </c>
      <c r="CE9" s="1" t="str">
        <f aca="false">IF((AB9="X")+(AB9="Gn")+(AB9="C")+(AB8="Gn")&gt;0,"",IF(((AB9&lt;&gt;"Xm")*(COUNTIFS($C$3:$P$3,"MAT",$C9:$P9,AB$3)=0)*(COUNTIFS($C$3:$P$3,"NOTTE",$C9:$P9,AB$3)=0))+((AB9&lt;&gt;"Xp")*(COUNTIFS($C$3:$P$3,"POM",$C9:$P9,AB$3)=0)*(COUNTIFS($C$3:$P$3,"NOTTE",$C9:$P9,AB$3)=0))+((AB9&lt;&gt;"Xn")*(COUNTIFS($C$3:$P$3,"MAT",$C9:$P9,AB$3)=0)*(COUNTIFS($C$3:$P$3,"POM",$C9:$P9,AB$3)=0)*(COUNTIFS($C$3:$P$3,"NOTTE",$C9:$P9,AB$3)=0))=0,"",IF(((AB9&lt;&gt;"Xm")*(COUNTIFS($C$3:$P$3,"MAT",$C9:$P9,AB$3)=0)*(COUNTIFS($C$3:$P$3,"NOTTE",$C9:$P9,AB$3)=0))+((AB9&lt;&gt;"Xp")*(COUNTIFS($C$3:$P$3,"POM",$C9:$P9,AB$3)=0)*(COUNTIFS($C$3:$P$3,"NOTTE",$C9:$P9,AB$3)=0))+((AB9&lt;&gt;"Xn")*(COUNTIFS($C$3:$P$3,"MAT",$C9:$P9,AB$3)=0)*(COUNTIFS($C$3:$P$3,"POM",$C9:$P9,AB$3)=0)*(COUNTIFS($C$3:$P$3,"NOTTE",$C9:$P9,AB$3)=0))=3,AB$3&amp;", ",AB$3&amp;IF((AB9&lt;&gt;"Xm")*(COUNTIFS($C$3:$P$3,"MAT",$C9:$P9,AB$3)=0)*(COUNTIFS($C$3:$P$3,"NOTTE",$C9:$P9,AB$3)=0),"_m","")&amp;IF((AB9&lt;&gt;"Xp")*(COUNTIFS($C$3:$P$3,"POM",$C9:$P9,AB$3)=0)*(COUNTIFS($C$3:$P$3,"NOTTE",$C9:$P9,AB$3)=0),"_p","")&amp;IF((AB9&lt;&gt;"Xn")*(COUNTIFS($C$3:$P$3,"MAT",$C9:$P9,AB$3)=0)*(COUNTIFS($C$3:$P$3,"POM",$C9:$P9,AB$3)=0)*(COUNTIFS($C$3:$P$3,"NOTTE",$C9:$P9,AB$3)=0),"_n","")&amp;", ")))</f>
        <v/>
      </c>
      <c r="CF9" s="1" t="str">
        <f aca="false">IF((AC9="X")+(AC9="Gn")+(AC9="C")+(AC8="Gn")&gt;0,"",IF(((AC9&lt;&gt;"Xm")*(COUNTIFS($C$3:$P$3,"MAT",$C9:$P9,AC$3)=0)*(COUNTIFS($C$3:$P$3,"NOTTE",$C9:$P9,AC$3)=0))+((AC9&lt;&gt;"Xp")*(COUNTIFS($C$3:$P$3,"POM",$C9:$P9,AC$3)=0)*(COUNTIFS($C$3:$P$3,"NOTTE",$C9:$P9,AC$3)=0))+((AC9&lt;&gt;"Xn")*(COUNTIFS($C$3:$P$3,"MAT",$C9:$P9,AC$3)=0)*(COUNTIFS($C$3:$P$3,"POM",$C9:$P9,AC$3)=0)*(COUNTIFS($C$3:$P$3,"NOTTE",$C9:$P9,AC$3)=0))=0,"",IF(((AC9&lt;&gt;"Xm")*(COUNTIFS($C$3:$P$3,"MAT",$C9:$P9,AC$3)=0)*(COUNTIFS($C$3:$P$3,"NOTTE",$C9:$P9,AC$3)=0))+((AC9&lt;&gt;"Xp")*(COUNTIFS($C$3:$P$3,"POM",$C9:$P9,AC$3)=0)*(COUNTIFS($C$3:$P$3,"NOTTE",$C9:$P9,AC$3)=0))+((AC9&lt;&gt;"Xn")*(COUNTIFS($C$3:$P$3,"MAT",$C9:$P9,AC$3)=0)*(COUNTIFS($C$3:$P$3,"POM",$C9:$P9,AC$3)=0)*(COUNTIFS($C$3:$P$3,"NOTTE",$C9:$P9,AC$3)=0))=3,AC$3&amp;", ",AC$3&amp;IF((AC9&lt;&gt;"Xm")*(COUNTIFS($C$3:$P$3,"MAT",$C9:$P9,AC$3)=0)*(COUNTIFS($C$3:$P$3,"NOTTE",$C9:$P9,AC$3)=0),"_m","")&amp;IF((AC9&lt;&gt;"Xp")*(COUNTIFS($C$3:$P$3,"POM",$C9:$P9,AC$3)=0)*(COUNTIFS($C$3:$P$3,"NOTTE",$C9:$P9,AC$3)=0),"_p","")&amp;IF((AC9&lt;&gt;"Xn")*(COUNTIFS($C$3:$P$3,"MAT",$C9:$P9,AC$3)=0)*(COUNTIFS($C$3:$P$3,"POM",$C9:$P9,AC$3)=0)*(COUNTIFS($C$3:$P$3,"NOTTE",$C9:$P9,AC$3)=0),"_n","")&amp;", ")))</f>
        <v/>
      </c>
      <c r="CG9" s="1" t="str">
        <f aca="false">IF((AD9="X")+(AD9="Gn")+(AD9="C")+(AD8="Gn")&gt;0,"",IF(((AD9&lt;&gt;"Xm")*(COUNTIFS($C$3:$P$3,"MAT",$C9:$P9,AD$3)=0)*(COUNTIFS($C$3:$P$3,"NOTTE",$C9:$P9,AD$3)=0))+((AD9&lt;&gt;"Xp")*(COUNTIFS($C$3:$P$3,"POM",$C9:$P9,AD$3)=0)*(COUNTIFS($C$3:$P$3,"NOTTE",$C9:$P9,AD$3)=0))+((AD9&lt;&gt;"Xn")*(COUNTIFS($C$3:$P$3,"MAT",$C9:$P9,AD$3)=0)*(COUNTIFS($C$3:$P$3,"POM",$C9:$P9,AD$3)=0)*(COUNTIFS($C$3:$P$3,"NOTTE",$C9:$P9,AD$3)=0))=0,"",IF(((AD9&lt;&gt;"Xm")*(COUNTIFS($C$3:$P$3,"MAT",$C9:$P9,AD$3)=0)*(COUNTIFS($C$3:$P$3,"NOTTE",$C9:$P9,AD$3)=0))+((AD9&lt;&gt;"Xp")*(COUNTIFS($C$3:$P$3,"POM",$C9:$P9,AD$3)=0)*(COUNTIFS($C$3:$P$3,"NOTTE",$C9:$P9,AD$3)=0))+((AD9&lt;&gt;"Xn")*(COUNTIFS($C$3:$P$3,"MAT",$C9:$P9,AD$3)=0)*(COUNTIFS($C$3:$P$3,"POM",$C9:$P9,AD$3)=0)*(COUNTIFS($C$3:$P$3,"NOTTE",$C9:$P9,AD$3)=0))=3,AD$3&amp;", ",AD$3&amp;IF((AD9&lt;&gt;"Xm")*(COUNTIFS($C$3:$P$3,"MAT",$C9:$P9,AD$3)=0)*(COUNTIFS($C$3:$P$3,"NOTTE",$C9:$P9,AD$3)=0),"_m","")&amp;IF((AD9&lt;&gt;"Xp")*(COUNTIFS($C$3:$P$3,"POM",$C9:$P9,AD$3)=0)*(COUNTIFS($C$3:$P$3,"NOTTE",$C9:$P9,AD$3)=0),"_p","")&amp;IF((AD9&lt;&gt;"Xn")*(COUNTIFS($C$3:$P$3,"MAT",$C9:$P9,AD$3)=0)*(COUNTIFS($C$3:$P$3,"POM",$C9:$P9,AD$3)=0)*(COUNTIFS($C$3:$P$3,"NOTTE",$C9:$P9,AD$3)=0),"_n","")&amp;", ")))</f>
        <v/>
      </c>
      <c r="CH9" s="1" t="str">
        <f aca="false">IF((AE9="X")+(AE9="Gn")+(AE9="C")+(AE8="Gn")&gt;0,"",IF(((AE9&lt;&gt;"Xm")*(COUNTIFS($C$3:$P$3,"MAT",$C9:$P9,AE$3)=0)*(COUNTIFS($C$3:$P$3,"NOTTE",$C9:$P9,AE$3)=0))+((AE9&lt;&gt;"Xp")*(COUNTIFS($C$3:$P$3,"POM",$C9:$P9,AE$3)=0)*(COUNTIFS($C$3:$P$3,"NOTTE",$C9:$P9,AE$3)=0))+((AE9&lt;&gt;"Xn")*(COUNTIFS($C$3:$P$3,"MAT",$C9:$P9,AE$3)=0)*(COUNTIFS($C$3:$P$3,"POM",$C9:$P9,AE$3)=0)*(COUNTIFS($C$3:$P$3,"NOTTE",$C9:$P9,AE$3)=0))=0,"",IF(((AE9&lt;&gt;"Xm")*(COUNTIFS($C$3:$P$3,"MAT",$C9:$P9,AE$3)=0)*(COUNTIFS($C$3:$P$3,"NOTTE",$C9:$P9,AE$3)=0))+((AE9&lt;&gt;"Xp")*(COUNTIFS($C$3:$P$3,"POM",$C9:$P9,AE$3)=0)*(COUNTIFS($C$3:$P$3,"NOTTE",$C9:$P9,AE$3)=0))+((AE9&lt;&gt;"Xn")*(COUNTIFS($C$3:$P$3,"MAT",$C9:$P9,AE$3)=0)*(COUNTIFS($C$3:$P$3,"POM",$C9:$P9,AE$3)=0)*(COUNTIFS($C$3:$P$3,"NOTTE",$C9:$P9,AE$3)=0))=3,AE$3&amp;", ",AE$3&amp;IF((AE9&lt;&gt;"Xm")*(COUNTIFS($C$3:$P$3,"MAT",$C9:$P9,AE$3)=0)*(COUNTIFS($C$3:$P$3,"NOTTE",$C9:$P9,AE$3)=0),"_m","")&amp;IF((AE9&lt;&gt;"Xp")*(COUNTIFS($C$3:$P$3,"POM",$C9:$P9,AE$3)=0)*(COUNTIFS($C$3:$P$3,"NOTTE",$C9:$P9,AE$3)=0),"_p","")&amp;IF((AE9&lt;&gt;"Xn")*(COUNTIFS($C$3:$P$3,"MAT",$C9:$P9,AE$3)=0)*(COUNTIFS($C$3:$P$3,"POM",$C9:$P9,AE$3)=0)*(COUNTIFS($C$3:$P$3,"NOTTE",$C9:$P9,AE$3)=0),"_n","")&amp;", ")))</f>
        <v/>
      </c>
      <c r="CI9" s="1" t="str">
        <f aca="false">IF((AF9="X")+(AF9="Gn")+(AF9="C")+(AF8="Gn")&gt;0,"",IF(((AF9&lt;&gt;"Xm")*(COUNTIFS($C$3:$P$3,"MAT",$C9:$P9,AF$3)=0)*(COUNTIFS($C$3:$P$3,"NOTTE",$C9:$P9,AF$3)=0))+((AF9&lt;&gt;"Xp")*(COUNTIFS($C$3:$P$3,"POM",$C9:$P9,AF$3)=0)*(COUNTIFS($C$3:$P$3,"NOTTE",$C9:$P9,AF$3)=0))+((AF9&lt;&gt;"Xn")*(COUNTIFS($C$3:$P$3,"MAT",$C9:$P9,AF$3)=0)*(COUNTIFS($C$3:$P$3,"POM",$C9:$P9,AF$3)=0)*(COUNTIFS($C$3:$P$3,"NOTTE",$C9:$P9,AF$3)=0))=0,"",IF(((AF9&lt;&gt;"Xm")*(COUNTIFS($C$3:$P$3,"MAT",$C9:$P9,AF$3)=0)*(COUNTIFS($C$3:$P$3,"NOTTE",$C9:$P9,AF$3)=0))+((AF9&lt;&gt;"Xp")*(COUNTIFS($C$3:$P$3,"POM",$C9:$P9,AF$3)=0)*(COUNTIFS($C$3:$P$3,"NOTTE",$C9:$P9,AF$3)=0))+((AF9&lt;&gt;"Xn")*(COUNTIFS($C$3:$P$3,"MAT",$C9:$P9,AF$3)=0)*(COUNTIFS($C$3:$P$3,"POM",$C9:$P9,AF$3)=0)*(COUNTIFS($C$3:$P$3,"NOTTE",$C9:$P9,AF$3)=0))=3,AF$3&amp;", ",AF$3&amp;IF((AF9&lt;&gt;"Xm")*(COUNTIFS($C$3:$P$3,"MAT",$C9:$P9,AF$3)=0)*(COUNTIFS($C$3:$P$3,"NOTTE",$C9:$P9,AF$3)=0),"_m","")&amp;IF((AF9&lt;&gt;"Xp")*(COUNTIFS($C$3:$P$3,"POM",$C9:$P9,AF$3)=0)*(COUNTIFS($C$3:$P$3,"NOTTE",$C9:$P9,AF$3)=0),"_p","")&amp;IF((AF9&lt;&gt;"Xn")*(COUNTIFS($C$3:$P$3,"MAT",$C9:$P9,AF$3)=0)*(COUNTIFS($C$3:$P$3,"POM",$C9:$P9,AF$3)=0)*(COUNTIFS($C$3:$P$3,"NOTTE",$C9:$P9,AF$3)=0),"_n","")&amp;", ")))</f>
        <v>VERDI_m, </v>
      </c>
      <c r="CJ9" s="1" t="str">
        <f aca="false">IF((AG9="X")+(AG9="Gn")+(AG9="C")+(AG8="Gn")&gt;0,"",IF(((AG9&lt;&gt;"Xm")*(COUNTIFS($C$3:$P$3,"MAT",$C9:$P9,AG$3)=0)*(COUNTIFS($C$3:$P$3,"NOTTE",$C9:$P9,AG$3)=0))+((AG9&lt;&gt;"Xp")*(COUNTIFS($C$3:$P$3,"POM",$C9:$P9,AG$3)=0)*(COUNTIFS($C$3:$P$3,"NOTTE",$C9:$P9,AG$3)=0))+((AG9&lt;&gt;"Xn")*(COUNTIFS($C$3:$P$3,"MAT",$C9:$P9,AG$3)=0)*(COUNTIFS($C$3:$P$3,"POM",$C9:$P9,AG$3)=0)*(COUNTIFS($C$3:$P$3,"NOTTE",$C9:$P9,AG$3)=0))=0,"",IF(((AG9&lt;&gt;"Xm")*(COUNTIFS($C$3:$P$3,"MAT",$C9:$P9,AG$3)=0)*(COUNTIFS($C$3:$P$3,"NOTTE",$C9:$P9,AG$3)=0))+((AG9&lt;&gt;"Xp")*(COUNTIFS($C$3:$P$3,"POM",$C9:$P9,AG$3)=0)*(COUNTIFS($C$3:$P$3,"NOTTE",$C9:$P9,AG$3)=0))+((AG9&lt;&gt;"Xn")*(COUNTIFS($C$3:$P$3,"MAT",$C9:$P9,AG$3)=0)*(COUNTIFS($C$3:$P$3,"POM",$C9:$P9,AG$3)=0)*(COUNTIFS($C$3:$P$3,"NOTTE",$C9:$P9,AG$3)=0))=3,AG$3&amp;", ",AG$3&amp;IF((AG9&lt;&gt;"Xm")*(COUNTIFS($C$3:$P$3,"MAT",$C9:$P9,AG$3)=0)*(COUNTIFS($C$3:$P$3,"NOTTE",$C9:$P9,AG$3)=0),"_m","")&amp;IF((AG9&lt;&gt;"Xp")*(COUNTIFS($C$3:$P$3,"POM",$C9:$P9,AG$3)=0)*(COUNTIFS($C$3:$P$3,"NOTTE",$C9:$P9,AG$3)=0),"_p","")&amp;IF((AG9&lt;&gt;"Xn")*(COUNTIFS($C$3:$P$3,"MAT",$C9:$P9,AG$3)=0)*(COUNTIFS($C$3:$P$3,"POM",$C9:$P9,AG$3)=0)*(COUNTIFS($C$3:$P$3,"NOTTE",$C9:$P9,AG$3)=0),"_n","")&amp;", ")))</f>
        <v/>
      </c>
      <c r="CK9" s="1" t="str">
        <f aca="false">IF((AH9="X")+(AH9="Gn")+(AH9="C")+(AH8="Gn")&gt;0,"",IF(((AH9&lt;&gt;"Xm")*(COUNTIFS($C$3:$P$3,"MAT",$C9:$P9,AH$3)=0)*(COUNTIFS($C$3:$P$3,"NOTTE",$C9:$P9,AH$3)=0))+((AH9&lt;&gt;"Xp")*(COUNTIFS($C$3:$P$3,"POM",$C9:$P9,AH$3)=0)*(COUNTIFS($C$3:$P$3,"NOTTE",$C9:$P9,AH$3)=0))+((AH9&lt;&gt;"Xn")*(COUNTIFS($C$3:$P$3,"MAT",$C9:$P9,AH$3)=0)*(COUNTIFS($C$3:$P$3,"POM",$C9:$P9,AH$3)=0)*(COUNTIFS($C$3:$P$3,"NOTTE",$C9:$P9,AH$3)=0))=0,"",IF(((AH9&lt;&gt;"Xm")*(COUNTIFS($C$3:$P$3,"MAT",$C9:$P9,AH$3)=0)*(COUNTIFS($C$3:$P$3,"NOTTE",$C9:$P9,AH$3)=0))+((AH9&lt;&gt;"Xp")*(COUNTIFS($C$3:$P$3,"POM",$C9:$P9,AH$3)=0)*(COUNTIFS($C$3:$P$3,"NOTTE",$C9:$P9,AH$3)=0))+((AH9&lt;&gt;"Xn")*(COUNTIFS($C$3:$P$3,"MAT",$C9:$P9,AH$3)=0)*(COUNTIFS($C$3:$P$3,"POM",$C9:$P9,AH$3)=0)*(COUNTIFS($C$3:$P$3,"NOTTE",$C9:$P9,AH$3)=0))=3,AH$3&amp;", ",AH$3&amp;IF((AH9&lt;&gt;"Xm")*(COUNTIFS($C$3:$P$3,"MAT",$C9:$P9,AH$3)=0)*(COUNTIFS($C$3:$P$3,"NOTTE",$C9:$P9,AH$3)=0),"_m","")&amp;IF((AH9&lt;&gt;"Xp")*(COUNTIFS($C$3:$P$3,"POM",$C9:$P9,AH$3)=0)*(COUNTIFS($C$3:$P$3,"NOTTE",$C9:$P9,AH$3)=0),"_p","")&amp;IF((AH9&lt;&gt;"Xn")*(COUNTIFS($C$3:$P$3,"MAT",$C9:$P9,AH$3)=0)*(COUNTIFS($C$3:$P$3,"POM",$C9:$P9,AH$3)=0)*(COUNTIFS($C$3:$P$3,"NOTTE",$C9:$P9,AH$3)=0),"_n","")&amp;", ")))</f>
        <v>MARINI, </v>
      </c>
      <c r="CL9" s="1" t="str">
        <f aca="false">IF((AI9="X")+(AI9="Gn")+(AI9="C")+(AI8="Gn")&gt;0,"",IF(((AI9&lt;&gt;"Xm")*(COUNTIFS($C$3:$P$3,"MAT",$C9:$P9,AI$3)=0)*(COUNTIFS($C$3:$P$3,"NOTTE",$C9:$P9,AI$3)=0))+((AI9&lt;&gt;"Xp")*(COUNTIFS($C$3:$P$3,"POM",$C9:$P9,AI$3)=0)*(COUNTIFS($C$3:$P$3,"NOTTE",$C9:$P9,AI$3)=0))+((AI9&lt;&gt;"Xn")*(COUNTIFS($C$3:$P$3,"MAT",$C9:$P9,AI$3)=0)*(COUNTIFS($C$3:$P$3,"POM",$C9:$P9,AI$3)=0)*(COUNTIFS($C$3:$P$3,"NOTTE",$C9:$P9,AI$3)=0))=0,"",IF(((AI9&lt;&gt;"Xm")*(COUNTIFS($C$3:$P$3,"MAT",$C9:$P9,AI$3)=0)*(COUNTIFS($C$3:$P$3,"NOTTE",$C9:$P9,AI$3)=0))+((AI9&lt;&gt;"Xp")*(COUNTIFS($C$3:$P$3,"POM",$C9:$P9,AI$3)=0)*(COUNTIFS($C$3:$P$3,"NOTTE",$C9:$P9,AI$3)=0))+((AI9&lt;&gt;"Xn")*(COUNTIFS($C$3:$P$3,"MAT",$C9:$P9,AI$3)=0)*(COUNTIFS($C$3:$P$3,"POM",$C9:$P9,AI$3)=0)*(COUNTIFS($C$3:$P$3,"NOTTE",$C9:$P9,AI$3)=0))=3,AI$3&amp;", ",AI$3&amp;IF((AI9&lt;&gt;"Xm")*(COUNTIFS($C$3:$P$3,"MAT",$C9:$P9,AI$3)=0)*(COUNTIFS($C$3:$P$3,"NOTTE",$C9:$P9,AI$3)=0),"_m","")&amp;IF((AI9&lt;&gt;"Xp")*(COUNTIFS($C$3:$P$3,"POM",$C9:$P9,AI$3)=0)*(COUNTIFS($C$3:$P$3,"NOTTE",$C9:$P9,AI$3)=0),"_p","")&amp;IF((AI9&lt;&gt;"Xn")*(COUNTIFS($C$3:$P$3,"MAT",$C9:$P9,AI$3)=0)*(COUNTIFS($C$3:$P$3,"POM",$C9:$P9,AI$3)=0)*(COUNTIFS($C$3:$P$3,"NOTTE",$C9:$P9,AI$3)=0),"_n","")&amp;", ")))</f>
        <v>CONTI A, </v>
      </c>
      <c r="CM9" s="1" t="str">
        <f aca="false">IF((AJ9="X")+(AJ9="Gn")+(AJ9="C")+(AJ8="Gn")&gt;0,"",IF(((AJ9&lt;&gt;"Xm")*(COUNTIFS($C$3:$P$3,"MAT",$C9:$P9,AJ$3)=0)*(COUNTIFS($C$3:$P$3,"NOTTE",$C9:$P9,AJ$3)=0))+((AJ9&lt;&gt;"Xp")*(COUNTIFS($C$3:$P$3,"POM",$C9:$P9,AJ$3)=0)*(COUNTIFS($C$3:$P$3,"NOTTE",$C9:$P9,AJ$3)=0))+((AJ9&lt;&gt;"Xn")*(COUNTIFS($C$3:$P$3,"MAT",$C9:$P9,AJ$3)=0)*(COUNTIFS($C$3:$P$3,"POM",$C9:$P9,AJ$3)=0)*(COUNTIFS($C$3:$P$3,"NOTTE",$C9:$P9,AJ$3)=0))=0,"",IF(((AJ9&lt;&gt;"Xm")*(COUNTIFS($C$3:$P$3,"MAT",$C9:$P9,AJ$3)=0)*(COUNTIFS($C$3:$P$3,"NOTTE",$C9:$P9,AJ$3)=0))+((AJ9&lt;&gt;"Xp")*(COUNTIFS($C$3:$P$3,"POM",$C9:$P9,AJ$3)=0)*(COUNTIFS($C$3:$P$3,"NOTTE",$C9:$P9,AJ$3)=0))+((AJ9&lt;&gt;"Xn")*(COUNTIFS($C$3:$P$3,"MAT",$C9:$P9,AJ$3)=0)*(COUNTIFS($C$3:$P$3,"POM",$C9:$P9,AJ$3)=0)*(COUNTIFS($C$3:$P$3,"NOTTE",$C9:$P9,AJ$3)=0))=3,AJ$3&amp;", ",AJ$3&amp;IF((AJ9&lt;&gt;"Xm")*(COUNTIFS($C$3:$P$3,"MAT",$C9:$P9,AJ$3)=0)*(COUNTIFS($C$3:$P$3,"NOTTE",$C9:$P9,AJ$3)=0),"_m","")&amp;IF((AJ9&lt;&gt;"Xp")*(COUNTIFS($C$3:$P$3,"POM",$C9:$P9,AJ$3)=0)*(COUNTIFS($C$3:$P$3,"NOTTE",$C9:$P9,AJ$3)=0),"_p","")&amp;IF((AJ9&lt;&gt;"Xn")*(COUNTIFS($C$3:$P$3,"MAT",$C9:$P9,AJ$3)=0)*(COUNTIFS($C$3:$P$3,"POM",$C9:$P9,AJ$3)=0)*(COUNTIFS($C$3:$P$3,"NOTTE",$C9:$P9,AJ$3)=0),"_n","")&amp;", ")))</f>
        <v/>
      </c>
      <c r="CN9" s="1" t="str">
        <f aca="false">IF((AK9="X")+(AK9="Gn")+(AK9="C")+(AK8="Gn")&gt;0,"",IF(((AK9&lt;&gt;"Xm")*(COUNTIFS($C$3:$P$3,"MAT",$C9:$P9,AK$3)=0)*(COUNTIFS($C$3:$P$3,"NOTTE",$C9:$P9,AK$3)=0))+((AK9&lt;&gt;"Xp")*(COUNTIFS($C$3:$P$3,"POM",$C9:$P9,AK$3)=0)*(COUNTIFS($C$3:$P$3,"NOTTE",$C9:$P9,AK$3)=0))+((AK9&lt;&gt;"Xn")*(COUNTIFS($C$3:$P$3,"MAT",$C9:$P9,AK$3)=0)*(COUNTIFS($C$3:$P$3,"POM",$C9:$P9,AK$3)=0)*(COUNTIFS($C$3:$P$3,"NOTTE",$C9:$P9,AK$3)=0))=0,"",IF(((AK9&lt;&gt;"Xm")*(COUNTIFS($C$3:$P$3,"MAT",$C9:$P9,AK$3)=0)*(COUNTIFS($C$3:$P$3,"NOTTE",$C9:$P9,AK$3)=0))+((AK9&lt;&gt;"Xp")*(COUNTIFS($C$3:$P$3,"POM",$C9:$P9,AK$3)=0)*(COUNTIFS($C$3:$P$3,"NOTTE",$C9:$P9,AK$3)=0))+((AK9&lt;&gt;"Xn")*(COUNTIFS($C$3:$P$3,"MAT",$C9:$P9,AK$3)=0)*(COUNTIFS($C$3:$P$3,"POM",$C9:$P9,AK$3)=0)*(COUNTIFS($C$3:$P$3,"NOTTE",$C9:$P9,AK$3)=0))=3,AK$3&amp;", ",AK$3&amp;IF((AK9&lt;&gt;"Xm")*(COUNTIFS($C$3:$P$3,"MAT",$C9:$P9,AK$3)=0)*(COUNTIFS($C$3:$P$3,"NOTTE",$C9:$P9,AK$3)=0),"_m","")&amp;IF((AK9&lt;&gt;"Xp")*(COUNTIFS($C$3:$P$3,"POM",$C9:$P9,AK$3)=0)*(COUNTIFS($C$3:$P$3,"NOTTE",$C9:$P9,AK$3)=0),"_p","")&amp;IF((AK9&lt;&gt;"Xn")*(COUNTIFS($C$3:$P$3,"MAT",$C9:$P9,AK$3)=0)*(COUNTIFS($C$3:$P$3,"POM",$C9:$P9,AK$3)=0)*(COUNTIFS($C$3:$P$3,"NOTTE",$C9:$P9,AK$3)=0),"_n","")&amp;", ")))</f>
        <v/>
      </c>
      <c r="CO9" s="1" t="str">
        <f aca="false">IF((AL9="X")+(AL9="Gn")+(AL9="C")+(AL8="Gn")&gt;0,"",IF(((AL9&lt;&gt;"Xm")*(COUNTIFS($C$3:$P$3,"MAT",$C9:$P9,AL$3)=0)*(COUNTIFS($C$3:$P$3,"NOTTE",$C9:$P9,AL$3)=0))+((AL9&lt;&gt;"Xp")*(COUNTIFS($C$3:$P$3,"POM",$C9:$P9,AL$3)=0)*(COUNTIFS($C$3:$P$3,"NOTTE",$C9:$P9,AL$3)=0))+((AL9&lt;&gt;"Xn")*(COUNTIFS($C$3:$P$3,"MAT",$C9:$P9,AL$3)=0)*(COUNTIFS($C$3:$P$3,"POM",$C9:$P9,AL$3)=0)*(COUNTIFS($C$3:$P$3,"NOTTE",$C9:$P9,AL$3)=0))=0,"",IF(((AL9&lt;&gt;"Xm")*(COUNTIFS($C$3:$P$3,"MAT",$C9:$P9,AL$3)=0)*(COUNTIFS($C$3:$P$3,"NOTTE",$C9:$P9,AL$3)=0))+((AL9&lt;&gt;"Xp")*(COUNTIFS($C$3:$P$3,"POM",$C9:$P9,AL$3)=0)*(COUNTIFS($C$3:$P$3,"NOTTE",$C9:$P9,AL$3)=0))+((AL9&lt;&gt;"Xn")*(COUNTIFS($C$3:$P$3,"MAT",$C9:$P9,AL$3)=0)*(COUNTIFS($C$3:$P$3,"POM",$C9:$P9,AL$3)=0)*(COUNTIFS($C$3:$P$3,"NOTTE",$C9:$P9,AL$3)=0))=3,AL$3&amp;", ",AL$3&amp;IF((AL9&lt;&gt;"Xm")*(COUNTIFS($C$3:$P$3,"MAT",$C9:$P9,AL$3)=0)*(COUNTIFS($C$3:$P$3,"NOTTE",$C9:$P9,AL$3)=0),"_m","")&amp;IF((AL9&lt;&gt;"Xp")*(COUNTIFS($C$3:$P$3,"POM",$C9:$P9,AL$3)=0)*(COUNTIFS($C$3:$P$3,"NOTTE",$C9:$P9,AL$3)=0),"_p","")&amp;IF((AL9&lt;&gt;"Xn")*(COUNTIFS($C$3:$P$3,"MAT",$C9:$P9,AL$3)=0)*(COUNTIFS($C$3:$P$3,"POM",$C9:$P9,AL$3)=0)*(COUNTIFS($C$3:$P$3,"NOTTE",$C9:$P9,AL$3)=0),"_n","")&amp;", ")))</f>
        <v/>
      </c>
      <c r="CP9" s="1" t="str">
        <f aca="false">IF((AM9="X")+(AM9="Gn")+(AM9="C")+(AM8="Gn")&gt;0,"",IF(((AM9&lt;&gt;"Xm")*(COUNTIFS($C$3:$P$3,"MAT",$C9:$P9,AM$3)=0)*(COUNTIFS($C$3:$P$3,"NOTTE",$C9:$P9,AM$3)=0))+((AM9&lt;&gt;"Xp")*(COUNTIFS($C$3:$P$3,"POM",$C9:$P9,AM$3)=0)*(COUNTIFS($C$3:$P$3,"NOTTE",$C9:$P9,AM$3)=0))+((AM9&lt;&gt;"Xn")*(COUNTIFS($C$3:$P$3,"MAT",$C9:$P9,AM$3)=0)*(COUNTIFS($C$3:$P$3,"POM",$C9:$P9,AM$3)=0)*(COUNTIFS($C$3:$P$3,"NOTTE",$C9:$P9,AM$3)=0))=0,"",IF(((AM9&lt;&gt;"Xm")*(COUNTIFS($C$3:$P$3,"MAT",$C9:$P9,AM$3)=0)*(COUNTIFS($C$3:$P$3,"NOTTE",$C9:$P9,AM$3)=0))+((AM9&lt;&gt;"Xp")*(COUNTIFS($C$3:$P$3,"POM",$C9:$P9,AM$3)=0)*(COUNTIFS($C$3:$P$3,"NOTTE",$C9:$P9,AM$3)=0))+((AM9&lt;&gt;"Xn")*(COUNTIFS($C$3:$P$3,"MAT",$C9:$P9,AM$3)=0)*(COUNTIFS($C$3:$P$3,"POM",$C9:$P9,AM$3)=0)*(COUNTIFS($C$3:$P$3,"NOTTE",$C9:$P9,AM$3)=0))=3,AM$3&amp;", ",AM$3&amp;IF((AM9&lt;&gt;"Xm")*(COUNTIFS($C$3:$P$3,"MAT",$C9:$P9,AM$3)=0)*(COUNTIFS($C$3:$P$3,"NOTTE",$C9:$P9,AM$3)=0),"_m","")&amp;IF((AM9&lt;&gt;"Xp")*(COUNTIFS($C$3:$P$3,"POM",$C9:$P9,AM$3)=0)*(COUNTIFS($C$3:$P$3,"NOTTE",$C9:$P9,AM$3)=0),"_p","")&amp;IF((AM9&lt;&gt;"Xn")*(COUNTIFS($C$3:$P$3,"MAT",$C9:$P9,AM$3)=0)*(COUNTIFS($C$3:$P$3,"POM",$C9:$P9,AM$3)=0)*(COUNTIFS($C$3:$P$3,"NOTTE",$C9:$P9,AM$3)=0),"_n","")&amp;", ")))</f>
        <v>SANNA_p, </v>
      </c>
      <c r="CQ9" s="1" t="str">
        <f aca="false">IF((AN9="X")+(AN9="Gn")+(AN9="C")+(AN8="Gn")&gt;0,"",IF(((AN9&lt;&gt;"Xm")*(COUNTIFS($C$3:$P$3,"MAT",$C9:$P9,AN$3)=0)*(COUNTIFS($C$3:$P$3,"NOTTE",$C9:$P9,AN$3)=0))+((AN9&lt;&gt;"Xp")*(COUNTIFS($C$3:$P$3,"POM",$C9:$P9,AN$3)=0)*(COUNTIFS($C$3:$P$3,"NOTTE",$C9:$P9,AN$3)=0))+((AN9&lt;&gt;"Xn")*(COUNTIFS($C$3:$P$3,"MAT",$C9:$P9,AN$3)=0)*(COUNTIFS($C$3:$P$3,"POM",$C9:$P9,AN$3)=0)*(COUNTIFS($C$3:$P$3,"NOTTE",$C9:$P9,AN$3)=0))=0,"",IF(((AN9&lt;&gt;"Xm")*(COUNTIFS($C$3:$P$3,"MAT",$C9:$P9,AN$3)=0)*(COUNTIFS($C$3:$P$3,"NOTTE",$C9:$P9,AN$3)=0))+((AN9&lt;&gt;"Xp")*(COUNTIFS($C$3:$P$3,"POM",$C9:$P9,AN$3)=0)*(COUNTIFS($C$3:$P$3,"NOTTE",$C9:$P9,AN$3)=0))+((AN9&lt;&gt;"Xn")*(COUNTIFS($C$3:$P$3,"MAT",$C9:$P9,AN$3)=0)*(COUNTIFS($C$3:$P$3,"POM",$C9:$P9,AN$3)=0)*(COUNTIFS($C$3:$P$3,"NOTTE",$C9:$P9,AN$3)=0))=3,AN$3&amp;", ",AN$3&amp;IF((AN9&lt;&gt;"Xm")*(COUNTIFS($C$3:$P$3,"MAT",$C9:$P9,AN$3)=0)*(COUNTIFS($C$3:$P$3,"NOTTE",$C9:$P9,AN$3)=0),"_m","")&amp;IF((AN9&lt;&gt;"Xp")*(COUNTIFS($C$3:$P$3,"POM",$C9:$P9,AN$3)=0)*(COUNTIFS($C$3:$P$3,"NOTTE",$C9:$P9,AN$3)=0),"_p","")&amp;IF((AN9&lt;&gt;"Xn")*(COUNTIFS($C$3:$P$3,"MAT",$C9:$P9,AN$3)=0)*(COUNTIFS($C$3:$P$3,"POM",$C9:$P9,AN$3)=0)*(COUNTIFS($C$3:$P$3,"NOTTE",$C9:$P9,AN$3)=0),"_n","")&amp;", ")))</f>
        <v/>
      </c>
    </row>
    <row r="10" customFormat="false" ht="15" hidden="false" customHeight="true" outlineLevel="0" collapsed="false">
      <c r="A10" s="8" t="str">
        <f aca="false">CHOOSE(WEEKDAY(DATE($B$1,$A$2,B10),2),"lunedì","martedì","mercoledì","giovedì","venerdì","sabato","domenica")</f>
        <v>sabato</v>
      </c>
      <c r="B10" s="8" t="n">
        <v>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 t="s">
        <v>31</v>
      </c>
      <c r="O10" s="8" t="s">
        <v>31</v>
      </c>
      <c r="P10" s="8" t="s">
        <v>29</v>
      </c>
      <c r="Q10" s="8"/>
      <c r="R10" s="8" t="str">
        <f aca="false">IF(SUMPRODUCT(($C$3:$P$3&lt;&gt;"")*($C10:$P10&lt;&gt;"")*(COUNTIFS($C10:$P10,$C10:$P10,$C$3:$P$3,$C$3:$P$3)&gt;1))&gt;0,"X","")</f>
        <v/>
      </c>
      <c r="S10" s="9" t="str">
        <f aca="false"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L, GALLINA, VERDI, HU, MARINI, CONTI A, CONTI S, FERRARI, GRECO, SANNA, LI</v>
      </c>
      <c r="T10" s="9" t="str">
        <f aca="false"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L, GALLINA, VERDI, MARINI, CONTI S, FERRARI, GRECO, SANNA, LI</v>
      </c>
      <c r="Y10" s="8" t="str">
        <f aca="false">A10</f>
        <v>sabato</v>
      </c>
      <c r="Z10" s="8" t="n">
        <f aca="false">B10</f>
        <v>7</v>
      </c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S10" s="13" t="str">
        <f aca="false">AG$3</f>
        <v>HU</v>
      </c>
      <c r="AT10" s="13" t="n">
        <f aca="false">COUNTIF($C$4:$D$33,$AS10)</f>
        <v>0</v>
      </c>
      <c r="AU10" s="13" t="n">
        <f aca="false">COUNTIF($E$4:$F$33,$AS10)</f>
        <v>2</v>
      </c>
      <c r="AV10" s="13" t="n">
        <f aca="false">COUNTIF($G$4:$H$33,$AS10)</f>
        <v>6</v>
      </c>
      <c r="AW10" s="13" t="n">
        <f aca="false">COUNTIF($I$4:$J$33,$AS10)</f>
        <v>0</v>
      </c>
      <c r="AX10" s="13" t="n">
        <f aca="false">COUNTIF($K$4:$K$33,$AS10)</f>
        <v>2</v>
      </c>
      <c r="AY10" s="13" t="n">
        <f aca="false">COUNTIF($L$4:$L$33,$AS10)</f>
        <v>0</v>
      </c>
      <c r="AZ10" s="13" t="n">
        <f aca="false">COUNTIF($M$4:$M$33,$AS10)</f>
        <v>3</v>
      </c>
      <c r="BA10" s="13" t="n">
        <f aca="false">COUNTIF($N$4:$P$33,$AS10)</f>
        <v>6</v>
      </c>
      <c r="BB10" s="13" t="n">
        <f aca="false">COUNTIF($C$4:$P$33,$AS10)</f>
        <v>19</v>
      </c>
      <c r="BD10" s="14" t="str">
        <f aca="false">AG$3</f>
        <v>HU</v>
      </c>
      <c r="BE10" s="14"/>
      <c r="BF10" s="14"/>
      <c r="BG10" s="14"/>
      <c r="BH10" s="14"/>
      <c r="BI10" s="14"/>
      <c r="BJ10" s="14"/>
      <c r="BK10" s="14"/>
      <c r="BL10" s="14"/>
      <c r="BM10" s="14"/>
      <c r="BO10" s="1" t="str">
        <f aca="false">IF((AA10="X")+(AA10="Gn")+(AA10="C")+(AA9="Gn")&gt;0,"",IF(((AA10&lt;&gt;"Xm"))+((AA10&lt;&gt;"Xp"))+((AA10&lt;&gt;"Xn"))=0,"",IF(((AA10&lt;&gt;"Xm"))+((AA10&lt;&gt;"Xp"))+((AA10&lt;&gt;"Xn"))=3,AA$3&amp;", ",AA$3&amp;IF((AA10&lt;&gt;"Xm"),"_m","")&amp;IF((AA10&lt;&gt;"Xp"),"_p","")&amp;IF((AA10&lt;&gt;"Xn"),"_n","")&amp;", ")))</f>
        <v>LEONI, </v>
      </c>
      <c r="BP10" s="1" t="str">
        <f aca="false">IF((AB10="X")+(AB10="Gn")+(AB10="C")+(AB9="Gn")&gt;0,"",IF(((AB10&lt;&gt;"Xm"))+((AB10&lt;&gt;"Xp"))+((AB10&lt;&gt;"Xn"))=0,"",IF(((AB10&lt;&gt;"Xm"))+((AB10&lt;&gt;"Xp"))+((AB10&lt;&gt;"Xn"))=3,AB$3&amp;", ",AB$3&amp;IF((AB10&lt;&gt;"Xm"),"_m","")&amp;IF((AB10&lt;&gt;"Xp"),"_p","")&amp;IF((AB10&lt;&gt;"Xn"),"_n","")&amp;", ")))</f>
        <v/>
      </c>
      <c r="BQ10" s="1" t="str">
        <f aca="false">IF((AC10="X")+(AC10="Gn")+(AC10="C")+(AC9="Gn")&gt;0,"",IF(((AC10&lt;&gt;"Xm"))+((AC10&lt;&gt;"Xp"))+((AC10&lt;&gt;"Xn"))=0,"",IF(((AC10&lt;&gt;"Xm"))+((AC10&lt;&gt;"Xp"))+((AC10&lt;&gt;"Xn"))=3,AC$3&amp;", ",AC$3&amp;IF((AC10&lt;&gt;"Xm"),"_m","")&amp;IF((AC10&lt;&gt;"Xp"),"_p","")&amp;IF((AC10&lt;&gt;"Xn"),"_n","")&amp;", ")))</f>
        <v>ROSSI L, </v>
      </c>
      <c r="BR10" s="1" t="str">
        <f aca="false">IF((AD10="X")+(AD10="Gn")+(AD10="C")+(AD9="Gn")&gt;0,"",IF(((AD10&lt;&gt;"Xm"))+((AD10&lt;&gt;"Xp"))+((AD10&lt;&gt;"Xn"))=0,"",IF(((AD10&lt;&gt;"Xm"))+((AD10&lt;&gt;"Xp"))+((AD10&lt;&gt;"Xn"))=3,AD$3&amp;", ",AD$3&amp;IF((AD10&lt;&gt;"Xm"),"_m","")&amp;IF((AD10&lt;&gt;"Xp"),"_p","")&amp;IF((AD10&lt;&gt;"Xn"),"_n","")&amp;", ")))</f>
        <v>GALLINA, </v>
      </c>
      <c r="BS10" s="1" t="str">
        <f aca="false">IF((AE10="X")+(AE10="Gn")+(AE10="C")+(AE9="Gn")&gt;0,"",IF(((AE10&lt;&gt;"Xm"))+((AE10&lt;&gt;"Xp"))+((AE10&lt;&gt;"Xn"))=0,"",IF(((AE10&lt;&gt;"Xm"))+((AE10&lt;&gt;"Xp"))+((AE10&lt;&gt;"Xn"))=3,AE$3&amp;", ",AE$3&amp;IF((AE10&lt;&gt;"Xm"),"_m","")&amp;IF((AE10&lt;&gt;"Xp"),"_p","")&amp;IF((AE10&lt;&gt;"Xn"),"_n","")&amp;", ")))</f>
        <v/>
      </c>
      <c r="BT10" s="1" t="str">
        <f aca="false">IF((AF10="X")+(AF10="Gn")+(AF10="C")+(AF9="Gn")&gt;0,"",IF(((AF10&lt;&gt;"Xm"))+((AF10&lt;&gt;"Xp"))+((AF10&lt;&gt;"Xn"))=0,"",IF(((AF10&lt;&gt;"Xm"))+((AF10&lt;&gt;"Xp"))+((AF10&lt;&gt;"Xn"))=3,AF$3&amp;", ",AF$3&amp;IF((AF10&lt;&gt;"Xm"),"_m","")&amp;IF((AF10&lt;&gt;"Xp"),"_p","")&amp;IF((AF10&lt;&gt;"Xn"),"_n","")&amp;", ")))</f>
        <v>VERDI, </v>
      </c>
      <c r="BU10" s="1" t="str">
        <f aca="false">IF((AG10="X")+(AG10="Gn")+(AG10="C")+(AG9="Gn")&gt;0,"",IF(((AG10&lt;&gt;"Xm"))+((AG10&lt;&gt;"Xp"))+((AG10&lt;&gt;"Xn"))=0,"",IF(((AG10&lt;&gt;"Xm"))+((AG10&lt;&gt;"Xp"))+((AG10&lt;&gt;"Xn"))=3,AG$3&amp;", ",AG$3&amp;IF((AG10&lt;&gt;"Xm"),"_m","")&amp;IF((AG10&lt;&gt;"Xp"),"_p","")&amp;IF((AG10&lt;&gt;"Xn"),"_n","")&amp;", ")))</f>
        <v>HU, </v>
      </c>
      <c r="BV10" s="1" t="str">
        <f aca="false">IF((AH10="X")+(AH10="Gn")+(AH10="C")+(AH9="Gn")&gt;0,"",IF(((AH10&lt;&gt;"Xm"))+((AH10&lt;&gt;"Xp"))+((AH10&lt;&gt;"Xn"))=0,"",IF(((AH10&lt;&gt;"Xm"))+((AH10&lt;&gt;"Xp"))+((AH10&lt;&gt;"Xn"))=3,AH$3&amp;", ",AH$3&amp;IF((AH10&lt;&gt;"Xm"),"_m","")&amp;IF((AH10&lt;&gt;"Xp"),"_p","")&amp;IF((AH10&lt;&gt;"Xn"),"_n","")&amp;", ")))</f>
        <v>MARINI, </v>
      </c>
      <c r="BW10" s="1" t="str">
        <f aca="false">IF((AI10="X")+(AI10="Gn")+(AI10="C")+(AI9="Gn")&gt;0,"",IF(((AI10&lt;&gt;"Xm"))+((AI10&lt;&gt;"Xp"))+((AI10&lt;&gt;"Xn"))=0,"",IF(((AI10&lt;&gt;"Xm"))+((AI10&lt;&gt;"Xp"))+((AI10&lt;&gt;"Xn"))=3,AI$3&amp;", ",AI$3&amp;IF((AI10&lt;&gt;"Xm"),"_m","")&amp;IF((AI10&lt;&gt;"Xp"),"_p","")&amp;IF((AI10&lt;&gt;"Xn"),"_n","")&amp;", ")))</f>
        <v>CONTI A, </v>
      </c>
      <c r="BX10" s="1" t="str">
        <f aca="false">IF((AJ10="X")+(AJ10="Gn")+(AJ10="C")+(AJ9="Gn")&gt;0,"",IF(((AJ10&lt;&gt;"Xm"))+((AJ10&lt;&gt;"Xp"))+((AJ10&lt;&gt;"Xn"))=0,"",IF(((AJ10&lt;&gt;"Xm"))+((AJ10&lt;&gt;"Xp"))+((AJ10&lt;&gt;"Xn"))=3,AJ$3&amp;", ",AJ$3&amp;IF((AJ10&lt;&gt;"Xm"),"_m","")&amp;IF((AJ10&lt;&gt;"Xp"),"_p","")&amp;IF((AJ10&lt;&gt;"Xn"),"_n","")&amp;", ")))</f>
        <v>CONTI S, </v>
      </c>
      <c r="BY10" s="1" t="str">
        <f aca="false">IF((AK10="X")+(AK10="Gn")+(AK10="C")+(AK9="Gn")&gt;0,"",IF(((AK10&lt;&gt;"Xm"))+((AK10&lt;&gt;"Xp"))+((AK10&lt;&gt;"Xn"))=0,"",IF(((AK10&lt;&gt;"Xm"))+((AK10&lt;&gt;"Xp"))+((AK10&lt;&gt;"Xn"))=3,AK$3&amp;", ",AK$3&amp;IF((AK10&lt;&gt;"Xm"),"_m","")&amp;IF((AK10&lt;&gt;"Xp"),"_p","")&amp;IF((AK10&lt;&gt;"Xn"),"_n","")&amp;", ")))</f>
        <v>FERRARI, </v>
      </c>
      <c r="BZ10" s="1" t="str">
        <f aca="false">IF((AL10="X")+(AL10="Gn")+(AL10="C")+(AL9="Gn")&gt;0,"",IF(((AL10&lt;&gt;"Xm"))+((AL10&lt;&gt;"Xp"))+((AL10&lt;&gt;"Xn"))=0,"",IF(((AL10&lt;&gt;"Xm"))+((AL10&lt;&gt;"Xp"))+((AL10&lt;&gt;"Xn"))=3,AL$3&amp;", ",AL$3&amp;IF((AL10&lt;&gt;"Xm"),"_m","")&amp;IF((AL10&lt;&gt;"Xp"),"_p","")&amp;IF((AL10&lt;&gt;"Xn"),"_n","")&amp;", ")))</f>
        <v>GRECO, </v>
      </c>
      <c r="CA10" s="1" t="str">
        <f aca="false">IF((AM10="X")+(AM10="Gn")+(AM10="C")+(AM9="Gn")&gt;0,"",IF(((AM10&lt;&gt;"Xm"))+((AM10&lt;&gt;"Xp"))+((AM10&lt;&gt;"Xn"))=0,"",IF(((AM10&lt;&gt;"Xm"))+((AM10&lt;&gt;"Xp"))+((AM10&lt;&gt;"Xn"))=3,AM$3&amp;", ",AM$3&amp;IF((AM10&lt;&gt;"Xm"),"_m","")&amp;IF((AM10&lt;&gt;"Xp"),"_p","")&amp;IF((AM10&lt;&gt;"Xn"),"_n","")&amp;", ")))</f>
        <v>SANNA, </v>
      </c>
      <c r="CB10" s="1" t="str">
        <f aca="false">IF((AN10="X")+(AN10="Gn")+(AN10="C")+(AN9="Gn")&gt;0,"",IF(((AN10&lt;&gt;"Xm"))+((AN10&lt;&gt;"Xp"))+((AN10&lt;&gt;"Xn"))=0,"",IF(((AN10&lt;&gt;"Xm"))+((AN10&lt;&gt;"Xp"))+((AN10&lt;&gt;"Xn"))=3,AN$3&amp;", ",AN$3&amp;IF((AN10&lt;&gt;"Xm"),"_m","")&amp;IF((AN10&lt;&gt;"Xp"),"_p","")&amp;IF((AN10&lt;&gt;"Xn"),"_n","")&amp;", ")))</f>
        <v>LI, </v>
      </c>
      <c r="CD10" s="1" t="str">
        <f aca="false">IF((AA10="X")+(AA10="Gn")+(AA10="C")+(AA9="Gn")&gt;0,"",IF(((AA10&lt;&gt;"Xm")*(COUNTIFS($C$3:$P$3,"MAT",$C10:$P10,AA$3)=0)*(COUNTIFS($C$3:$P$3,"NOTTE",$C10:$P10,AA$3)=0))+((AA10&lt;&gt;"Xp")*(COUNTIFS($C$3:$P$3,"POM",$C10:$P10,AA$3)=0)*(COUNTIFS($C$3:$P$3,"NOTTE",$C10:$P10,AA$3)=0))+((AA10&lt;&gt;"Xn")*(COUNTIFS($C$3:$P$3,"MAT",$C10:$P10,AA$3)=0)*(COUNTIFS($C$3:$P$3,"POM",$C10:$P10,AA$3)=0)*(COUNTIFS($C$3:$P$3,"NOTTE",$C10:$P10,AA$3)=0))=0,"",IF(((AA10&lt;&gt;"Xm")*(COUNTIFS($C$3:$P$3,"MAT",$C10:$P10,AA$3)=0)*(COUNTIFS($C$3:$P$3,"NOTTE",$C10:$P10,AA$3)=0))+((AA10&lt;&gt;"Xp")*(COUNTIFS($C$3:$P$3,"POM",$C10:$P10,AA$3)=0)*(COUNTIFS($C$3:$P$3,"NOTTE",$C10:$P10,AA$3)=0))+((AA10&lt;&gt;"Xn")*(COUNTIFS($C$3:$P$3,"MAT",$C10:$P10,AA$3)=0)*(COUNTIFS($C$3:$P$3,"POM",$C10:$P10,AA$3)=0)*(COUNTIFS($C$3:$P$3,"NOTTE",$C10:$P10,AA$3)=0))=3,AA$3&amp;", ",AA$3&amp;IF((AA10&lt;&gt;"Xm")*(COUNTIFS($C$3:$P$3,"MAT",$C10:$P10,AA$3)=0)*(COUNTIFS($C$3:$P$3,"NOTTE",$C10:$P10,AA$3)=0),"_m","")&amp;IF((AA10&lt;&gt;"Xp")*(COUNTIFS($C$3:$P$3,"POM",$C10:$P10,AA$3)=0)*(COUNTIFS($C$3:$P$3,"NOTTE",$C10:$P10,AA$3)=0),"_p","")&amp;IF((AA10&lt;&gt;"Xn")*(COUNTIFS($C$3:$P$3,"MAT",$C10:$P10,AA$3)=0)*(COUNTIFS($C$3:$P$3,"POM",$C10:$P10,AA$3)=0)*(COUNTIFS($C$3:$P$3,"NOTTE",$C10:$P10,AA$3)=0),"_n","")&amp;", ")))</f>
        <v>LEONI, </v>
      </c>
      <c r="CE10" s="1" t="str">
        <f aca="false">IF((AB10="X")+(AB10="Gn")+(AB10="C")+(AB9="Gn")&gt;0,"",IF(((AB10&lt;&gt;"Xm")*(COUNTIFS($C$3:$P$3,"MAT",$C10:$P10,AB$3)=0)*(COUNTIFS($C$3:$P$3,"NOTTE",$C10:$P10,AB$3)=0))+((AB10&lt;&gt;"Xp")*(COUNTIFS($C$3:$P$3,"POM",$C10:$P10,AB$3)=0)*(COUNTIFS($C$3:$P$3,"NOTTE",$C10:$P10,AB$3)=0))+((AB10&lt;&gt;"Xn")*(COUNTIFS($C$3:$P$3,"MAT",$C10:$P10,AB$3)=0)*(COUNTIFS($C$3:$P$3,"POM",$C10:$P10,AB$3)=0)*(COUNTIFS($C$3:$P$3,"NOTTE",$C10:$P10,AB$3)=0))=0,"",IF(((AB10&lt;&gt;"Xm")*(COUNTIFS($C$3:$P$3,"MAT",$C10:$P10,AB$3)=0)*(COUNTIFS($C$3:$P$3,"NOTTE",$C10:$P10,AB$3)=0))+((AB10&lt;&gt;"Xp")*(COUNTIFS($C$3:$P$3,"POM",$C10:$P10,AB$3)=0)*(COUNTIFS($C$3:$P$3,"NOTTE",$C10:$P10,AB$3)=0))+((AB10&lt;&gt;"Xn")*(COUNTIFS($C$3:$P$3,"MAT",$C10:$P10,AB$3)=0)*(COUNTIFS($C$3:$P$3,"POM",$C10:$P10,AB$3)=0)*(COUNTIFS($C$3:$P$3,"NOTTE",$C10:$P10,AB$3)=0))=3,AB$3&amp;", ",AB$3&amp;IF((AB10&lt;&gt;"Xm")*(COUNTIFS($C$3:$P$3,"MAT",$C10:$P10,AB$3)=0)*(COUNTIFS($C$3:$P$3,"NOTTE",$C10:$P10,AB$3)=0),"_m","")&amp;IF((AB10&lt;&gt;"Xp")*(COUNTIFS($C$3:$P$3,"POM",$C10:$P10,AB$3)=0)*(COUNTIFS($C$3:$P$3,"NOTTE",$C10:$P10,AB$3)=0),"_p","")&amp;IF((AB10&lt;&gt;"Xn")*(COUNTIFS($C$3:$P$3,"MAT",$C10:$P10,AB$3)=0)*(COUNTIFS($C$3:$P$3,"POM",$C10:$P10,AB$3)=0)*(COUNTIFS($C$3:$P$3,"NOTTE",$C10:$P10,AB$3)=0),"_n","")&amp;", ")))</f>
        <v/>
      </c>
      <c r="CF10" s="1" t="str">
        <f aca="false">IF((AC10="X")+(AC10="Gn")+(AC10="C")+(AC9="Gn")&gt;0,"",IF(((AC10&lt;&gt;"Xm")*(COUNTIFS($C$3:$P$3,"MAT",$C10:$P10,AC$3)=0)*(COUNTIFS($C$3:$P$3,"NOTTE",$C10:$P10,AC$3)=0))+((AC10&lt;&gt;"Xp")*(COUNTIFS($C$3:$P$3,"POM",$C10:$P10,AC$3)=0)*(COUNTIFS($C$3:$P$3,"NOTTE",$C10:$P10,AC$3)=0))+((AC10&lt;&gt;"Xn")*(COUNTIFS($C$3:$P$3,"MAT",$C10:$P10,AC$3)=0)*(COUNTIFS($C$3:$P$3,"POM",$C10:$P10,AC$3)=0)*(COUNTIFS($C$3:$P$3,"NOTTE",$C10:$P10,AC$3)=0))=0,"",IF(((AC10&lt;&gt;"Xm")*(COUNTIFS($C$3:$P$3,"MAT",$C10:$P10,AC$3)=0)*(COUNTIFS($C$3:$P$3,"NOTTE",$C10:$P10,AC$3)=0))+((AC10&lt;&gt;"Xp")*(COUNTIFS($C$3:$P$3,"POM",$C10:$P10,AC$3)=0)*(COUNTIFS($C$3:$P$3,"NOTTE",$C10:$P10,AC$3)=0))+((AC10&lt;&gt;"Xn")*(COUNTIFS($C$3:$P$3,"MAT",$C10:$P10,AC$3)=0)*(COUNTIFS($C$3:$P$3,"POM",$C10:$P10,AC$3)=0)*(COUNTIFS($C$3:$P$3,"NOTTE",$C10:$P10,AC$3)=0))=3,AC$3&amp;", ",AC$3&amp;IF((AC10&lt;&gt;"Xm")*(COUNTIFS($C$3:$P$3,"MAT",$C10:$P10,AC$3)=0)*(COUNTIFS($C$3:$P$3,"NOTTE",$C10:$P10,AC$3)=0),"_m","")&amp;IF((AC10&lt;&gt;"Xp")*(COUNTIFS($C$3:$P$3,"POM",$C10:$P10,AC$3)=0)*(COUNTIFS($C$3:$P$3,"NOTTE",$C10:$P10,AC$3)=0),"_p","")&amp;IF((AC10&lt;&gt;"Xn")*(COUNTIFS($C$3:$P$3,"MAT",$C10:$P10,AC$3)=0)*(COUNTIFS($C$3:$P$3,"POM",$C10:$P10,AC$3)=0)*(COUNTIFS($C$3:$P$3,"NOTTE",$C10:$P10,AC$3)=0),"_n","")&amp;", ")))</f>
        <v>ROSSI L, </v>
      </c>
      <c r="CG10" s="1" t="str">
        <f aca="false">IF((AD10="X")+(AD10="Gn")+(AD10="C")+(AD9="Gn")&gt;0,"",IF(((AD10&lt;&gt;"Xm")*(COUNTIFS($C$3:$P$3,"MAT",$C10:$P10,AD$3)=0)*(COUNTIFS($C$3:$P$3,"NOTTE",$C10:$P10,AD$3)=0))+((AD10&lt;&gt;"Xp")*(COUNTIFS($C$3:$P$3,"POM",$C10:$P10,AD$3)=0)*(COUNTIFS($C$3:$P$3,"NOTTE",$C10:$P10,AD$3)=0))+((AD10&lt;&gt;"Xn")*(COUNTIFS($C$3:$P$3,"MAT",$C10:$P10,AD$3)=0)*(COUNTIFS($C$3:$P$3,"POM",$C10:$P10,AD$3)=0)*(COUNTIFS($C$3:$P$3,"NOTTE",$C10:$P10,AD$3)=0))=0,"",IF(((AD10&lt;&gt;"Xm")*(COUNTIFS($C$3:$P$3,"MAT",$C10:$P10,AD$3)=0)*(COUNTIFS($C$3:$P$3,"NOTTE",$C10:$P10,AD$3)=0))+((AD10&lt;&gt;"Xp")*(COUNTIFS($C$3:$P$3,"POM",$C10:$P10,AD$3)=0)*(COUNTIFS($C$3:$P$3,"NOTTE",$C10:$P10,AD$3)=0))+((AD10&lt;&gt;"Xn")*(COUNTIFS($C$3:$P$3,"MAT",$C10:$P10,AD$3)=0)*(COUNTIFS($C$3:$P$3,"POM",$C10:$P10,AD$3)=0)*(COUNTIFS($C$3:$P$3,"NOTTE",$C10:$P10,AD$3)=0))=3,AD$3&amp;", ",AD$3&amp;IF((AD10&lt;&gt;"Xm")*(COUNTIFS($C$3:$P$3,"MAT",$C10:$P10,AD$3)=0)*(COUNTIFS($C$3:$P$3,"NOTTE",$C10:$P10,AD$3)=0),"_m","")&amp;IF((AD10&lt;&gt;"Xp")*(COUNTIFS($C$3:$P$3,"POM",$C10:$P10,AD$3)=0)*(COUNTIFS($C$3:$P$3,"NOTTE",$C10:$P10,AD$3)=0),"_p","")&amp;IF((AD10&lt;&gt;"Xn")*(COUNTIFS($C$3:$P$3,"MAT",$C10:$P10,AD$3)=0)*(COUNTIFS($C$3:$P$3,"POM",$C10:$P10,AD$3)=0)*(COUNTIFS($C$3:$P$3,"NOTTE",$C10:$P10,AD$3)=0),"_n","")&amp;", ")))</f>
        <v>GALLINA, </v>
      </c>
      <c r="CH10" s="1" t="str">
        <f aca="false">IF((AE10="X")+(AE10="Gn")+(AE10="C")+(AE9="Gn")&gt;0,"",IF(((AE10&lt;&gt;"Xm")*(COUNTIFS($C$3:$P$3,"MAT",$C10:$P10,AE$3)=0)*(COUNTIFS($C$3:$P$3,"NOTTE",$C10:$P10,AE$3)=0))+((AE10&lt;&gt;"Xp")*(COUNTIFS($C$3:$P$3,"POM",$C10:$P10,AE$3)=0)*(COUNTIFS($C$3:$P$3,"NOTTE",$C10:$P10,AE$3)=0))+((AE10&lt;&gt;"Xn")*(COUNTIFS($C$3:$P$3,"MAT",$C10:$P10,AE$3)=0)*(COUNTIFS($C$3:$P$3,"POM",$C10:$P10,AE$3)=0)*(COUNTIFS($C$3:$P$3,"NOTTE",$C10:$P10,AE$3)=0))=0,"",IF(((AE10&lt;&gt;"Xm")*(COUNTIFS($C$3:$P$3,"MAT",$C10:$P10,AE$3)=0)*(COUNTIFS($C$3:$P$3,"NOTTE",$C10:$P10,AE$3)=0))+((AE10&lt;&gt;"Xp")*(COUNTIFS($C$3:$P$3,"POM",$C10:$P10,AE$3)=0)*(COUNTIFS($C$3:$P$3,"NOTTE",$C10:$P10,AE$3)=0))+((AE10&lt;&gt;"Xn")*(COUNTIFS($C$3:$P$3,"MAT",$C10:$P10,AE$3)=0)*(COUNTIFS($C$3:$P$3,"POM",$C10:$P10,AE$3)=0)*(COUNTIFS($C$3:$P$3,"NOTTE",$C10:$P10,AE$3)=0))=3,AE$3&amp;", ",AE$3&amp;IF((AE10&lt;&gt;"Xm")*(COUNTIFS($C$3:$P$3,"MAT",$C10:$P10,AE$3)=0)*(COUNTIFS($C$3:$P$3,"NOTTE",$C10:$P10,AE$3)=0),"_m","")&amp;IF((AE10&lt;&gt;"Xp")*(COUNTIFS($C$3:$P$3,"POM",$C10:$P10,AE$3)=0)*(COUNTIFS($C$3:$P$3,"NOTTE",$C10:$P10,AE$3)=0),"_p","")&amp;IF((AE10&lt;&gt;"Xn")*(COUNTIFS($C$3:$P$3,"MAT",$C10:$P10,AE$3)=0)*(COUNTIFS($C$3:$P$3,"POM",$C10:$P10,AE$3)=0)*(COUNTIFS($C$3:$P$3,"NOTTE",$C10:$P10,AE$3)=0),"_n","")&amp;", ")))</f>
        <v/>
      </c>
      <c r="CI10" s="1" t="str">
        <f aca="false">IF((AF10="X")+(AF10="Gn")+(AF10="C")+(AF9="Gn")&gt;0,"",IF(((AF10&lt;&gt;"Xm")*(COUNTIFS($C$3:$P$3,"MAT",$C10:$P10,AF$3)=0)*(COUNTIFS($C$3:$P$3,"NOTTE",$C10:$P10,AF$3)=0))+((AF10&lt;&gt;"Xp")*(COUNTIFS($C$3:$P$3,"POM",$C10:$P10,AF$3)=0)*(COUNTIFS($C$3:$P$3,"NOTTE",$C10:$P10,AF$3)=0))+((AF10&lt;&gt;"Xn")*(COUNTIFS($C$3:$P$3,"MAT",$C10:$P10,AF$3)=0)*(COUNTIFS($C$3:$P$3,"POM",$C10:$P10,AF$3)=0)*(COUNTIFS($C$3:$P$3,"NOTTE",$C10:$P10,AF$3)=0))=0,"",IF(((AF10&lt;&gt;"Xm")*(COUNTIFS($C$3:$P$3,"MAT",$C10:$P10,AF$3)=0)*(COUNTIFS($C$3:$P$3,"NOTTE",$C10:$P10,AF$3)=0))+((AF10&lt;&gt;"Xp")*(COUNTIFS($C$3:$P$3,"POM",$C10:$P10,AF$3)=0)*(COUNTIFS($C$3:$P$3,"NOTTE",$C10:$P10,AF$3)=0))+((AF10&lt;&gt;"Xn")*(COUNTIFS($C$3:$P$3,"MAT",$C10:$P10,AF$3)=0)*(COUNTIFS($C$3:$P$3,"POM",$C10:$P10,AF$3)=0)*(COUNTIFS($C$3:$P$3,"NOTTE",$C10:$P10,AF$3)=0))=3,AF$3&amp;", ",AF$3&amp;IF((AF10&lt;&gt;"Xm")*(COUNTIFS($C$3:$P$3,"MAT",$C10:$P10,AF$3)=0)*(COUNTIFS($C$3:$P$3,"NOTTE",$C10:$P10,AF$3)=0),"_m","")&amp;IF((AF10&lt;&gt;"Xp")*(COUNTIFS($C$3:$P$3,"POM",$C10:$P10,AF$3)=0)*(COUNTIFS($C$3:$P$3,"NOTTE",$C10:$P10,AF$3)=0),"_p","")&amp;IF((AF10&lt;&gt;"Xn")*(COUNTIFS($C$3:$P$3,"MAT",$C10:$P10,AF$3)=0)*(COUNTIFS($C$3:$P$3,"POM",$C10:$P10,AF$3)=0)*(COUNTIFS($C$3:$P$3,"NOTTE",$C10:$P10,AF$3)=0),"_n","")&amp;", ")))</f>
        <v>VERDI, </v>
      </c>
      <c r="CJ10" s="1" t="str">
        <f aca="false">IF((AG10="X")+(AG10="Gn")+(AG10="C")+(AG9="Gn")&gt;0,"",IF(((AG10&lt;&gt;"Xm")*(COUNTIFS($C$3:$P$3,"MAT",$C10:$P10,AG$3)=0)*(COUNTIFS($C$3:$P$3,"NOTTE",$C10:$P10,AG$3)=0))+((AG10&lt;&gt;"Xp")*(COUNTIFS($C$3:$P$3,"POM",$C10:$P10,AG$3)=0)*(COUNTIFS($C$3:$P$3,"NOTTE",$C10:$P10,AG$3)=0))+((AG10&lt;&gt;"Xn")*(COUNTIFS($C$3:$P$3,"MAT",$C10:$P10,AG$3)=0)*(COUNTIFS($C$3:$P$3,"POM",$C10:$P10,AG$3)=0)*(COUNTIFS($C$3:$P$3,"NOTTE",$C10:$P10,AG$3)=0))=0,"",IF(((AG10&lt;&gt;"Xm")*(COUNTIFS($C$3:$P$3,"MAT",$C10:$P10,AG$3)=0)*(COUNTIFS($C$3:$P$3,"NOTTE",$C10:$P10,AG$3)=0))+((AG10&lt;&gt;"Xp")*(COUNTIFS($C$3:$P$3,"POM",$C10:$P10,AG$3)=0)*(COUNTIFS($C$3:$P$3,"NOTTE",$C10:$P10,AG$3)=0))+((AG10&lt;&gt;"Xn")*(COUNTIFS($C$3:$P$3,"MAT",$C10:$P10,AG$3)=0)*(COUNTIFS($C$3:$P$3,"POM",$C10:$P10,AG$3)=0)*(COUNTIFS($C$3:$P$3,"NOTTE",$C10:$P10,AG$3)=0))=3,AG$3&amp;", ",AG$3&amp;IF((AG10&lt;&gt;"Xm")*(COUNTIFS($C$3:$P$3,"MAT",$C10:$P10,AG$3)=0)*(COUNTIFS($C$3:$P$3,"NOTTE",$C10:$P10,AG$3)=0),"_m","")&amp;IF((AG10&lt;&gt;"Xp")*(COUNTIFS($C$3:$P$3,"POM",$C10:$P10,AG$3)=0)*(COUNTIFS($C$3:$P$3,"NOTTE",$C10:$P10,AG$3)=0),"_p","")&amp;IF((AG10&lt;&gt;"Xn")*(COUNTIFS($C$3:$P$3,"MAT",$C10:$P10,AG$3)=0)*(COUNTIFS($C$3:$P$3,"POM",$C10:$P10,AG$3)=0)*(COUNTIFS($C$3:$P$3,"NOTTE",$C10:$P10,AG$3)=0),"_n","")&amp;", ")))</f>
        <v/>
      </c>
      <c r="CK10" s="1" t="str">
        <f aca="false">IF((AH10="X")+(AH10="Gn")+(AH10="C")+(AH9="Gn")&gt;0,"",IF(((AH10&lt;&gt;"Xm")*(COUNTIFS($C$3:$P$3,"MAT",$C10:$P10,AH$3)=0)*(COUNTIFS($C$3:$P$3,"NOTTE",$C10:$P10,AH$3)=0))+((AH10&lt;&gt;"Xp")*(COUNTIFS($C$3:$P$3,"POM",$C10:$P10,AH$3)=0)*(COUNTIFS($C$3:$P$3,"NOTTE",$C10:$P10,AH$3)=0))+((AH10&lt;&gt;"Xn")*(COUNTIFS($C$3:$P$3,"MAT",$C10:$P10,AH$3)=0)*(COUNTIFS($C$3:$P$3,"POM",$C10:$P10,AH$3)=0)*(COUNTIFS($C$3:$P$3,"NOTTE",$C10:$P10,AH$3)=0))=0,"",IF(((AH10&lt;&gt;"Xm")*(COUNTIFS($C$3:$P$3,"MAT",$C10:$P10,AH$3)=0)*(COUNTIFS($C$3:$P$3,"NOTTE",$C10:$P10,AH$3)=0))+((AH10&lt;&gt;"Xp")*(COUNTIFS($C$3:$P$3,"POM",$C10:$P10,AH$3)=0)*(COUNTIFS($C$3:$P$3,"NOTTE",$C10:$P10,AH$3)=0))+((AH10&lt;&gt;"Xn")*(COUNTIFS($C$3:$P$3,"MAT",$C10:$P10,AH$3)=0)*(COUNTIFS($C$3:$P$3,"POM",$C10:$P10,AH$3)=0)*(COUNTIFS($C$3:$P$3,"NOTTE",$C10:$P10,AH$3)=0))=3,AH$3&amp;", ",AH$3&amp;IF((AH10&lt;&gt;"Xm")*(COUNTIFS($C$3:$P$3,"MAT",$C10:$P10,AH$3)=0)*(COUNTIFS($C$3:$P$3,"NOTTE",$C10:$P10,AH$3)=0),"_m","")&amp;IF((AH10&lt;&gt;"Xp")*(COUNTIFS($C$3:$P$3,"POM",$C10:$P10,AH$3)=0)*(COUNTIFS($C$3:$P$3,"NOTTE",$C10:$P10,AH$3)=0),"_p","")&amp;IF((AH10&lt;&gt;"Xn")*(COUNTIFS($C$3:$P$3,"MAT",$C10:$P10,AH$3)=0)*(COUNTIFS($C$3:$P$3,"POM",$C10:$P10,AH$3)=0)*(COUNTIFS($C$3:$P$3,"NOTTE",$C10:$P10,AH$3)=0),"_n","")&amp;", ")))</f>
        <v>MARINI, </v>
      </c>
      <c r="CL10" s="1" t="str">
        <f aca="false">IF((AI10="X")+(AI10="Gn")+(AI10="C")+(AI9="Gn")&gt;0,"",IF(((AI10&lt;&gt;"Xm")*(COUNTIFS($C$3:$P$3,"MAT",$C10:$P10,AI$3)=0)*(COUNTIFS($C$3:$P$3,"NOTTE",$C10:$P10,AI$3)=0))+((AI10&lt;&gt;"Xp")*(COUNTIFS($C$3:$P$3,"POM",$C10:$P10,AI$3)=0)*(COUNTIFS($C$3:$P$3,"NOTTE",$C10:$P10,AI$3)=0))+((AI10&lt;&gt;"Xn")*(COUNTIFS($C$3:$P$3,"MAT",$C10:$P10,AI$3)=0)*(COUNTIFS($C$3:$P$3,"POM",$C10:$P10,AI$3)=0)*(COUNTIFS($C$3:$P$3,"NOTTE",$C10:$P10,AI$3)=0))=0,"",IF(((AI10&lt;&gt;"Xm")*(COUNTIFS($C$3:$P$3,"MAT",$C10:$P10,AI$3)=0)*(COUNTIFS($C$3:$P$3,"NOTTE",$C10:$P10,AI$3)=0))+((AI10&lt;&gt;"Xp")*(COUNTIFS($C$3:$P$3,"POM",$C10:$P10,AI$3)=0)*(COUNTIFS($C$3:$P$3,"NOTTE",$C10:$P10,AI$3)=0))+((AI10&lt;&gt;"Xn")*(COUNTIFS($C$3:$P$3,"MAT",$C10:$P10,AI$3)=0)*(COUNTIFS($C$3:$P$3,"POM",$C10:$P10,AI$3)=0)*(COUNTIFS($C$3:$P$3,"NOTTE",$C10:$P10,AI$3)=0))=3,AI$3&amp;", ",AI$3&amp;IF((AI10&lt;&gt;"Xm")*(COUNTIFS($C$3:$P$3,"MAT",$C10:$P10,AI$3)=0)*(COUNTIFS($C$3:$P$3,"NOTTE",$C10:$P10,AI$3)=0),"_m","")&amp;IF((AI10&lt;&gt;"Xp")*(COUNTIFS($C$3:$P$3,"POM",$C10:$P10,AI$3)=0)*(COUNTIFS($C$3:$P$3,"NOTTE",$C10:$P10,AI$3)=0),"_p","")&amp;IF((AI10&lt;&gt;"Xn")*(COUNTIFS($C$3:$P$3,"MAT",$C10:$P10,AI$3)=0)*(COUNTIFS($C$3:$P$3,"POM",$C10:$P10,AI$3)=0)*(COUNTIFS($C$3:$P$3,"NOTTE",$C10:$P10,AI$3)=0),"_n","")&amp;", ")))</f>
        <v/>
      </c>
      <c r="CM10" s="1" t="str">
        <f aca="false">IF((AJ10="X")+(AJ10="Gn")+(AJ10="C")+(AJ9="Gn")&gt;0,"",IF(((AJ10&lt;&gt;"Xm")*(COUNTIFS($C$3:$P$3,"MAT",$C10:$P10,AJ$3)=0)*(COUNTIFS($C$3:$P$3,"NOTTE",$C10:$P10,AJ$3)=0))+((AJ10&lt;&gt;"Xp")*(COUNTIFS($C$3:$P$3,"POM",$C10:$P10,AJ$3)=0)*(COUNTIFS($C$3:$P$3,"NOTTE",$C10:$P10,AJ$3)=0))+((AJ10&lt;&gt;"Xn")*(COUNTIFS($C$3:$P$3,"MAT",$C10:$P10,AJ$3)=0)*(COUNTIFS($C$3:$P$3,"POM",$C10:$P10,AJ$3)=0)*(COUNTIFS($C$3:$P$3,"NOTTE",$C10:$P10,AJ$3)=0))=0,"",IF(((AJ10&lt;&gt;"Xm")*(COUNTIFS($C$3:$P$3,"MAT",$C10:$P10,AJ$3)=0)*(COUNTIFS($C$3:$P$3,"NOTTE",$C10:$P10,AJ$3)=0))+((AJ10&lt;&gt;"Xp")*(COUNTIFS($C$3:$P$3,"POM",$C10:$P10,AJ$3)=0)*(COUNTIFS($C$3:$P$3,"NOTTE",$C10:$P10,AJ$3)=0))+((AJ10&lt;&gt;"Xn")*(COUNTIFS($C$3:$P$3,"MAT",$C10:$P10,AJ$3)=0)*(COUNTIFS($C$3:$P$3,"POM",$C10:$P10,AJ$3)=0)*(COUNTIFS($C$3:$P$3,"NOTTE",$C10:$P10,AJ$3)=0))=3,AJ$3&amp;", ",AJ$3&amp;IF((AJ10&lt;&gt;"Xm")*(COUNTIFS($C$3:$P$3,"MAT",$C10:$P10,AJ$3)=0)*(COUNTIFS($C$3:$P$3,"NOTTE",$C10:$P10,AJ$3)=0),"_m","")&amp;IF((AJ10&lt;&gt;"Xp")*(COUNTIFS($C$3:$P$3,"POM",$C10:$P10,AJ$3)=0)*(COUNTIFS($C$3:$P$3,"NOTTE",$C10:$P10,AJ$3)=0),"_p","")&amp;IF((AJ10&lt;&gt;"Xn")*(COUNTIFS($C$3:$P$3,"MAT",$C10:$P10,AJ$3)=0)*(COUNTIFS($C$3:$P$3,"POM",$C10:$P10,AJ$3)=0)*(COUNTIFS($C$3:$P$3,"NOTTE",$C10:$P10,AJ$3)=0),"_n","")&amp;", ")))</f>
        <v>CONTI S, </v>
      </c>
      <c r="CN10" s="1" t="str">
        <f aca="false">IF((AK10="X")+(AK10="Gn")+(AK10="C")+(AK9="Gn")&gt;0,"",IF(((AK10&lt;&gt;"Xm")*(COUNTIFS($C$3:$P$3,"MAT",$C10:$P10,AK$3)=0)*(COUNTIFS($C$3:$P$3,"NOTTE",$C10:$P10,AK$3)=0))+((AK10&lt;&gt;"Xp")*(COUNTIFS($C$3:$P$3,"POM",$C10:$P10,AK$3)=0)*(COUNTIFS($C$3:$P$3,"NOTTE",$C10:$P10,AK$3)=0))+((AK10&lt;&gt;"Xn")*(COUNTIFS($C$3:$P$3,"MAT",$C10:$P10,AK$3)=0)*(COUNTIFS($C$3:$P$3,"POM",$C10:$P10,AK$3)=0)*(COUNTIFS($C$3:$P$3,"NOTTE",$C10:$P10,AK$3)=0))=0,"",IF(((AK10&lt;&gt;"Xm")*(COUNTIFS($C$3:$P$3,"MAT",$C10:$P10,AK$3)=0)*(COUNTIFS($C$3:$P$3,"NOTTE",$C10:$P10,AK$3)=0))+((AK10&lt;&gt;"Xp")*(COUNTIFS($C$3:$P$3,"POM",$C10:$P10,AK$3)=0)*(COUNTIFS($C$3:$P$3,"NOTTE",$C10:$P10,AK$3)=0))+((AK10&lt;&gt;"Xn")*(COUNTIFS($C$3:$P$3,"MAT",$C10:$P10,AK$3)=0)*(COUNTIFS($C$3:$P$3,"POM",$C10:$P10,AK$3)=0)*(COUNTIFS($C$3:$P$3,"NOTTE",$C10:$P10,AK$3)=0))=3,AK$3&amp;", ",AK$3&amp;IF((AK10&lt;&gt;"Xm")*(COUNTIFS($C$3:$P$3,"MAT",$C10:$P10,AK$3)=0)*(COUNTIFS($C$3:$P$3,"NOTTE",$C10:$P10,AK$3)=0),"_m","")&amp;IF((AK10&lt;&gt;"Xp")*(COUNTIFS($C$3:$P$3,"POM",$C10:$P10,AK$3)=0)*(COUNTIFS($C$3:$P$3,"NOTTE",$C10:$P10,AK$3)=0),"_p","")&amp;IF((AK10&lt;&gt;"Xn")*(COUNTIFS($C$3:$P$3,"MAT",$C10:$P10,AK$3)=0)*(COUNTIFS($C$3:$P$3,"POM",$C10:$P10,AK$3)=0)*(COUNTIFS($C$3:$P$3,"NOTTE",$C10:$P10,AK$3)=0),"_n","")&amp;", ")))</f>
        <v>FERRARI, </v>
      </c>
      <c r="CO10" s="1" t="str">
        <f aca="false">IF((AL10="X")+(AL10="Gn")+(AL10="C")+(AL9="Gn")&gt;0,"",IF(((AL10&lt;&gt;"Xm")*(COUNTIFS($C$3:$P$3,"MAT",$C10:$P10,AL$3)=0)*(COUNTIFS($C$3:$P$3,"NOTTE",$C10:$P10,AL$3)=0))+((AL10&lt;&gt;"Xp")*(COUNTIFS($C$3:$P$3,"POM",$C10:$P10,AL$3)=0)*(COUNTIFS($C$3:$P$3,"NOTTE",$C10:$P10,AL$3)=0))+((AL10&lt;&gt;"Xn")*(COUNTIFS($C$3:$P$3,"MAT",$C10:$P10,AL$3)=0)*(COUNTIFS($C$3:$P$3,"POM",$C10:$P10,AL$3)=0)*(COUNTIFS($C$3:$P$3,"NOTTE",$C10:$P10,AL$3)=0))=0,"",IF(((AL10&lt;&gt;"Xm")*(COUNTIFS($C$3:$P$3,"MAT",$C10:$P10,AL$3)=0)*(COUNTIFS($C$3:$P$3,"NOTTE",$C10:$P10,AL$3)=0))+((AL10&lt;&gt;"Xp")*(COUNTIFS($C$3:$P$3,"POM",$C10:$P10,AL$3)=0)*(COUNTIFS($C$3:$P$3,"NOTTE",$C10:$P10,AL$3)=0))+((AL10&lt;&gt;"Xn")*(COUNTIFS($C$3:$P$3,"MAT",$C10:$P10,AL$3)=0)*(COUNTIFS($C$3:$P$3,"POM",$C10:$P10,AL$3)=0)*(COUNTIFS($C$3:$P$3,"NOTTE",$C10:$P10,AL$3)=0))=3,AL$3&amp;", ",AL$3&amp;IF((AL10&lt;&gt;"Xm")*(COUNTIFS($C$3:$P$3,"MAT",$C10:$P10,AL$3)=0)*(COUNTIFS($C$3:$P$3,"NOTTE",$C10:$P10,AL$3)=0),"_m","")&amp;IF((AL10&lt;&gt;"Xp")*(COUNTIFS($C$3:$P$3,"POM",$C10:$P10,AL$3)=0)*(COUNTIFS($C$3:$P$3,"NOTTE",$C10:$P10,AL$3)=0),"_p","")&amp;IF((AL10&lt;&gt;"Xn")*(COUNTIFS($C$3:$P$3,"MAT",$C10:$P10,AL$3)=0)*(COUNTIFS($C$3:$P$3,"POM",$C10:$P10,AL$3)=0)*(COUNTIFS($C$3:$P$3,"NOTTE",$C10:$P10,AL$3)=0),"_n","")&amp;", ")))</f>
        <v>GRECO, </v>
      </c>
      <c r="CP10" s="1" t="str">
        <f aca="false">IF((AM10="X")+(AM10="Gn")+(AM10="C")+(AM9="Gn")&gt;0,"",IF(((AM10&lt;&gt;"Xm")*(COUNTIFS($C$3:$P$3,"MAT",$C10:$P10,AM$3)=0)*(COUNTIFS($C$3:$P$3,"NOTTE",$C10:$P10,AM$3)=0))+((AM10&lt;&gt;"Xp")*(COUNTIFS($C$3:$P$3,"POM",$C10:$P10,AM$3)=0)*(COUNTIFS($C$3:$P$3,"NOTTE",$C10:$P10,AM$3)=0))+((AM10&lt;&gt;"Xn")*(COUNTIFS($C$3:$P$3,"MAT",$C10:$P10,AM$3)=0)*(COUNTIFS($C$3:$P$3,"POM",$C10:$P10,AM$3)=0)*(COUNTIFS($C$3:$P$3,"NOTTE",$C10:$P10,AM$3)=0))=0,"",IF(((AM10&lt;&gt;"Xm")*(COUNTIFS($C$3:$P$3,"MAT",$C10:$P10,AM$3)=0)*(COUNTIFS($C$3:$P$3,"NOTTE",$C10:$P10,AM$3)=0))+((AM10&lt;&gt;"Xp")*(COUNTIFS($C$3:$P$3,"POM",$C10:$P10,AM$3)=0)*(COUNTIFS($C$3:$P$3,"NOTTE",$C10:$P10,AM$3)=0))+((AM10&lt;&gt;"Xn")*(COUNTIFS($C$3:$P$3,"MAT",$C10:$P10,AM$3)=0)*(COUNTIFS($C$3:$P$3,"POM",$C10:$P10,AM$3)=0)*(COUNTIFS($C$3:$P$3,"NOTTE",$C10:$P10,AM$3)=0))=3,AM$3&amp;", ",AM$3&amp;IF((AM10&lt;&gt;"Xm")*(COUNTIFS($C$3:$P$3,"MAT",$C10:$P10,AM$3)=0)*(COUNTIFS($C$3:$P$3,"NOTTE",$C10:$P10,AM$3)=0),"_m","")&amp;IF((AM10&lt;&gt;"Xp")*(COUNTIFS($C$3:$P$3,"POM",$C10:$P10,AM$3)=0)*(COUNTIFS($C$3:$P$3,"NOTTE",$C10:$P10,AM$3)=0),"_p","")&amp;IF((AM10&lt;&gt;"Xn")*(COUNTIFS($C$3:$P$3,"MAT",$C10:$P10,AM$3)=0)*(COUNTIFS($C$3:$P$3,"POM",$C10:$P10,AM$3)=0)*(COUNTIFS($C$3:$P$3,"NOTTE",$C10:$P10,AM$3)=0),"_n","")&amp;", ")))</f>
        <v>SANNA, </v>
      </c>
      <c r="CQ10" s="1" t="str">
        <f aca="false">IF((AN10="X")+(AN10="Gn")+(AN10="C")+(AN9="Gn")&gt;0,"",IF(((AN10&lt;&gt;"Xm")*(COUNTIFS($C$3:$P$3,"MAT",$C10:$P10,AN$3)=0)*(COUNTIFS($C$3:$P$3,"NOTTE",$C10:$P10,AN$3)=0))+((AN10&lt;&gt;"Xp")*(COUNTIFS($C$3:$P$3,"POM",$C10:$P10,AN$3)=0)*(COUNTIFS($C$3:$P$3,"NOTTE",$C10:$P10,AN$3)=0))+((AN10&lt;&gt;"Xn")*(COUNTIFS($C$3:$P$3,"MAT",$C10:$P10,AN$3)=0)*(COUNTIFS($C$3:$P$3,"POM",$C10:$P10,AN$3)=0)*(COUNTIFS($C$3:$P$3,"NOTTE",$C10:$P10,AN$3)=0))=0,"",IF(((AN10&lt;&gt;"Xm")*(COUNTIFS($C$3:$P$3,"MAT",$C10:$P10,AN$3)=0)*(COUNTIFS($C$3:$P$3,"NOTTE",$C10:$P10,AN$3)=0))+((AN10&lt;&gt;"Xp")*(COUNTIFS($C$3:$P$3,"POM",$C10:$P10,AN$3)=0)*(COUNTIFS($C$3:$P$3,"NOTTE",$C10:$P10,AN$3)=0))+((AN10&lt;&gt;"Xn")*(COUNTIFS($C$3:$P$3,"MAT",$C10:$P10,AN$3)=0)*(COUNTIFS($C$3:$P$3,"POM",$C10:$P10,AN$3)=0)*(COUNTIFS($C$3:$P$3,"NOTTE",$C10:$P10,AN$3)=0))=3,AN$3&amp;", ",AN$3&amp;IF((AN10&lt;&gt;"Xm")*(COUNTIFS($C$3:$P$3,"MAT",$C10:$P10,AN$3)=0)*(COUNTIFS($C$3:$P$3,"NOTTE",$C10:$P10,AN$3)=0),"_m","")&amp;IF((AN10&lt;&gt;"Xp")*(COUNTIFS($C$3:$P$3,"POM",$C10:$P10,AN$3)=0)*(COUNTIFS($C$3:$P$3,"NOTTE",$C10:$P10,AN$3)=0),"_p","")&amp;IF((AN10&lt;&gt;"Xn")*(COUNTIFS($C$3:$P$3,"MAT",$C10:$P10,AN$3)=0)*(COUNTIFS($C$3:$P$3,"POM",$C10:$P10,AN$3)=0)*(COUNTIFS($C$3:$P$3,"NOTTE",$C10:$P10,AN$3)=0),"_n","")&amp;", ")))</f>
        <v>LI, </v>
      </c>
    </row>
    <row r="11" customFormat="false" ht="15" hidden="false" customHeight="true" outlineLevel="0" collapsed="false">
      <c r="A11" s="8" t="str">
        <f aca="false">CHOOSE(WEEKDAY(DATE($B$1,$A$2,B11),2),"lunedì","martedì","mercoledì","giovedì","venerdì","sabato","domenica")</f>
        <v>domenica</v>
      </c>
      <c r="B11" s="8" t="n">
        <v>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 t="s">
        <v>27</v>
      </c>
      <c r="O11" s="8" t="s">
        <v>24</v>
      </c>
      <c r="P11" s="8" t="s">
        <v>25</v>
      </c>
      <c r="Q11" s="8"/>
      <c r="R11" s="8" t="str">
        <f aca="false">IF(SUMPRODUCT(($C$3:$P$3&lt;&gt;"")*($C11:$P11&lt;&gt;"")*(COUNTIFS($C11:$P11,$C11:$P11,$C$3:$P$3,$C$3:$P$3)&gt;1))&gt;0,"X","")</f>
        <v/>
      </c>
      <c r="S11" s="9" t="str">
        <f aca="false"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M_p_n, ROSSI L, RUSSO, HU, MARINI, CONTI A, CONTI S, GRECO, SANNA, LI</v>
      </c>
      <c r="T11" s="9" t="str">
        <f aca="false"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RUSSO_p, HU, MARINI, CONTI A, CONTI S, GRECO, SANNA, LI</v>
      </c>
      <c r="Y11" s="8" t="str">
        <f aca="false">A11</f>
        <v>domenica</v>
      </c>
      <c r="Z11" s="8" t="n">
        <f aca="false">B11</f>
        <v>8</v>
      </c>
      <c r="AA11" s="10"/>
      <c r="AB11" s="10" t="s">
        <v>46</v>
      </c>
      <c r="AC11" s="10"/>
      <c r="AD11" s="10" t="s">
        <v>44</v>
      </c>
      <c r="AE11" s="10"/>
      <c r="AF11" s="10" t="s">
        <v>42</v>
      </c>
      <c r="AG11" s="10"/>
      <c r="AH11" s="10"/>
      <c r="AI11" s="10"/>
      <c r="AJ11" s="10"/>
      <c r="AK11" s="10" t="s">
        <v>44</v>
      </c>
      <c r="AL11" s="10"/>
      <c r="AM11" s="10"/>
      <c r="AN11" s="10"/>
      <c r="AS11" s="13" t="str">
        <f aca="false">AH$3</f>
        <v>MARINI</v>
      </c>
      <c r="AT11" s="13" t="n">
        <f aca="false">COUNTIF($C$4:$D$33,$AS11)</f>
        <v>0</v>
      </c>
      <c r="AU11" s="13" t="n">
        <f aca="false">COUNTIF($E$4:$F$33,$AS11)</f>
        <v>11</v>
      </c>
      <c r="AV11" s="13" t="n">
        <f aca="false">COUNTIF($G$4:$H$33,$AS11)</f>
        <v>0</v>
      </c>
      <c r="AW11" s="13" t="n">
        <f aca="false">COUNTIF($I$4:$J$33,$AS11)</f>
        <v>0</v>
      </c>
      <c r="AX11" s="13" t="n">
        <f aca="false">COUNTIF($K$4:$K$33,$AS11)</f>
        <v>0</v>
      </c>
      <c r="AY11" s="13" t="n">
        <f aca="false">COUNTIF($L$4:$L$33,$AS11)</f>
        <v>0</v>
      </c>
      <c r="AZ11" s="13" t="n">
        <f aca="false">COUNTIF($M$4:$M$33,$AS11)</f>
        <v>0</v>
      </c>
      <c r="BA11" s="13" t="n">
        <f aca="false">COUNTIF($N$4:$P$33,$AS11)</f>
        <v>2</v>
      </c>
      <c r="BB11" s="13" t="n">
        <f aca="false">COUNTIF($C$4:$P$33,$AS11)</f>
        <v>13</v>
      </c>
      <c r="BD11" s="14" t="str">
        <f aca="false">AH$3</f>
        <v>MARINI</v>
      </c>
      <c r="BE11" s="14"/>
      <c r="BF11" s="14"/>
      <c r="BG11" s="14"/>
      <c r="BH11" s="14"/>
      <c r="BI11" s="14"/>
      <c r="BJ11" s="14"/>
      <c r="BK11" s="14"/>
      <c r="BL11" s="14"/>
      <c r="BM11" s="14"/>
      <c r="BO11" s="1" t="str">
        <f aca="false">IF((AA11="X")+(AA11="Gn")+(AA11="C")+(AA10="Gn")&gt;0,"",IF(((AA11&lt;&gt;"Xm"))+((AA11&lt;&gt;"Xp"))+((AA11&lt;&gt;"Xn"))=0,"",IF(((AA11&lt;&gt;"Xm"))+((AA11&lt;&gt;"Xp"))+((AA11&lt;&gt;"Xn"))=3,AA$3&amp;", ",AA$3&amp;IF((AA11&lt;&gt;"Xm"),"_m","")&amp;IF((AA11&lt;&gt;"Xp"),"_p","")&amp;IF((AA11&lt;&gt;"Xn"),"_n","")&amp;", ")))</f>
        <v>LEONI, </v>
      </c>
      <c r="BP11" s="1" t="str">
        <f aca="false">IF((AB11="X")+(AB11="Gn")+(AB11="C")+(AB10="Gn")&gt;0,"",IF(((AB11&lt;&gt;"Xm"))+((AB11&lt;&gt;"Xp"))+((AB11&lt;&gt;"Xn"))=0,"",IF(((AB11&lt;&gt;"Xm"))+((AB11&lt;&gt;"Xp"))+((AB11&lt;&gt;"Xn"))=3,AB$3&amp;", ",AB$3&amp;IF((AB11&lt;&gt;"Xm"),"_m","")&amp;IF((AB11&lt;&gt;"Xp"),"_p","")&amp;IF((AB11&lt;&gt;"Xn"),"_n","")&amp;", ")))</f>
        <v>ROSSI M_p_n, </v>
      </c>
      <c r="BQ11" s="1" t="str">
        <f aca="false">IF((AC11="X")+(AC11="Gn")+(AC11="C")+(AC10="Gn")&gt;0,"",IF(((AC11&lt;&gt;"Xm"))+((AC11&lt;&gt;"Xp"))+((AC11&lt;&gt;"Xn"))=0,"",IF(((AC11&lt;&gt;"Xm"))+((AC11&lt;&gt;"Xp"))+((AC11&lt;&gt;"Xn"))=3,AC$3&amp;", ",AC$3&amp;IF((AC11&lt;&gt;"Xm"),"_m","")&amp;IF((AC11&lt;&gt;"Xp"),"_p","")&amp;IF((AC11&lt;&gt;"Xn"),"_n","")&amp;", ")))</f>
        <v>ROSSI L, </v>
      </c>
      <c r="BR11" s="1" t="str">
        <f aca="false">IF((AD11="X")+(AD11="Gn")+(AD11="C")+(AD10="Gn")&gt;0,"",IF(((AD11&lt;&gt;"Xm"))+((AD11&lt;&gt;"Xp"))+((AD11&lt;&gt;"Xn"))=0,"",IF(((AD11&lt;&gt;"Xm"))+((AD11&lt;&gt;"Xp"))+((AD11&lt;&gt;"Xn"))=3,AD$3&amp;", ",AD$3&amp;IF((AD11&lt;&gt;"Xm"),"_m","")&amp;IF((AD11&lt;&gt;"Xp"),"_p","")&amp;IF((AD11&lt;&gt;"Xn"),"_n","")&amp;", ")))</f>
        <v/>
      </c>
      <c r="BS11" s="1" t="str">
        <f aca="false">IF((AE11="X")+(AE11="Gn")+(AE11="C")+(AE10="Gn")&gt;0,"",IF(((AE11&lt;&gt;"Xm"))+((AE11&lt;&gt;"Xp"))+((AE11&lt;&gt;"Xn"))=0,"",IF(((AE11&lt;&gt;"Xm"))+((AE11&lt;&gt;"Xp"))+((AE11&lt;&gt;"Xn"))=3,AE$3&amp;", ",AE$3&amp;IF((AE11&lt;&gt;"Xm"),"_m","")&amp;IF((AE11&lt;&gt;"Xp"),"_p","")&amp;IF((AE11&lt;&gt;"Xn"),"_n","")&amp;", ")))</f>
        <v>RUSSO, </v>
      </c>
      <c r="BT11" s="1" t="str">
        <f aca="false">IF((AF11="X")+(AF11="Gn")+(AF11="C")+(AF10="Gn")&gt;0,"",IF(((AF11&lt;&gt;"Xm"))+((AF11&lt;&gt;"Xp"))+((AF11&lt;&gt;"Xn"))=0,"",IF(((AF11&lt;&gt;"Xm"))+((AF11&lt;&gt;"Xp"))+((AF11&lt;&gt;"Xn"))=3,AF$3&amp;", ",AF$3&amp;IF((AF11&lt;&gt;"Xm"),"_m","")&amp;IF((AF11&lt;&gt;"Xp"),"_p","")&amp;IF((AF11&lt;&gt;"Xn"),"_n","")&amp;", ")))</f>
        <v/>
      </c>
      <c r="BU11" s="1" t="str">
        <f aca="false">IF((AG11="X")+(AG11="Gn")+(AG11="C")+(AG10="Gn")&gt;0,"",IF(((AG11&lt;&gt;"Xm"))+((AG11&lt;&gt;"Xp"))+((AG11&lt;&gt;"Xn"))=0,"",IF(((AG11&lt;&gt;"Xm"))+((AG11&lt;&gt;"Xp"))+((AG11&lt;&gt;"Xn"))=3,AG$3&amp;", ",AG$3&amp;IF((AG11&lt;&gt;"Xm"),"_m","")&amp;IF((AG11&lt;&gt;"Xp"),"_p","")&amp;IF((AG11&lt;&gt;"Xn"),"_n","")&amp;", ")))</f>
        <v>HU, </v>
      </c>
      <c r="BV11" s="1" t="str">
        <f aca="false">IF((AH11="X")+(AH11="Gn")+(AH11="C")+(AH10="Gn")&gt;0,"",IF(((AH11&lt;&gt;"Xm"))+((AH11&lt;&gt;"Xp"))+((AH11&lt;&gt;"Xn"))=0,"",IF(((AH11&lt;&gt;"Xm"))+((AH11&lt;&gt;"Xp"))+((AH11&lt;&gt;"Xn"))=3,AH$3&amp;", ",AH$3&amp;IF((AH11&lt;&gt;"Xm"),"_m","")&amp;IF((AH11&lt;&gt;"Xp"),"_p","")&amp;IF((AH11&lt;&gt;"Xn"),"_n","")&amp;", ")))</f>
        <v>MARINI, </v>
      </c>
      <c r="BW11" s="1" t="str">
        <f aca="false">IF((AI11="X")+(AI11="Gn")+(AI11="C")+(AI10="Gn")&gt;0,"",IF(((AI11&lt;&gt;"Xm"))+((AI11&lt;&gt;"Xp"))+((AI11&lt;&gt;"Xn"))=0,"",IF(((AI11&lt;&gt;"Xm"))+((AI11&lt;&gt;"Xp"))+((AI11&lt;&gt;"Xn"))=3,AI$3&amp;", ",AI$3&amp;IF((AI11&lt;&gt;"Xm"),"_m","")&amp;IF((AI11&lt;&gt;"Xp"),"_p","")&amp;IF((AI11&lt;&gt;"Xn"),"_n","")&amp;", ")))</f>
        <v>CONTI A, </v>
      </c>
      <c r="BX11" s="1" t="str">
        <f aca="false">IF((AJ11="X")+(AJ11="Gn")+(AJ11="C")+(AJ10="Gn")&gt;0,"",IF(((AJ11&lt;&gt;"Xm"))+((AJ11&lt;&gt;"Xp"))+((AJ11&lt;&gt;"Xn"))=0,"",IF(((AJ11&lt;&gt;"Xm"))+((AJ11&lt;&gt;"Xp"))+((AJ11&lt;&gt;"Xn"))=3,AJ$3&amp;", ",AJ$3&amp;IF((AJ11&lt;&gt;"Xm"),"_m","")&amp;IF((AJ11&lt;&gt;"Xp"),"_p","")&amp;IF((AJ11&lt;&gt;"Xn"),"_n","")&amp;", ")))</f>
        <v>CONTI S, </v>
      </c>
      <c r="BY11" s="1" t="str">
        <f aca="false">IF((AK11="X")+(AK11="Gn")+(AK11="C")+(AK10="Gn")&gt;0,"",IF(((AK11&lt;&gt;"Xm"))+((AK11&lt;&gt;"Xp"))+((AK11&lt;&gt;"Xn"))=0,"",IF(((AK11&lt;&gt;"Xm"))+((AK11&lt;&gt;"Xp"))+((AK11&lt;&gt;"Xn"))=3,AK$3&amp;", ",AK$3&amp;IF((AK11&lt;&gt;"Xm"),"_m","")&amp;IF((AK11&lt;&gt;"Xp"),"_p","")&amp;IF((AK11&lt;&gt;"Xn"),"_n","")&amp;", ")))</f>
        <v/>
      </c>
      <c r="BZ11" s="1" t="str">
        <f aca="false">IF((AL11="X")+(AL11="Gn")+(AL11="C")+(AL10="Gn")&gt;0,"",IF(((AL11&lt;&gt;"Xm"))+((AL11&lt;&gt;"Xp"))+((AL11&lt;&gt;"Xn"))=0,"",IF(((AL11&lt;&gt;"Xm"))+((AL11&lt;&gt;"Xp"))+((AL11&lt;&gt;"Xn"))=3,AL$3&amp;", ",AL$3&amp;IF((AL11&lt;&gt;"Xm"),"_m","")&amp;IF((AL11&lt;&gt;"Xp"),"_p","")&amp;IF((AL11&lt;&gt;"Xn"),"_n","")&amp;", ")))</f>
        <v>GRECO, </v>
      </c>
      <c r="CA11" s="1" t="str">
        <f aca="false">IF((AM11="X")+(AM11="Gn")+(AM11="C")+(AM10="Gn")&gt;0,"",IF(((AM11&lt;&gt;"Xm"))+((AM11&lt;&gt;"Xp"))+((AM11&lt;&gt;"Xn"))=0,"",IF(((AM11&lt;&gt;"Xm"))+((AM11&lt;&gt;"Xp"))+((AM11&lt;&gt;"Xn"))=3,AM$3&amp;", ",AM$3&amp;IF((AM11&lt;&gt;"Xm"),"_m","")&amp;IF((AM11&lt;&gt;"Xp"),"_p","")&amp;IF((AM11&lt;&gt;"Xn"),"_n","")&amp;", ")))</f>
        <v>SANNA, </v>
      </c>
      <c r="CB11" s="1" t="str">
        <f aca="false">IF((AN11="X")+(AN11="Gn")+(AN11="C")+(AN10="Gn")&gt;0,"",IF(((AN11&lt;&gt;"Xm"))+((AN11&lt;&gt;"Xp"))+((AN11&lt;&gt;"Xn"))=0,"",IF(((AN11&lt;&gt;"Xm"))+((AN11&lt;&gt;"Xp"))+((AN11&lt;&gt;"Xn"))=3,AN$3&amp;", ",AN$3&amp;IF((AN11&lt;&gt;"Xm"),"_m","")&amp;IF((AN11&lt;&gt;"Xp"),"_p","")&amp;IF((AN11&lt;&gt;"Xn"),"_n","")&amp;", ")))</f>
        <v>LI, </v>
      </c>
      <c r="CD11" s="1" t="str">
        <f aca="false">IF((AA11="X")+(AA11="Gn")+(AA11="C")+(AA10="Gn")&gt;0,"",IF(((AA11&lt;&gt;"Xm")*(COUNTIFS($C$3:$P$3,"MAT",$C11:$P11,AA$3)=0)*(COUNTIFS($C$3:$P$3,"NOTTE",$C11:$P11,AA$3)=0))+((AA11&lt;&gt;"Xp")*(COUNTIFS($C$3:$P$3,"POM",$C11:$P11,AA$3)=0)*(COUNTIFS($C$3:$P$3,"NOTTE",$C11:$P11,AA$3)=0))+((AA11&lt;&gt;"Xn")*(COUNTIFS($C$3:$P$3,"MAT",$C11:$P11,AA$3)=0)*(COUNTIFS($C$3:$P$3,"POM",$C11:$P11,AA$3)=0)*(COUNTIFS($C$3:$P$3,"NOTTE",$C11:$P11,AA$3)=0))=0,"",IF(((AA11&lt;&gt;"Xm")*(COUNTIFS($C$3:$P$3,"MAT",$C11:$P11,AA$3)=0)*(COUNTIFS($C$3:$P$3,"NOTTE",$C11:$P11,AA$3)=0))+((AA11&lt;&gt;"Xp")*(COUNTIFS($C$3:$P$3,"POM",$C11:$P11,AA$3)=0)*(COUNTIFS($C$3:$P$3,"NOTTE",$C11:$P11,AA$3)=0))+((AA11&lt;&gt;"Xn")*(COUNTIFS($C$3:$P$3,"MAT",$C11:$P11,AA$3)=0)*(COUNTIFS($C$3:$P$3,"POM",$C11:$P11,AA$3)=0)*(COUNTIFS($C$3:$P$3,"NOTTE",$C11:$P11,AA$3)=0))=3,AA$3&amp;", ",AA$3&amp;IF((AA11&lt;&gt;"Xm")*(COUNTIFS($C$3:$P$3,"MAT",$C11:$P11,AA$3)=0)*(COUNTIFS($C$3:$P$3,"NOTTE",$C11:$P11,AA$3)=0),"_m","")&amp;IF((AA11&lt;&gt;"Xp")*(COUNTIFS($C$3:$P$3,"POM",$C11:$P11,AA$3)=0)*(COUNTIFS($C$3:$P$3,"NOTTE",$C11:$P11,AA$3)=0),"_p","")&amp;IF((AA11&lt;&gt;"Xn")*(COUNTIFS($C$3:$P$3,"MAT",$C11:$P11,AA$3)=0)*(COUNTIFS($C$3:$P$3,"POM",$C11:$P11,AA$3)=0)*(COUNTIFS($C$3:$P$3,"NOTTE",$C11:$P11,AA$3)=0),"_n","")&amp;", ")))</f>
        <v>LEONI, </v>
      </c>
      <c r="CE11" s="1" t="str">
        <f aca="false">IF((AB11="X")+(AB11="Gn")+(AB11="C")+(AB10="Gn")&gt;0,"",IF(((AB11&lt;&gt;"Xm")*(COUNTIFS($C$3:$P$3,"MAT",$C11:$P11,AB$3)=0)*(COUNTIFS($C$3:$P$3,"NOTTE",$C11:$P11,AB$3)=0))+((AB11&lt;&gt;"Xp")*(COUNTIFS($C$3:$P$3,"POM",$C11:$P11,AB$3)=0)*(COUNTIFS($C$3:$P$3,"NOTTE",$C11:$P11,AB$3)=0))+((AB11&lt;&gt;"Xn")*(COUNTIFS($C$3:$P$3,"MAT",$C11:$P11,AB$3)=0)*(COUNTIFS($C$3:$P$3,"POM",$C11:$P11,AB$3)=0)*(COUNTIFS($C$3:$P$3,"NOTTE",$C11:$P11,AB$3)=0))=0,"",IF(((AB11&lt;&gt;"Xm")*(COUNTIFS($C$3:$P$3,"MAT",$C11:$P11,AB$3)=0)*(COUNTIFS($C$3:$P$3,"NOTTE",$C11:$P11,AB$3)=0))+((AB11&lt;&gt;"Xp")*(COUNTIFS($C$3:$P$3,"POM",$C11:$P11,AB$3)=0)*(COUNTIFS($C$3:$P$3,"NOTTE",$C11:$P11,AB$3)=0))+((AB11&lt;&gt;"Xn")*(COUNTIFS($C$3:$P$3,"MAT",$C11:$P11,AB$3)=0)*(COUNTIFS($C$3:$P$3,"POM",$C11:$P11,AB$3)=0)*(COUNTIFS($C$3:$P$3,"NOTTE",$C11:$P11,AB$3)=0))=3,AB$3&amp;", ",AB$3&amp;IF((AB11&lt;&gt;"Xm")*(COUNTIFS($C$3:$P$3,"MAT",$C11:$P11,AB$3)=0)*(COUNTIFS($C$3:$P$3,"NOTTE",$C11:$P11,AB$3)=0),"_m","")&amp;IF((AB11&lt;&gt;"Xp")*(COUNTIFS($C$3:$P$3,"POM",$C11:$P11,AB$3)=0)*(COUNTIFS($C$3:$P$3,"NOTTE",$C11:$P11,AB$3)=0),"_p","")&amp;IF((AB11&lt;&gt;"Xn")*(COUNTIFS($C$3:$P$3,"MAT",$C11:$P11,AB$3)=0)*(COUNTIFS($C$3:$P$3,"POM",$C11:$P11,AB$3)=0)*(COUNTIFS($C$3:$P$3,"NOTTE",$C11:$P11,AB$3)=0),"_n","")&amp;", ")))</f>
        <v/>
      </c>
      <c r="CF11" s="1" t="str">
        <f aca="false">IF((AC11="X")+(AC11="Gn")+(AC11="C")+(AC10="Gn")&gt;0,"",IF(((AC11&lt;&gt;"Xm")*(COUNTIFS($C$3:$P$3,"MAT",$C11:$P11,AC$3)=0)*(COUNTIFS($C$3:$P$3,"NOTTE",$C11:$P11,AC$3)=0))+((AC11&lt;&gt;"Xp")*(COUNTIFS($C$3:$P$3,"POM",$C11:$P11,AC$3)=0)*(COUNTIFS($C$3:$P$3,"NOTTE",$C11:$P11,AC$3)=0))+((AC11&lt;&gt;"Xn")*(COUNTIFS($C$3:$P$3,"MAT",$C11:$P11,AC$3)=0)*(COUNTIFS($C$3:$P$3,"POM",$C11:$P11,AC$3)=0)*(COUNTIFS($C$3:$P$3,"NOTTE",$C11:$P11,AC$3)=0))=0,"",IF(((AC11&lt;&gt;"Xm")*(COUNTIFS($C$3:$P$3,"MAT",$C11:$P11,AC$3)=0)*(COUNTIFS($C$3:$P$3,"NOTTE",$C11:$P11,AC$3)=0))+((AC11&lt;&gt;"Xp")*(COUNTIFS($C$3:$P$3,"POM",$C11:$P11,AC$3)=0)*(COUNTIFS($C$3:$P$3,"NOTTE",$C11:$P11,AC$3)=0))+((AC11&lt;&gt;"Xn")*(COUNTIFS($C$3:$P$3,"MAT",$C11:$P11,AC$3)=0)*(COUNTIFS($C$3:$P$3,"POM",$C11:$P11,AC$3)=0)*(COUNTIFS($C$3:$P$3,"NOTTE",$C11:$P11,AC$3)=0))=3,AC$3&amp;", ",AC$3&amp;IF((AC11&lt;&gt;"Xm")*(COUNTIFS($C$3:$P$3,"MAT",$C11:$P11,AC$3)=0)*(COUNTIFS($C$3:$P$3,"NOTTE",$C11:$P11,AC$3)=0),"_m","")&amp;IF((AC11&lt;&gt;"Xp")*(COUNTIFS($C$3:$P$3,"POM",$C11:$P11,AC$3)=0)*(COUNTIFS($C$3:$P$3,"NOTTE",$C11:$P11,AC$3)=0),"_p","")&amp;IF((AC11&lt;&gt;"Xn")*(COUNTIFS($C$3:$P$3,"MAT",$C11:$P11,AC$3)=0)*(COUNTIFS($C$3:$P$3,"POM",$C11:$P11,AC$3)=0)*(COUNTIFS($C$3:$P$3,"NOTTE",$C11:$P11,AC$3)=0),"_n","")&amp;", ")))</f>
        <v/>
      </c>
      <c r="CG11" s="1" t="str">
        <f aca="false">IF((AD11="X")+(AD11="Gn")+(AD11="C")+(AD10="Gn")&gt;0,"",IF(((AD11&lt;&gt;"Xm")*(COUNTIFS($C$3:$P$3,"MAT",$C11:$P11,AD$3)=0)*(COUNTIFS($C$3:$P$3,"NOTTE",$C11:$P11,AD$3)=0))+((AD11&lt;&gt;"Xp")*(COUNTIFS($C$3:$P$3,"POM",$C11:$P11,AD$3)=0)*(COUNTIFS($C$3:$P$3,"NOTTE",$C11:$P11,AD$3)=0))+((AD11&lt;&gt;"Xn")*(COUNTIFS($C$3:$P$3,"MAT",$C11:$P11,AD$3)=0)*(COUNTIFS($C$3:$P$3,"POM",$C11:$P11,AD$3)=0)*(COUNTIFS($C$3:$P$3,"NOTTE",$C11:$P11,AD$3)=0))=0,"",IF(((AD11&lt;&gt;"Xm")*(COUNTIFS($C$3:$P$3,"MAT",$C11:$P11,AD$3)=0)*(COUNTIFS($C$3:$P$3,"NOTTE",$C11:$P11,AD$3)=0))+((AD11&lt;&gt;"Xp")*(COUNTIFS($C$3:$P$3,"POM",$C11:$P11,AD$3)=0)*(COUNTIFS($C$3:$P$3,"NOTTE",$C11:$P11,AD$3)=0))+((AD11&lt;&gt;"Xn")*(COUNTIFS($C$3:$P$3,"MAT",$C11:$P11,AD$3)=0)*(COUNTIFS($C$3:$P$3,"POM",$C11:$P11,AD$3)=0)*(COUNTIFS($C$3:$P$3,"NOTTE",$C11:$P11,AD$3)=0))=3,AD$3&amp;", ",AD$3&amp;IF((AD11&lt;&gt;"Xm")*(COUNTIFS($C$3:$P$3,"MAT",$C11:$P11,AD$3)=0)*(COUNTIFS($C$3:$P$3,"NOTTE",$C11:$P11,AD$3)=0),"_m","")&amp;IF((AD11&lt;&gt;"Xp")*(COUNTIFS($C$3:$P$3,"POM",$C11:$P11,AD$3)=0)*(COUNTIFS($C$3:$P$3,"NOTTE",$C11:$P11,AD$3)=0),"_p","")&amp;IF((AD11&lt;&gt;"Xn")*(COUNTIFS($C$3:$P$3,"MAT",$C11:$P11,AD$3)=0)*(COUNTIFS($C$3:$P$3,"POM",$C11:$P11,AD$3)=0)*(COUNTIFS($C$3:$P$3,"NOTTE",$C11:$P11,AD$3)=0),"_n","")&amp;", ")))</f>
        <v/>
      </c>
      <c r="CH11" s="1" t="str">
        <f aca="false">IF((AE11="X")+(AE11="Gn")+(AE11="C")+(AE10="Gn")&gt;0,"",IF(((AE11&lt;&gt;"Xm")*(COUNTIFS($C$3:$P$3,"MAT",$C11:$P11,AE$3)=0)*(COUNTIFS($C$3:$P$3,"NOTTE",$C11:$P11,AE$3)=0))+((AE11&lt;&gt;"Xp")*(COUNTIFS($C$3:$P$3,"POM",$C11:$P11,AE$3)=0)*(COUNTIFS($C$3:$P$3,"NOTTE",$C11:$P11,AE$3)=0))+((AE11&lt;&gt;"Xn")*(COUNTIFS($C$3:$P$3,"MAT",$C11:$P11,AE$3)=0)*(COUNTIFS($C$3:$P$3,"POM",$C11:$P11,AE$3)=0)*(COUNTIFS($C$3:$P$3,"NOTTE",$C11:$P11,AE$3)=0))=0,"",IF(((AE11&lt;&gt;"Xm")*(COUNTIFS($C$3:$P$3,"MAT",$C11:$P11,AE$3)=0)*(COUNTIFS($C$3:$P$3,"NOTTE",$C11:$P11,AE$3)=0))+((AE11&lt;&gt;"Xp")*(COUNTIFS($C$3:$P$3,"POM",$C11:$P11,AE$3)=0)*(COUNTIFS($C$3:$P$3,"NOTTE",$C11:$P11,AE$3)=0))+((AE11&lt;&gt;"Xn")*(COUNTIFS($C$3:$P$3,"MAT",$C11:$P11,AE$3)=0)*(COUNTIFS($C$3:$P$3,"POM",$C11:$P11,AE$3)=0)*(COUNTIFS($C$3:$P$3,"NOTTE",$C11:$P11,AE$3)=0))=3,AE$3&amp;", ",AE$3&amp;IF((AE11&lt;&gt;"Xm")*(COUNTIFS($C$3:$P$3,"MAT",$C11:$P11,AE$3)=0)*(COUNTIFS($C$3:$P$3,"NOTTE",$C11:$P11,AE$3)=0),"_m","")&amp;IF((AE11&lt;&gt;"Xp")*(COUNTIFS($C$3:$P$3,"POM",$C11:$P11,AE$3)=0)*(COUNTIFS($C$3:$P$3,"NOTTE",$C11:$P11,AE$3)=0),"_p","")&amp;IF((AE11&lt;&gt;"Xn")*(COUNTIFS($C$3:$P$3,"MAT",$C11:$P11,AE$3)=0)*(COUNTIFS($C$3:$P$3,"POM",$C11:$P11,AE$3)=0)*(COUNTIFS($C$3:$P$3,"NOTTE",$C11:$P11,AE$3)=0),"_n","")&amp;", ")))</f>
        <v>RUSSO_p, </v>
      </c>
      <c r="CI11" s="1" t="str">
        <f aca="false">IF((AF11="X")+(AF11="Gn")+(AF11="C")+(AF10="Gn")&gt;0,"",IF(((AF11&lt;&gt;"Xm")*(COUNTIFS($C$3:$P$3,"MAT",$C11:$P11,AF$3)=0)*(COUNTIFS($C$3:$P$3,"NOTTE",$C11:$P11,AF$3)=0))+((AF11&lt;&gt;"Xp")*(COUNTIFS($C$3:$P$3,"POM",$C11:$P11,AF$3)=0)*(COUNTIFS($C$3:$P$3,"NOTTE",$C11:$P11,AF$3)=0))+((AF11&lt;&gt;"Xn")*(COUNTIFS($C$3:$P$3,"MAT",$C11:$P11,AF$3)=0)*(COUNTIFS($C$3:$P$3,"POM",$C11:$P11,AF$3)=0)*(COUNTIFS($C$3:$P$3,"NOTTE",$C11:$P11,AF$3)=0))=0,"",IF(((AF11&lt;&gt;"Xm")*(COUNTIFS($C$3:$P$3,"MAT",$C11:$P11,AF$3)=0)*(COUNTIFS($C$3:$P$3,"NOTTE",$C11:$P11,AF$3)=0))+((AF11&lt;&gt;"Xp")*(COUNTIFS($C$3:$P$3,"POM",$C11:$P11,AF$3)=0)*(COUNTIFS($C$3:$P$3,"NOTTE",$C11:$P11,AF$3)=0))+((AF11&lt;&gt;"Xn")*(COUNTIFS($C$3:$P$3,"MAT",$C11:$P11,AF$3)=0)*(COUNTIFS($C$3:$P$3,"POM",$C11:$P11,AF$3)=0)*(COUNTIFS($C$3:$P$3,"NOTTE",$C11:$P11,AF$3)=0))=3,AF$3&amp;", ",AF$3&amp;IF((AF11&lt;&gt;"Xm")*(COUNTIFS($C$3:$P$3,"MAT",$C11:$P11,AF$3)=0)*(COUNTIFS($C$3:$P$3,"NOTTE",$C11:$P11,AF$3)=0),"_m","")&amp;IF((AF11&lt;&gt;"Xp")*(COUNTIFS($C$3:$P$3,"POM",$C11:$P11,AF$3)=0)*(COUNTIFS($C$3:$P$3,"NOTTE",$C11:$P11,AF$3)=0),"_p","")&amp;IF((AF11&lt;&gt;"Xn")*(COUNTIFS($C$3:$P$3,"MAT",$C11:$P11,AF$3)=0)*(COUNTIFS($C$3:$P$3,"POM",$C11:$P11,AF$3)=0)*(COUNTIFS($C$3:$P$3,"NOTTE",$C11:$P11,AF$3)=0),"_n","")&amp;", ")))</f>
        <v/>
      </c>
      <c r="CJ11" s="1" t="str">
        <f aca="false">IF((AG11="X")+(AG11="Gn")+(AG11="C")+(AG10="Gn")&gt;0,"",IF(((AG11&lt;&gt;"Xm")*(COUNTIFS($C$3:$P$3,"MAT",$C11:$P11,AG$3)=0)*(COUNTIFS($C$3:$P$3,"NOTTE",$C11:$P11,AG$3)=0))+((AG11&lt;&gt;"Xp")*(COUNTIFS($C$3:$P$3,"POM",$C11:$P11,AG$3)=0)*(COUNTIFS($C$3:$P$3,"NOTTE",$C11:$P11,AG$3)=0))+((AG11&lt;&gt;"Xn")*(COUNTIFS($C$3:$P$3,"MAT",$C11:$P11,AG$3)=0)*(COUNTIFS($C$3:$P$3,"POM",$C11:$P11,AG$3)=0)*(COUNTIFS($C$3:$P$3,"NOTTE",$C11:$P11,AG$3)=0))=0,"",IF(((AG11&lt;&gt;"Xm")*(COUNTIFS($C$3:$P$3,"MAT",$C11:$P11,AG$3)=0)*(COUNTIFS($C$3:$P$3,"NOTTE",$C11:$P11,AG$3)=0))+((AG11&lt;&gt;"Xp")*(COUNTIFS($C$3:$P$3,"POM",$C11:$P11,AG$3)=0)*(COUNTIFS($C$3:$P$3,"NOTTE",$C11:$P11,AG$3)=0))+((AG11&lt;&gt;"Xn")*(COUNTIFS($C$3:$P$3,"MAT",$C11:$P11,AG$3)=0)*(COUNTIFS($C$3:$P$3,"POM",$C11:$P11,AG$3)=0)*(COUNTIFS($C$3:$P$3,"NOTTE",$C11:$P11,AG$3)=0))=3,AG$3&amp;", ",AG$3&amp;IF((AG11&lt;&gt;"Xm")*(COUNTIFS($C$3:$P$3,"MAT",$C11:$P11,AG$3)=0)*(COUNTIFS($C$3:$P$3,"NOTTE",$C11:$P11,AG$3)=0),"_m","")&amp;IF((AG11&lt;&gt;"Xp")*(COUNTIFS($C$3:$P$3,"POM",$C11:$P11,AG$3)=0)*(COUNTIFS($C$3:$P$3,"NOTTE",$C11:$P11,AG$3)=0),"_p","")&amp;IF((AG11&lt;&gt;"Xn")*(COUNTIFS($C$3:$P$3,"MAT",$C11:$P11,AG$3)=0)*(COUNTIFS($C$3:$P$3,"POM",$C11:$P11,AG$3)=0)*(COUNTIFS($C$3:$P$3,"NOTTE",$C11:$P11,AG$3)=0),"_n","")&amp;", ")))</f>
        <v>HU, </v>
      </c>
      <c r="CK11" s="1" t="str">
        <f aca="false">IF((AH11="X")+(AH11="Gn")+(AH11="C")+(AH10="Gn")&gt;0,"",IF(((AH11&lt;&gt;"Xm")*(COUNTIFS($C$3:$P$3,"MAT",$C11:$P11,AH$3)=0)*(COUNTIFS($C$3:$P$3,"NOTTE",$C11:$P11,AH$3)=0))+((AH11&lt;&gt;"Xp")*(COUNTIFS($C$3:$P$3,"POM",$C11:$P11,AH$3)=0)*(COUNTIFS($C$3:$P$3,"NOTTE",$C11:$P11,AH$3)=0))+((AH11&lt;&gt;"Xn")*(COUNTIFS($C$3:$P$3,"MAT",$C11:$P11,AH$3)=0)*(COUNTIFS($C$3:$P$3,"POM",$C11:$P11,AH$3)=0)*(COUNTIFS($C$3:$P$3,"NOTTE",$C11:$P11,AH$3)=0))=0,"",IF(((AH11&lt;&gt;"Xm")*(COUNTIFS($C$3:$P$3,"MAT",$C11:$P11,AH$3)=0)*(COUNTIFS($C$3:$P$3,"NOTTE",$C11:$P11,AH$3)=0))+((AH11&lt;&gt;"Xp")*(COUNTIFS($C$3:$P$3,"POM",$C11:$P11,AH$3)=0)*(COUNTIFS($C$3:$P$3,"NOTTE",$C11:$P11,AH$3)=0))+((AH11&lt;&gt;"Xn")*(COUNTIFS($C$3:$P$3,"MAT",$C11:$P11,AH$3)=0)*(COUNTIFS($C$3:$P$3,"POM",$C11:$P11,AH$3)=0)*(COUNTIFS($C$3:$P$3,"NOTTE",$C11:$P11,AH$3)=0))=3,AH$3&amp;", ",AH$3&amp;IF((AH11&lt;&gt;"Xm")*(COUNTIFS($C$3:$P$3,"MAT",$C11:$P11,AH$3)=0)*(COUNTIFS($C$3:$P$3,"NOTTE",$C11:$P11,AH$3)=0),"_m","")&amp;IF((AH11&lt;&gt;"Xp")*(COUNTIFS($C$3:$P$3,"POM",$C11:$P11,AH$3)=0)*(COUNTIFS($C$3:$P$3,"NOTTE",$C11:$P11,AH$3)=0),"_p","")&amp;IF((AH11&lt;&gt;"Xn")*(COUNTIFS($C$3:$P$3,"MAT",$C11:$P11,AH$3)=0)*(COUNTIFS($C$3:$P$3,"POM",$C11:$P11,AH$3)=0)*(COUNTIFS($C$3:$P$3,"NOTTE",$C11:$P11,AH$3)=0),"_n","")&amp;", ")))</f>
        <v>MARINI, </v>
      </c>
      <c r="CL11" s="1" t="str">
        <f aca="false">IF((AI11="X")+(AI11="Gn")+(AI11="C")+(AI10="Gn")&gt;0,"",IF(((AI11&lt;&gt;"Xm")*(COUNTIFS($C$3:$P$3,"MAT",$C11:$P11,AI$3)=0)*(COUNTIFS($C$3:$P$3,"NOTTE",$C11:$P11,AI$3)=0))+((AI11&lt;&gt;"Xp")*(COUNTIFS($C$3:$P$3,"POM",$C11:$P11,AI$3)=0)*(COUNTIFS($C$3:$P$3,"NOTTE",$C11:$P11,AI$3)=0))+((AI11&lt;&gt;"Xn")*(COUNTIFS($C$3:$P$3,"MAT",$C11:$P11,AI$3)=0)*(COUNTIFS($C$3:$P$3,"POM",$C11:$P11,AI$3)=0)*(COUNTIFS($C$3:$P$3,"NOTTE",$C11:$P11,AI$3)=0))=0,"",IF(((AI11&lt;&gt;"Xm")*(COUNTIFS($C$3:$P$3,"MAT",$C11:$P11,AI$3)=0)*(COUNTIFS($C$3:$P$3,"NOTTE",$C11:$P11,AI$3)=0))+((AI11&lt;&gt;"Xp")*(COUNTIFS($C$3:$P$3,"POM",$C11:$P11,AI$3)=0)*(COUNTIFS($C$3:$P$3,"NOTTE",$C11:$P11,AI$3)=0))+((AI11&lt;&gt;"Xn")*(COUNTIFS($C$3:$P$3,"MAT",$C11:$P11,AI$3)=0)*(COUNTIFS($C$3:$P$3,"POM",$C11:$P11,AI$3)=0)*(COUNTIFS($C$3:$P$3,"NOTTE",$C11:$P11,AI$3)=0))=3,AI$3&amp;", ",AI$3&amp;IF((AI11&lt;&gt;"Xm")*(COUNTIFS($C$3:$P$3,"MAT",$C11:$P11,AI$3)=0)*(COUNTIFS($C$3:$P$3,"NOTTE",$C11:$P11,AI$3)=0),"_m","")&amp;IF((AI11&lt;&gt;"Xp")*(COUNTIFS($C$3:$P$3,"POM",$C11:$P11,AI$3)=0)*(COUNTIFS($C$3:$P$3,"NOTTE",$C11:$P11,AI$3)=0),"_p","")&amp;IF((AI11&lt;&gt;"Xn")*(COUNTIFS($C$3:$P$3,"MAT",$C11:$P11,AI$3)=0)*(COUNTIFS($C$3:$P$3,"POM",$C11:$P11,AI$3)=0)*(COUNTIFS($C$3:$P$3,"NOTTE",$C11:$P11,AI$3)=0),"_n","")&amp;", ")))</f>
        <v>CONTI A, </v>
      </c>
      <c r="CM11" s="1" t="str">
        <f aca="false">IF((AJ11="X")+(AJ11="Gn")+(AJ11="C")+(AJ10="Gn")&gt;0,"",IF(((AJ11&lt;&gt;"Xm")*(COUNTIFS($C$3:$P$3,"MAT",$C11:$P11,AJ$3)=0)*(COUNTIFS($C$3:$P$3,"NOTTE",$C11:$P11,AJ$3)=0))+((AJ11&lt;&gt;"Xp")*(COUNTIFS($C$3:$P$3,"POM",$C11:$P11,AJ$3)=0)*(COUNTIFS($C$3:$P$3,"NOTTE",$C11:$P11,AJ$3)=0))+((AJ11&lt;&gt;"Xn")*(COUNTIFS($C$3:$P$3,"MAT",$C11:$P11,AJ$3)=0)*(COUNTIFS($C$3:$P$3,"POM",$C11:$P11,AJ$3)=0)*(COUNTIFS($C$3:$P$3,"NOTTE",$C11:$P11,AJ$3)=0))=0,"",IF(((AJ11&lt;&gt;"Xm")*(COUNTIFS($C$3:$P$3,"MAT",$C11:$P11,AJ$3)=0)*(COUNTIFS($C$3:$P$3,"NOTTE",$C11:$P11,AJ$3)=0))+((AJ11&lt;&gt;"Xp")*(COUNTIFS($C$3:$P$3,"POM",$C11:$P11,AJ$3)=0)*(COUNTIFS($C$3:$P$3,"NOTTE",$C11:$P11,AJ$3)=0))+((AJ11&lt;&gt;"Xn")*(COUNTIFS($C$3:$P$3,"MAT",$C11:$P11,AJ$3)=0)*(COUNTIFS($C$3:$P$3,"POM",$C11:$P11,AJ$3)=0)*(COUNTIFS($C$3:$P$3,"NOTTE",$C11:$P11,AJ$3)=0))=3,AJ$3&amp;", ",AJ$3&amp;IF((AJ11&lt;&gt;"Xm")*(COUNTIFS($C$3:$P$3,"MAT",$C11:$P11,AJ$3)=0)*(COUNTIFS($C$3:$P$3,"NOTTE",$C11:$P11,AJ$3)=0),"_m","")&amp;IF((AJ11&lt;&gt;"Xp")*(COUNTIFS($C$3:$P$3,"POM",$C11:$P11,AJ$3)=0)*(COUNTIFS($C$3:$P$3,"NOTTE",$C11:$P11,AJ$3)=0),"_p","")&amp;IF((AJ11&lt;&gt;"Xn")*(COUNTIFS($C$3:$P$3,"MAT",$C11:$P11,AJ$3)=0)*(COUNTIFS($C$3:$P$3,"POM",$C11:$P11,AJ$3)=0)*(COUNTIFS($C$3:$P$3,"NOTTE",$C11:$P11,AJ$3)=0),"_n","")&amp;", ")))</f>
        <v>CONTI S, </v>
      </c>
      <c r="CN11" s="1" t="str">
        <f aca="false">IF((AK11="X")+(AK11="Gn")+(AK11="C")+(AK10="Gn")&gt;0,"",IF(((AK11&lt;&gt;"Xm")*(COUNTIFS($C$3:$P$3,"MAT",$C11:$P11,AK$3)=0)*(COUNTIFS($C$3:$P$3,"NOTTE",$C11:$P11,AK$3)=0))+((AK11&lt;&gt;"Xp")*(COUNTIFS($C$3:$P$3,"POM",$C11:$P11,AK$3)=0)*(COUNTIFS($C$3:$P$3,"NOTTE",$C11:$P11,AK$3)=0))+((AK11&lt;&gt;"Xn")*(COUNTIFS($C$3:$P$3,"MAT",$C11:$P11,AK$3)=0)*(COUNTIFS($C$3:$P$3,"POM",$C11:$P11,AK$3)=0)*(COUNTIFS($C$3:$P$3,"NOTTE",$C11:$P11,AK$3)=0))=0,"",IF(((AK11&lt;&gt;"Xm")*(COUNTIFS($C$3:$P$3,"MAT",$C11:$P11,AK$3)=0)*(COUNTIFS($C$3:$P$3,"NOTTE",$C11:$P11,AK$3)=0))+((AK11&lt;&gt;"Xp")*(COUNTIFS($C$3:$P$3,"POM",$C11:$P11,AK$3)=0)*(COUNTIFS($C$3:$P$3,"NOTTE",$C11:$P11,AK$3)=0))+((AK11&lt;&gt;"Xn")*(COUNTIFS($C$3:$P$3,"MAT",$C11:$P11,AK$3)=0)*(COUNTIFS($C$3:$P$3,"POM",$C11:$P11,AK$3)=0)*(COUNTIFS($C$3:$P$3,"NOTTE",$C11:$P11,AK$3)=0))=3,AK$3&amp;", ",AK$3&amp;IF((AK11&lt;&gt;"Xm")*(COUNTIFS($C$3:$P$3,"MAT",$C11:$P11,AK$3)=0)*(COUNTIFS($C$3:$P$3,"NOTTE",$C11:$P11,AK$3)=0),"_m","")&amp;IF((AK11&lt;&gt;"Xp")*(COUNTIFS($C$3:$P$3,"POM",$C11:$P11,AK$3)=0)*(COUNTIFS($C$3:$P$3,"NOTTE",$C11:$P11,AK$3)=0),"_p","")&amp;IF((AK11&lt;&gt;"Xn")*(COUNTIFS($C$3:$P$3,"MAT",$C11:$P11,AK$3)=0)*(COUNTIFS($C$3:$P$3,"POM",$C11:$P11,AK$3)=0)*(COUNTIFS($C$3:$P$3,"NOTTE",$C11:$P11,AK$3)=0),"_n","")&amp;", ")))</f>
        <v/>
      </c>
      <c r="CO11" s="1" t="str">
        <f aca="false">IF((AL11="X")+(AL11="Gn")+(AL11="C")+(AL10="Gn")&gt;0,"",IF(((AL11&lt;&gt;"Xm")*(COUNTIFS($C$3:$P$3,"MAT",$C11:$P11,AL$3)=0)*(COUNTIFS($C$3:$P$3,"NOTTE",$C11:$P11,AL$3)=0))+((AL11&lt;&gt;"Xp")*(COUNTIFS($C$3:$P$3,"POM",$C11:$P11,AL$3)=0)*(COUNTIFS($C$3:$P$3,"NOTTE",$C11:$P11,AL$3)=0))+((AL11&lt;&gt;"Xn")*(COUNTIFS($C$3:$P$3,"MAT",$C11:$P11,AL$3)=0)*(COUNTIFS($C$3:$P$3,"POM",$C11:$P11,AL$3)=0)*(COUNTIFS($C$3:$P$3,"NOTTE",$C11:$P11,AL$3)=0))=0,"",IF(((AL11&lt;&gt;"Xm")*(COUNTIFS($C$3:$P$3,"MAT",$C11:$P11,AL$3)=0)*(COUNTIFS($C$3:$P$3,"NOTTE",$C11:$P11,AL$3)=0))+((AL11&lt;&gt;"Xp")*(COUNTIFS($C$3:$P$3,"POM",$C11:$P11,AL$3)=0)*(COUNTIFS($C$3:$P$3,"NOTTE",$C11:$P11,AL$3)=0))+((AL11&lt;&gt;"Xn")*(COUNTIFS($C$3:$P$3,"MAT",$C11:$P11,AL$3)=0)*(COUNTIFS($C$3:$P$3,"POM",$C11:$P11,AL$3)=0)*(COUNTIFS($C$3:$P$3,"NOTTE",$C11:$P11,AL$3)=0))=3,AL$3&amp;", ",AL$3&amp;IF((AL11&lt;&gt;"Xm")*(COUNTIFS($C$3:$P$3,"MAT",$C11:$P11,AL$3)=0)*(COUNTIFS($C$3:$P$3,"NOTTE",$C11:$P11,AL$3)=0),"_m","")&amp;IF((AL11&lt;&gt;"Xp")*(COUNTIFS($C$3:$P$3,"POM",$C11:$P11,AL$3)=0)*(COUNTIFS($C$3:$P$3,"NOTTE",$C11:$P11,AL$3)=0),"_p","")&amp;IF((AL11&lt;&gt;"Xn")*(COUNTIFS($C$3:$P$3,"MAT",$C11:$P11,AL$3)=0)*(COUNTIFS($C$3:$P$3,"POM",$C11:$P11,AL$3)=0)*(COUNTIFS($C$3:$P$3,"NOTTE",$C11:$P11,AL$3)=0),"_n","")&amp;", ")))</f>
        <v>GRECO, </v>
      </c>
      <c r="CP11" s="1" t="str">
        <f aca="false">IF((AM11="X")+(AM11="Gn")+(AM11="C")+(AM10="Gn")&gt;0,"",IF(((AM11&lt;&gt;"Xm")*(COUNTIFS($C$3:$P$3,"MAT",$C11:$P11,AM$3)=0)*(COUNTIFS($C$3:$P$3,"NOTTE",$C11:$P11,AM$3)=0))+((AM11&lt;&gt;"Xp")*(COUNTIFS($C$3:$P$3,"POM",$C11:$P11,AM$3)=0)*(COUNTIFS($C$3:$P$3,"NOTTE",$C11:$P11,AM$3)=0))+((AM11&lt;&gt;"Xn")*(COUNTIFS($C$3:$P$3,"MAT",$C11:$P11,AM$3)=0)*(COUNTIFS($C$3:$P$3,"POM",$C11:$P11,AM$3)=0)*(COUNTIFS($C$3:$P$3,"NOTTE",$C11:$P11,AM$3)=0))=0,"",IF(((AM11&lt;&gt;"Xm")*(COUNTIFS($C$3:$P$3,"MAT",$C11:$P11,AM$3)=0)*(COUNTIFS($C$3:$P$3,"NOTTE",$C11:$P11,AM$3)=0))+((AM11&lt;&gt;"Xp")*(COUNTIFS($C$3:$P$3,"POM",$C11:$P11,AM$3)=0)*(COUNTIFS($C$3:$P$3,"NOTTE",$C11:$P11,AM$3)=0))+((AM11&lt;&gt;"Xn")*(COUNTIFS($C$3:$P$3,"MAT",$C11:$P11,AM$3)=0)*(COUNTIFS($C$3:$P$3,"POM",$C11:$P11,AM$3)=0)*(COUNTIFS($C$3:$P$3,"NOTTE",$C11:$P11,AM$3)=0))=3,AM$3&amp;", ",AM$3&amp;IF((AM11&lt;&gt;"Xm")*(COUNTIFS($C$3:$P$3,"MAT",$C11:$P11,AM$3)=0)*(COUNTIFS($C$3:$P$3,"NOTTE",$C11:$P11,AM$3)=0),"_m","")&amp;IF((AM11&lt;&gt;"Xp")*(COUNTIFS($C$3:$P$3,"POM",$C11:$P11,AM$3)=0)*(COUNTIFS($C$3:$P$3,"NOTTE",$C11:$P11,AM$3)=0),"_p","")&amp;IF((AM11&lt;&gt;"Xn")*(COUNTIFS($C$3:$P$3,"MAT",$C11:$P11,AM$3)=0)*(COUNTIFS($C$3:$P$3,"POM",$C11:$P11,AM$3)=0)*(COUNTIFS($C$3:$P$3,"NOTTE",$C11:$P11,AM$3)=0),"_n","")&amp;", ")))</f>
        <v>SANNA, </v>
      </c>
      <c r="CQ11" s="1" t="str">
        <f aca="false">IF((AN11="X")+(AN11="Gn")+(AN11="C")+(AN10="Gn")&gt;0,"",IF(((AN11&lt;&gt;"Xm")*(COUNTIFS($C$3:$P$3,"MAT",$C11:$P11,AN$3)=0)*(COUNTIFS($C$3:$P$3,"NOTTE",$C11:$P11,AN$3)=0))+((AN11&lt;&gt;"Xp")*(COUNTIFS($C$3:$P$3,"POM",$C11:$P11,AN$3)=0)*(COUNTIFS($C$3:$P$3,"NOTTE",$C11:$P11,AN$3)=0))+((AN11&lt;&gt;"Xn")*(COUNTIFS($C$3:$P$3,"MAT",$C11:$P11,AN$3)=0)*(COUNTIFS($C$3:$P$3,"POM",$C11:$P11,AN$3)=0)*(COUNTIFS($C$3:$P$3,"NOTTE",$C11:$P11,AN$3)=0))=0,"",IF(((AN11&lt;&gt;"Xm")*(COUNTIFS($C$3:$P$3,"MAT",$C11:$P11,AN$3)=0)*(COUNTIFS($C$3:$P$3,"NOTTE",$C11:$P11,AN$3)=0))+((AN11&lt;&gt;"Xp")*(COUNTIFS($C$3:$P$3,"POM",$C11:$P11,AN$3)=0)*(COUNTIFS($C$3:$P$3,"NOTTE",$C11:$P11,AN$3)=0))+((AN11&lt;&gt;"Xn")*(COUNTIFS($C$3:$P$3,"MAT",$C11:$P11,AN$3)=0)*(COUNTIFS($C$3:$P$3,"POM",$C11:$P11,AN$3)=0)*(COUNTIFS($C$3:$P$3,"NOTTE",$C11:$P11,AN$3)=0))=3,AN$3&amp;", ",AN$3&amp;IF((AN11&lt;&gt;"Xm")*(COUNTIFS($C$3:$P$3,"MAT",$C11:$P11,AN$3)=0)*(COUNTIFS($C$3:$P$3,"NOTTE",$C11:$P11,AN$3)=0),"_m","")&amp;IF((AN11&lt;&gt;"Xp")*(COUNTIFS($C$3:$P$3,"POM",$C11:$P11,AN$3)=0)*(COUNTIFS($C$3:$P$3,"NOTTE",$C11:$P11,AN$3)=0),"_p","")&amp;IF((AN11&lt;&gt;"Xn")*(COUNTIFS($C$3:$P$3,"MAT",$C11:$P11,AN$3)=0)*(COUNTIFS($C$3:$P$3,"POM",$C11:$P11,AN$3)=0)*(COUNTIFS($C$3:$P$3,"NOTTE",$C11:$P11,AN$3)=0),"_n","")&amp;", ")))</f>
        <v>LI, </v>
      </c>
    </row>
    <row r="12" customFormat="false" ht="15" hidden="false" customHeight="true" outlineLevel="0" collapsed="false">
      <c r="A12" s="15" t="str">
        <f aca="false">CHOOSE(WEEKDAY(DATE($B$1,$A$2,B12),2),"lunedì","martedì","mercoledì","giovedì","venerdì","sabato","domenica")</f>
        <v>lunedì</v>
      </c>
      <c r="B12" s="15" t="n">
        <v>9</v>
      </c>
      <c r="C12" s="16" t="s">
        <v>28</v>
      </c>
      <c r="D12" s="16" t="s">
        <v>28</v>
      </c>
      <c r="E12" s="16" t="s">
        <v>30</v>
      </c>
      <c r="F12" s="16" t="s">
        <v>30</v>
      </c>
      <c r="G12" s="16" t="s">
        <v>32</v>
      </c>
      <c r="H12" s="16" t="s">
        <v>32</v>
      </c>
      <c r="I12" s="16" t="s">
        <v>34</v>
      </c>
      <c r="J12" s="16" t="s">
        <v>34</v>
      </c>
      <c r="K12" s="16" t="s">
        <v>29</v>
      </c>
      <c r="L12" s="16"/>
      <c r="M12" s="16" t="s">
        <v>35</v>
      </c>
      <c r="N12" s="16" t="s">
        <v>27</v>
      </c>
      <c r="O12" s="16" t="s">
        <v>27</v>
      </c>
      <c r="P12" s="16" t="s">
        <v>24</v>
      </c>
      <c r="Q12" s="16"/>
      <c r="R12" s="16" t="str">
        <f aca="false">IF(SUMPRODUCT(($C$3:$P$3&lt;&gt;"")*($C12:$P12&lt;&gt;"")*(COUNTIFS($C12:$P12,$C12:$P12,$C$3:$P$3,$C$3:$P$3)&gt;1))&gt;0,"X","")</f>
        <v/>
      </c>
      <c r="S12" s="17" t="str">
        <f aca="false"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ROSSI M, ROSSI L, RUSSO, VERDI, HU, MARINI, CONTI A_m_p, CONTI S, GRECO, SANNA, LI</v>
      </c>
      <c r="T12" s="17" t="str">
        <f aca="false"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ROSSI L, HU_p, CONTI A_m_p, SANNA_m, LI</v>
      </c>
      <c r="Y12" s="15" t="str">
        <f aca="false">A12</f>
        <v>lunedì</v>
      </c>
      <c r="Z12" s="15" t="n">
        <f aca="false">B12</f>
        <v>9</v>
      </c>
      <c r="AA12" s="16" t="s">
        <v>51</v>
      </c>
      <c r="AB12" s="16"/>
      <c r="AC12" s="16"/>
      <c r="AD12" s="16"/>
      <c r="AE12" s="16"/>
      <c r="AF12" s="16"/>
      <c r="AG12" s="16"/>
      <c r="AH12" s="16"/>
      <c r="AI12" s="16" t="s">
        <v>41</v>
      </c>
      <c r="AJ12" s="16"/>
      <c r="AK12" s="16"/>
      <c r="AL12" s="16"/>
      <c r="AM12" s="16"/>
      <c r="AN12" s="16"/>
      <c r="AS12" s="13" t="str">
        <f aca="false">AI$3</f>
        <v>CONTI A</v>
      </c>
      <c r="AT12" s="13" t="n">
        <f aca="false">COUNTIF($C$4:$D$33,$AS12)</f>
        <v>0</v>
      </c>
      <c r="AU12" s="13" t="n">
        <f aca="false">COUNTIF($E$4:$F$33,$AS12)</f>
        <v>2</v>
      </c>
      <c r="AV12" s="13" t="n">
        <f aca="false">COUNTIF($G$4:$H$33,$AS12)</f>
        <v>0</v>
      </c>
      <c r="AW12" s="13" t="n">
        <f aca="false">COUNTIF($I$4:$J$33,$AS12)</f>
        <v>16</v>
      </c>
      <c r="AX12" s="13" t="n">
        <f aca="false">COUNTIF($K$4:$K$33,$AS12)</f>
        <v>0</v>
      </c>
      <c r="AY12" s="13" t="n">
        <f aca="false">COUNTIF($L$4:$L$33,$AS12)</f>
        <v>0</v>
      </c>
      <c r="AZ12" s="13" t="n">
        <f aca="false">COUNTIF($M$4:$M$33,$AS12)</f>
        <v>0</v>
      </c>
      <c r="BA12" s="13" t="n">
        <f aca="false">COUNTIF($N$4:$P$33,$AS12)</f>
        <v>6</v>
      </c>
      <c r="BB12" s="13" t="n">
        <f aca="false">COUNTIF($C$4:$P$33,$AS12)</f>
        <v>24</v>
      </c>
      <c r="BD12" s="14" t="str">
        <f aca="false">AI$3</f>
        <v>CONTI A</v>
      </c>
      <c r="BE12" s="14"/>
      <c r="BF12" s="14"/>
      <c r="BG12" s="14"/>
      <c r="BH12" s="14"/>
      <c r="BI12" s="14"/>
      <c r="BJ12" s="14"/>
      <c r="BK12" s="14"/>
      <c r="BL12" s="14"/>
      <c r="BM12" s="14"/>
      <c r="BO12" s="1" t="str">
        <f aca="false">IF((AA12="X")+(AA12="Gn")+(AA12="C")+(AA11="Gn")&gt;0,"",IF(((AA12&lt;&gt;"Xm"))+((AA12&lt;&gt;"Xp"))+((AA12&lt;&gt;"Xn"))=0,"",IF(((AA12&lt;&gt;"Xm"))+((AA12&lt;&gt;"Xp"))+((AA12&lt;&gt;"Xn"))=3,AA$3&amp;", ",AA$3&amp;IF((AA12&lt;&gt;"Xm"),"_m","")&amp;IF((AA12&lt;&gt;"Xp"),"_p","")&amp;IF((AA12&lt;&gt;"Xn"),"_n","")&amp;", ")))</f>
        <v/>
      </c>
      <c r="BP12" s="1" t="str">
        <f aca="false">IF((AB12="X")+(AB12="Gn")+(AB12="C")+(AB11="Gn")&gt;0,"",IF(((AB12&lt;&gt;"Xm"))+((AB12&lt;&gt;"Xp"))+((AB12&lt;&gt;"Xn"))=0,"",IF(((AB12&lt;&gt;"Xm"))+((AB12&lt;&gt;"Xp"))+((AB12&lt;&gt;"Xn"))=3,AB$3&amp;", ",AB$3&amp;IF((AB12&lt;&gt;"Xm"),"_m","")&amp;IF((AB12&lt;&gt;"Xp"),"_p","")&amp;IF((AB12&lt;&gt;"Xn"),"_n","")&amp;", ")))</f>
        <v>ROSSI M, </v>
      </c>
      <c r="BQ12" s="1" t="str">
        <f aca="false">IF((AC12="X")+(AC12="Gn")+(AC12="C")+(AC11="Gn")&gt;0,"",IF(((AC12&lt;&gt;"Xm"))+((AC12&lt;&gt;"Xp"))+((AC12&lt;&gt;"Xn"))=0,"",IF(((AC12&lt;&gt;"Xm"))+((AC12&lt;&gt;"Xp"))+((AC12&lt;&gt;"Xn"))=3,AC$3&amp;", ",AC$3&amp;IF((AC12&lt;&gt;"Xm"),"_m","")&amp;IF((AC12&lt;&gt;"Xp"),"_p","")&amp;IF((AC12&lt;&gt;"Xn"),"_n","")&amp;", ")))</f>
        <v>ROSSI L, </v>
      </c>
      <c r="BR12" s="1" t="str">
        <f aca="false">IF((AD12="X")+(AD12="Gn")+(AD12="C")+(AD11="Gn")&gt;0,"",IF(((AD12&lt;&gt;"Xm"))+((AD12&lt;&gt;"Xp"))+((AD12&lt;&gt;"Xn"))=0,"",IF(((AD12&lt;&gt;"Xm"))+((AD12&lt;&gt;"Xp"))+((AD12&lt;&gt;"Xn"))=3,AD$3&amp;", ",AD$3&amp;IF((AD12&lt;&gt;"Xm"),"_m","")&amp;IF((AD12&lt;&gt;"Xp"),"_p","")&amp;IF((AD12&lt;&gt;"Xn"),"_n","")&amp;", ")))</f>
        <v/>
      </c>
      <c r="BS12" s="1" t="str">
        <f aca="false">IF((AE12="X")+(AE12="Gn")+(AE12="C")+(AE11="Gn")&gt;0,"",IF(((AE12&lt;&gt;"Xm"))+((AE12&lt;&gt;"Xp"))+((AE12&lt;&gt;"Xn"))=0,"",IF(((AE12&lt;&gt;"Xm"))+((AE12&lt;&gt;"Xp"))+((AE12&lt;&gt;"Xn"))=3,AE$3&amp;", ",AE$3&amp;IF((AE12&lt;&gt;"Xm"),"_m","")&amp;IF((AE12&lt;&gt;"Xp"),"_p","")&amp;IF((AE12&lt;&gt;"Xn"),"_n","")&amp;", ")))</f>
        <v>RUSSO, </v>
      </c>
      <c r="BT12" s="1" t="str">
        <f aca="false">IF((AF12="X")+(AF12="Gn")+(AF12="C")+(AF11="Gn")&gt;0,"",IF(((AF12&lt;&gt;"Xm"))+((AF12&lt;&gt;"Xp"))+((AF12&lt;&gt;"Xn"))=0,"",IF(((AF12&lt;&gt;"Xm"))+((AF12&lt;&gt;"Xp"))+((AF12&lt;&gt;"Xn"))=3,AF$3&amp;", ",AF$3&amp;IF((AF12&lt;&gt;"Xm"),"_m","")&amp;IF((AF12&lt;&gt;"Xp"),"_p","")&amp;IF((AF12&lt;&gt;"Xn"),"_n","")&amp;", ")))</f>
        <v>VERDI, </v>
      </c>
      <c r="BU12" s="1" t="str">
        <f aca="false">IF((AG12="X")+(AG12="Gn")+(AG12="C")+(AG11="Gn")&gt;0,"",IF(((AG12&lt;&gt;"Xm"))+((AG12&lt;&gt;"Xp"))+((AG12&lt;&gt;"Xn"))=0,"",IF(((AG12&lt;&gt;"Xm"))+((AG12&lt;&gt;"Xp"))+((AG12&lt;&gt;"Xn"))=3,AG$3&amp;", ",AG$3&amp;IF((AG12&lt;&gt;"Xm"),"_m","")&amp;IF((AG12&lt;&gt;"Xp"),"_p","")&amp;IF((AG12&lt;&gt;"Xn"),"_n","")&amp;", ")))</f>
        <v>HU, </v>
      </c>
      <c r="BV12" s="1" t="str">
        <f aca="false">IF((AH12="X")+(AH12="Gn")+(AH12="C")+(AH11="Gn")&gt;0,"",IF(((AH12&lt;&gt;"Xm"))+((AH12&lt;&gt;"Xp"))+((AH12&lt;&gt;"Xn"))=0,"",IF(((AH12&lt;&gt;"Xm"))+((AH12&lt;&gt;"Xp"))+((AH12&lt;&gt;"Xn"))=3,AH$3&amp;", ",AH$3&amp;IF((AH12&lt;&gt;"Xm"),"_m","")&amp;IF((AH12&lt;&gt;"Xp"),"_p","")&amp;IF((AH12&lt;&gt;"Xn"),"_n","")&amp;", ")))</f>
        <v>MARINI, </v>
      </c>
      <c r="BW12" s="1" t="str">
        <f aca="false">IF((AI12="X")+(AI12="Gn")+(AI12="C")+(AI11="Gn")&gt;0,"",IF(((AI12&lt;&gt;"Xm"))+((AI12&lt;&gt;"Xp"))+((AI12&lt;&gt;"Xn"))=0,"",IF(((AI12&lt;&gt;"Xm"))+((AI12&lt;&gt;"Xp"))+((AI12&lt;&gt;"Xn"))=3,AI$3&amp;", ",AI$3&amp;IF((AI12&lt;&gt;"Xm"),"_m","")&amp;IF((AI12&lt;&gt;"Xp"),"_p","")&amp;IF((AI12&lt;&gt;"Xn"),"_n","")&amp;", ")))</f>
        <v>CONTI A_m_p, </v>
      </c>
      <c r="BX12" s="1" t="str">
        <f aca="false">IF((AJ12="X")+(AJ12="Gn")+(AJ12="C")+(AJ11="Gn")&gt;0,"",IF(((AJ12&lt;&gt;"Xm"))+((AJ12&lt;&gt;"Xp"))+((AJ12&lt;&gt;"Xn"))=0,"",IF(((AJ12&lt;&gt;"Xm"))+((AJ12&lt;&gt;"Xp"))+((AJ12&lt;&gt;"Xn"))=3,AJ$3&amp;", ",AJ$3&amp;IF((AJ12&lt;&gt;"Xm"),"_m","")&amp;IF((AJ12&lt;&gt;"Xp"),"_p","")&amp;IF((AJ12&lt;&gt;"Xn"),"_n","")&amp;", ")))</f>
        <v>CONTI S, </v>
      </c>
      <c r="BY12" s="1" t="str">
        <f aca="false">IF((AK12="X")+(AK12="Gn")+(AK12="C")+(AK11="Gn")&gt;0,"",IF(((AK12&lt;&gt;"Xm"))+((AK12&lt;&gt;"Xp"))+((AK12&lt;&gt;"Xn"))=0,"",IF(((AK12&lt;&gt;"Xm"))+((AK12&lt;&gt;"Xp"))+((AK12&lt;&gt;"Xn"))=3,AK$3&amp;", ",AK$3&amp;IF((AK12&lt;&gt;"Xm"),"_m","")&amp;IF((AK12&lt;&gt;"Xp"),"_p","")&amp;IF((AK12&lt;&gt;"Xn"),"_n","")&amp;", ")))</f>
        <v/>
      </c>
      <c r="BZ12" s="1" t="str">
        <f aca="false">IF((AL12="X")+(AL12="Gn")+(AL12="C")+(AL11="Gn")&gt;0,"",IF(((AL12&lt;&gt;"Xm"))+((AL12&lt;&gt;"Xp"))+((AL12&lt;&gt;"Xn"))=0,"",IF(((AL12&lt;&gt;"Xm"))+((AL12&lt;&gt;"Xp"))+((AL12&lt;&gt;"Xn"))=3,AL$3&amp;", ",AL$3&amp;IF((AL12&lt;&gt;"Xm"),"_m","")&amp;IF((AL12&lt;&gt;"Xp"),"_p","")&amp;IF((AL12&lt;&gt;"Xn"),"_n","")&amp;", ")))</f>
        <v>GRECO, </v>
      </c>
      <c r="CA12" s="1" t="str">
        <f aca="false">IF((AM12="X")+(AM12="Gn")+(AM12="C")+(AM11="Gn")&gt;0,"",IF(((AM12&lt;&gt;"Xm"))+((AM12&lt;&gt;"Xp"))+((AM12&lt;&gt;"Xn"))=0,"",IF(((AM12&lt;&gt;"Xm"))+((AM12&lt;&gt;"Xp"))+((AM12&lt;&gt;"Xn"))=3,AM$3&amp;", ",AM$3&amp;IF((AM12&lt;&gt;"Xm"),"_m","")&amp;IF((AM12&lt;&gt;"Xp"),"_p","")&amp;IF((AM12&lt;&gt;"Xn"),"_n","")&amp;", ")))</f>
        <v>SANNA, </v>
      </c>
      <c r="CB12" s="1" t="str">
        <f aca="false">IF((AN12="X")+(AN12="Gn")+(AN12="C")+(AN11="Gn")&gt;0,"",IF(((AN12&lt;&gt;"Xm"))+((AN12&lt;&gt;"Xp"))+((AN12&lt;&gt;"Xn"))=0,"",IF(((AN12&lt;&gt;"Xm"))+((AN12&lt;&gt;"Xp"))+((AN12&lt;&gt;"Xn"))=3,AN$3&amp;", ",AN$3&amp;IF((AN12&lt;&gt;"Xm"),"_m","")&amp;IF((AN12&lt;&gt;"Xp"),"_p","")&amp;IF((AN12&lt;&gt;"Xn"),"_n","")&amp;", ")))</f>
        <v>LI, </v>
      </c>
      <c r="CD12" s="1" t="str">
        <f aca="false">IF((AA12="X")+(AA12="Gn")+(AA12="C")+(AA11="Gn")&gt;0,"",IF(((AA12&lt;&gt;"Xm")*(COUNTIFS($C$3:$P$3,"MAT",$C12:$P12,AA$3)=0)*(COUNTIFS($C$3:$P$3,"NOTTE",$C12:$P12,AA$3)=0))+((AA12&lt;&gt;"Xp")*(COUNTIFS($C$3:$P$3,"POM",$C12:$P12,AA$3)=0)*(COUNTIFS($C$3:$P$3,"NOTTE",$C12:$P12,AA$3)=0))+((AA12&lt;&gt;"Xn")*(COUNTIFS($C$3:$P$3,"MAT",$C12:$P12,AA$3)=0)*(COUNTIFS($C$3:$P$3,"POM",$C12:$P12,AA$3)=0)*(COUNTIFS($C$3:$P$3,"NOTTE",$C12:$P12,AA$3)=0))=0,"",IF(((AA12&lt;&gt;"Xm")*(COUNTIFS($C$3:$P$3,"MAT",$C12:$P12,AA$3)=0)*(COUNTIFS($C$3:$P$3,"NOTTE",$C12:$P12,AA$3)=0))+((AA12&lt;&gt;"Xp")*(COUNTIFS($C$3:$P$3,"POM",$C12:$P12,AA$3)=0)*(COUNTIFS($C$3:$P$3,"NOTTE",$C12:$P12,AA$3)=0))+((AA12&lt;&gt;"Xn")*(COUNTIFS($C$3:$P$3,"MAT",$C12:$P12,AA$3)=0)*(COUNTIFS($C$3:$P$3,"POM",$C12:$P12,AA$3)=0)*(COUNTIFS($C$3:$P$3,"NOTTE",$C12:$P12,AA$3)=0))=3,AA$3&amp;", ",AA$3&amp;IF((AA12&lt;&gt;"Xm")*(COUNTIFS($C$3:$P$3,"MAT",$C12:$P12,AA$3)=0)*(COUNTIFS($C$3:$P$3,"NOTTE",$C12:$P12,AA$3)=0),"_m","")&amp;IF((AA12&lt;&gt;"Xp")*(COUNTIFS($C$3:$P$3,"POM",$C12:$P12,AA$3)=0)*(COUNTIFS($C$3:$P$3,"NOTTE",$C12:$P12,AA$3)=0),"_p","")&amp;IF((AA12&lt;&gt;"Xn")*(COUNTIFS($C$3:$P$3,"MAT",$C12:$P12,AA$3)=0)*(COUNTIFS($C$3:$P$3,"POM",$C12:$P12,AA$3)=0)*(COUNTIFS($C$3:$P$3,"NOTTE",$C12:$P12,AA$3)=0),"_n","")&amp;", ")))</f>
        <v/>
      </c>
      <c r="CE12" s="1" t="str">
        <f aca="false">IF((AB12="X")+(AB12="Gn")+(AB12="C")+(AB11="Gn")&gt;0,"",IF(((AB12&lt;&gt;"Xm")*(COUNTIFS($C$3:$P$3,"MAT",$C12:$P12,AB$3)=0)*(COUNTIFS($C$3:$P$3,"NOTTE",$C12:$P12,AB$3)=0))+((AB12&lt;&gt;"Xp")*(COUNTIFS($C$3:$P$3,"POM",$C12:$P12,AB$3)=0)*(COUNTIFS($C$3:$P$3,"NOTTE",$C12:$P12,AB$3)=0))+((AB12&lt;&gt;"Xn")*(COUNTIFS($C$3:$P$3,"MAT",$C12:$P12,AB$3)=0)*(COUNTIFS($C$3:$P$3,"POM",$C12:$P12,AB$3)=0)*(COUNTIFS($C$3:$P$3,"NOTTE",$C12:$P12,AB$3)=0))=0,"",IF(((AB12&lt;&gt;"Xm")*(COUNTIFS($C$3:$P$3,"MAT",$C12:$P12,AB$3)=0)*(COUNTIFS($C$3:$P$3,"NOTTE",$C12:$P12,AB$3)=0))+((AB12&lt;&gt;"Xp")*(COUNTIFS($C$3:$P$3,"POM",$C12:$P12,AB$3)=0)*(COUNTIFS($C$3:$P$3,"NOTTE",$C12:$P12,AB$3)=0))+((AB12&lt;&gt;"Xn")*(COUNTIFS($C$3:$P$3,"MAT",$C12:$P12,AB$3)=0)*(COUNTIFS($C$3:$P$3,"POM",$C12:$P12,AB$3)=0)*(COUNTIFS($C$3:$P$3,"NOTTE",$C12:$P12,AB$3)=0))=3,AB$3&amp;", ",AB$3&amp;IF((AB12&lt;&gt;"Xm")*(COUNTIFS($C$3:$P$3,"MAT",$C12:$P12,AB$3)=0)*(COUNTIFS($C$3:$P$3,"NOTTE",$C12:$P12,AB$3)=0),"_m","")&amp;IF((AB12&lt;&gt;"Xp")*(COUNTIFS($C$3:$P$3,"POM",$C12:$P12,AB$3)=0)*(COUNTIFS($C$3:$P$3,"NOTTE",$C12:$P12,AB$3)=0),"_p","")&amp;IF((AB12&lt;&gt;"Xn")*(COUNTIFS($C$3:$P$3,"MAT",$C12:$P12,AB$3)=0)*(COUNTIFS($C$3:$P$3,"POM",$C12:$P12,AB$3)=0)*(COUNTIFS($C$3:$P$3,"NOTTE",$C12:$P12,AB$3)=0),"_n","")&amp;", ")))</f>
        <v/>
      </c>
      <c r="CF12" s="1" t="str">
        <f aca="false">IF((AC12="X")+(AC12="Gn")+(AC12="C")+(AC11="Gn")&gt;0,"",IF(((AC12&lt;&gt;"Xm")*(COUNTIFS($C$3:$P$3,"MAT",$C12:$P12,AC$3)=0)*(COUNTIFS($C$3:$P$3,"NOTTE",$C12:$P12,AC$3)=0))+((AC12&lt;&gt;"Xp")*(COUNTIFS($C$3:$P$3,"POM",$C12:$P12,AC$3)=0)*(COUNTIFS($C$3:$P$3,"NOTTE",$C12:$P12,AC$3)=0))+((AC12&lt;&gt;"Xn")*(COUNTIFS($C$3:$P$3,"MAT",$C12:$P12,AC$3)=0)*(COUNTIFS($C$3:$P$3,"POM",$C12:$P12,AC$3)=0)*(COUNTIFS($C$3:$P$3,"NOTTE",$C12:$P12,AC$3)=0))=0,"",IF(((AC12&lt;&gt;"Xm")*(COUNTIFS($C$3:$P$3,"MAT",$C12:$P12,AC$3)=0)*(COUNTIFS($C$3:$P$3,"NOTTE",$C12:$P12,AC$3)=0))+((AC12&lt;&gt;"Xp")*(COUNTIFS($C$3:$P$3,"POM",$C12:$P12,AC$3)=0)*(COUNTIFS($C$3:$P$3,"NOTTE",$C12:$P12,AC$3)=0))+((AC12&lt;&gt;"Xn")*(COUNTIFS($C$3:$P$3,"MAT",$C12:$P12,AC$3)=0)*(COUNTIFS($C$3:$P$3,"POM",$C12:$P12,AC$3)=0)*(COUNTIFS($C$3:$P$3,"NOTTE",$C12:$P12,AC$3)=0))=3,AC$3&amp;", ",AC$3&amp;IF((AC12&lt;&gt;"Xm")*(COUNTIFS($C$3:$P$3,"MAT",$C12:$P12,AC$3)=0)*(COUNTIFS($C$3:$P$3,"NOTTE",$C12:$P12,AC$3)=0),"_m","")&amp;IF((AC12&lt;&gt;"Xp")*(COUNTIFS($C$3:$P$3,"POM",$C12:$P12,AC$3)=0)*(COUNTIFS($C$3:$P$3,"NOTTE",$C12:$P12,AC$3)=0),"_p","")&amp;IF((AC12&lt;&gt;"Xn")*(COUNTIFS($C$3:$P$3,"MAT",$C12:$P12,AC$3)=0)*(COUNTIFS($C$3:$P$3,"POM",$C12:$P12,AC$3)=0)*(COUNTIFS($C$3:$P$3,"NOTTE",$C12:$P12,AC$3)=0),"_n","")&amp;", ")))</f>
        <v>ROSSI L, </v>
      </c>
      <c r="CG12" s="1" t="str">
        <f aca="false">IF((AD12="X")+(AD12="Gn")+(AD12="C")+(AD11="Gn")&gt;0,"",IF(((AD12&lt;&gt;"Xm")*(COUNTIFS($C$3:$P$3,"MAT",$C12:$P12,AD$3)=0)*(COUNTIFS($C$3:$P$3,"NOTTE",$C12:$P12,AD$3)=0))+((AD12&lt;&gt;"Xp")*(COUNTIFS($C$3:$P$3,"POM",$C12:$P12,AD$3)=0)*(COUNTIFS($C$3:$P$3,"NOTTE",$C12:$P12,AD$3)=0))+((AD12&lt;&gt;"Xn")*(COUNTIFS($C$3:$P$3,"MAT",$C12:$P12,AD$3)=0)*(COUNTIFS($C$3:$P$3,"POM",$C12:$P12,AD$3)=0)*(COUNTIFS($C$3:$P$3,"NOTTE",$C12:$P12,AD$3)=0))=0,"",IF(((AD12&lt;&gt;"Xm")*(COUNTIFS($C$3:$P$3,"MAT",$C12:$P12,AD$3)=0)*(COUNTIFS($C$3:$P$3,"NOTTE",$C12:$P12,AD$3)=0))+((AD12&lt;&gt;"Xp")*(COUNTIFS($C$3:$P$3,"POM",$C12:$P12,AD$3)=0)*(COUNTIFS($C$3:$P$3,"NOTTE",$C12:$P12,AD$3)=0))+((AD12&lt;&gt;"Xn")*(COUNTIFS($C$3:$P$3,"MAT",$C12:$P12,AD$3)=0)*(COUNTIFS($C$3:$P$3,"POM",$C12:$P12,AD$3)=0)*(COUNTIFS($C$3:$P$3,"NOTTE",$C12:$P12,AD$3)=0))=3,AD$3&amp;", ",AD$3&amp;IF((AD12&lt;&gt;"Xm")*(COUNTIFS($C$3:$P$3,"MAT",$C12:$P12,AD$3)=0)*(COUNTIFS($C$3:$P$3,"NOTTE",$C12:$P12,AD$3)=0),"_m","")&amp;IF((AD12&lt;&gt;"Xp")*(COUNTIFS($C$3:$P$3,"POM",$C12:$P12,AD$3)=0)*(COUNTIFS($C$3:$P$3,"NOTTE",$C12:$P12,AD$3)=0),"_p","")&amp;IF((AD12&lt;&gt;"Xn")*(COUNTIFS($C$3:$P$3,"MAT",$C12:$P12,AD$3)=0)*(COUNTIFS($C$3:$P$3,"POM",$C12:$P12,AD$3)=0)*(COUNTIFS($C$3:$P$3,"NOTTE",$C12:$P12,AD$3)=0),"_n","")&amp;", ")))</f>
        <v/>
      </c>
      <c r="CH12" s="1" t="str">
        <f aca="false">IF((AE12="X")+(AE12="Gn")+(AE12="C")+(AE11="Gn")&gt;0,"",IF(((AE12&lt;&gt;"Xm")*(COUNTIFS($C$3:$P$3,"MAT",$C12:$P12,AE$3)=0)*(COUNTIFS($C$3:$P$3,"NOTTE",$C12:$P12,AE$3)=0))+((AE12&lt;&gt;"Xp")*(COUNTIFS($C$3:$P$3,"POM",$C12:$P12,AE$3)=0)*(COUNTIFS($C$3:$P$3,"NOTTE",$C12:$P12,AE$3)=0))+((AE12&lt;&gt;"Xn")*(COUNTIFS($C$3:$P$3,"MAT",$C12:$P12,AE$3)=0)*(COUNTIFS($C$3:$P$3,"POM",$C12:$P12,AE$3)=0)*(COUNTIFS($C$3:$P$3,"NOTTE",$C12:$P12,AE$3)=0))=0,"",IF(((AE12&lt;&gt;"Xm")*(COUNTIFS($C$3:$P$3,"MAT",$C12:$P12,AE$3)=0)*(COUNTIFS($C$3:$P$3,"NOTTE",$C12:$P12,AE$3)=0))+((AE12&lt;&gt;"Xp")*(COUNTIFS($C$3:$P$3,"POM",$C12:$P12,AE$3)=0)*(COUNTIFS($C$3:$P$3,"NOTTE",$C12:$P12,AE$3)=0))+((AE12&lt;&gt;"Xn")*(COUNTIFS($C$3:$P$3,"MAT",$C12:$P12,AE$3)=0)*(COUNTIFS($C$3:$P$3,"POM",$C12:$P12,AE$3)=0)*(COUNTIFS($C$3:$P$3,"NOTTE",$C12:$P12,AE$3)=0))=3,AE$3&amp;", ",AE$3&amp;IF((AE12&lt;&gt;"Xm")*(COUNTIFS($C$3:$P$3,"MAT",$C12:$P12,AE$3)=0)*(COUNTIFS($C$3:$P$3,"NOTTE",$C12:$P12,AE$3)=0),"_m","")&amp;IF((AE12&lt;&gt;"Xp")*(COUNTIFS($C$3:$P$3,"POM",$C12:$P12,AE$3)=0)*(COUNTIFS($C$3:$P$3,"NOTTE",$C12:$P12,AE$3)=0),"_p","")&amp;IF((AE12&lt;&gt;"Xn")*(COUNTIFS($C$3:$P$3,"MAT",$C12:$P12,AE$3)=0)*(COUNTIFS($C$3:$P$3,"POM",$C12:$P12,AE$3)=0)*(COUNTIFS($C$3:$P$3,"NOTTE",$C12:$P12,AE$3)=0),"_n","")&amp;", ")))</f>
        <v/>
      </c>
      <c r="CI12" s="1" t="str">
        <f aca="false">IF((AF12="X")+(AF12="Gn")+(AF12="C")+(AF11="Gn")&gt;0,"",IF(((AF12&lt;&gt;"Xm")*(COUNTIFS($C$3:$P$3,"MAT",$C12:$P12,AF$3)=0)*(COUNTIFS($C$3:$P$3,"NOTTE",$C12:$P12,AF$3)=0))+((AF12&lt;&gt;"Xp")*(COUNTIFS($C$3:$P$3,"POM",$C12:$P12,AF$3)=0)*(COUNTIFS($C$3:$P$3,"NOTTE",$C12:$P12,AF$3)=0))+((AF12&lt;&gt;"Xn")*(COUNTIFS($C$3:$P$3,"MAT",$C12:$P12,AF$3)=0)*(COUNTIFS($C$3:$P$3,"POM",$C12:$P12,AF$3)=0)*(COUNTIFS($C$3:$P$3,"NOTTE",$C12:$P12,AF$3)=0))=0,"",IF(((AF12&lt;&gt;"Xm")*(COUNTIFS($C$3:$P$3,"MAT",$C12:$P12,AF$3)=0)*(COUNTIFS($C$3:$P$3,"NOTTE",$C12:$P12,AF$3)=0))+((AF12&lt;&gt;"Xp")*(COUNTIFS($C$3:$P$3,"POM",$C12:$P12,AF$3)=0)*(COUNTIFS($C$3:$P$3,"NOTTE",$C12:$P12,AF$3)=0))+((AF12&lt;&gt;"Xn")*(COUNTIFS($C$3:$P$3,"MAT",$C12:$P12,AF$3)=0)*(COUNTIFS($C$3:$P$3,"POM",$C12:$P12,AF$3)=0)*(COUNTIFS($C$3:$P$3,"NOTTE",$C12:$P12,AF$3)=0))=3,AF$3&amp;", ",AF$3&amp;IF((AF12&lt;&gt;"Xm")*(COUNTIFS($C$3:$P$3,"MAT",$C12:$P12,AF$3)=0)*(COUNTIFS($C$3:$P$3,"NOTTE",$C12:$P12,AF$3)=0),"_m","")&amp;IF((AF12&lt;&gt;"Xp")*(COUNTIFS($C$3:$P$3,"POM",$C12:$P12,AF$3)=0)*(COUNTIFS($C$3:$P$3,"NOTTE",$C12:$P12,AF$3)=0),"_p","")&amp;IF((AF12&lt;&gt;"Xn")*(COUNTIFS($C$3:$P$3,"MAT",$C12:$P12,AF$3)=0)*(COUNTIFS($C$3:$P$3,"POM",$C12:$P12,AF$3)=0)*(COUNTIFS($C$3:$P$3,"NOTTE",$C12:$P12,AF$3)=0),"_n","")&amp;", ")))</f>
        <v/>
      </c>
      <c r="CJ12" s="1" t="str">
        <f aca="false">IF((AG12="X")+(AG12="Gn")+(AG12="C")+(AG11="Gn")&gt;0,"",IF(((AG12&lt;&gt;"Xm")*(COUNTIFS($C$3:$P$3,"MAT",$C12:$P12,AG$3)=0)*(COUNTIFS($C$3:$P$3,"NOTTE",$C12:$P12,AG$3)=0))+((AG12&lt;&gt;"Xp")*(COUNTIFS($C$3:$P$3,"POM",$C12:$P12,AG$3)=0)*(COUNTIFS($C$3:$P$3,"NOTTE",$C12:$P12,AG$3)=0))+((AG12&lt;&gt;"Xn")*(COUNTIFS($C$3:$P$3,"MAT",$C12:$P12,AG$3)=0)*(COUNTIFS($C$3:$P$3,"POM",$C12:$P12,AG$3)=0)*(COUNTIFS($C$3:$P$3,"NOTTE",$C12:$P12,AG$3)=0))=0,"",IF(((AG12&lt;&gt;"Xm")*(COUNTIFS($C$3:$P$3,"MAT",$C12:$P12,AG$3)=0)*(COUNTIFS($C$3:$P$3,"NOTTE",$C12:$P12,AG$3)=0))+((AG12&lt;&gt;"Xp")*(COUNTIFS($C$3:$P$3,"POM",$C12:$P12,AG$3)=0)*(COUNTIFS($C$3:$P$3,"NOTTE",$C12:$P12,AG$3)=0))+((AG12&lt;&gt;"Xn")*(COUNTIFS($C$3:$P$3,"MAT",$C12:$P12,AG$3)=0)*(COUNTIFS($C$3:$P$3,"POM",$C12:$P12,AG$3)=0)*(COUNTIFS($C$3:$P$3,"NOTTE",$C12:$P12,AG$3)=0))=3,AG$3&amp;", ",AG$3&amp;IF((AG12&lt;&gt;"Xm")*(COUNTIFS($C$3:$P$3,"MAT",$C12:$P12,AG$3)=0)*(COUNTIFS($C$3:$P$3,"NOTTE",$C12:$P12,AG$3)=0),"_m","")&amp;IF((AG12&lt;&gt;"Xp")*(COUNTIFS($C$3:$P$3,"POM",$C12:$P12,AG$3)=0)*(COUNTIFS($C$3:$P$3,"NOTTE",$C12:$P12,AG$3)=0),"_p","")&amp;IF((AG12&lt;&gt;"Xn")*(COUNTIFS($C$3:$P$3,"MAT",$C12:$P12,AG$3)=0)*(COUNTIFS($C$3:$P$3,"POM",$C12:$P12,AG$3)=0)*(COUNTIFS($C$3:$P$3,"NOTTE",$C12:$P12,AG$3)=0),"_n","")&amp;", ")))</f>
        <v>HU_p, </v>
      </c>
      <c r="CK12" s="1" t="str">
        <f aca="false">IF((AH12="X")+(AH12="Gn")+(AH12="C")+(AH11="Gn")&gt;0,"",IF(((AH12&lt;&gt;"Xm")*(COUNTIFS($C$3:$P$3,"MAT",$C12:$P12,AH$3)=0)*(COUNTIFS($C$3:$P$3,"NOTTE",$C12:$P12,AH$3)=0))+((AH12&lt;&gt;"Xp")*(COUNTIFS($C$3:$P$3,"POM",$C12:$P12,AH$3)=0)*(COUNTIFS($C$3:$P$3,"NOTTE",$C12:$P12,AH$3)=0))+((AH12&lt;&gt;"Xn")*(COUNTIFS($C$3:$P$3,"MAT",$C12:$P12,AH$3)=0)*(COUNTIFS($C$3:$P$3,"POM",$C12:$P12,AH$3)=0)*(COUNTIFS($C$3:$P$3,"NOTTE",$C12:$P12,AH$3)=0))=0,"",IF(((AH12&lt;&gt;"Xm")*(COUNTIFS($C$3:$P$3,"MAT",$C12:$P12,AH$3)=0)*(COUNTIFS($C$3:$P$3,"NOTTE",$C12:$P12,AH$3)=0))+((AH12&lt;&gt;"Xp")*(COUNTIFS($C$3:$P$3,"POM",$C12:$P12,AH$3)=0)*(COUNTIFS($C$3:$P$3,"NOTTE",$C12:$P12,AH$3)=0))+((AH12&lt;&gt;"Xn")*(COUNTIFS($C$3:$P$3,"MAT",$C12:$P12,AH$3)=0)*(COUNTIFS($C$3:$P$3,"POM",$C12:$P12,AH$3)=0)*(COUNTIFS($C$3:$P$3,"NOTTE",$C12:$P12,AH$3)=0))=3,AH$3&amp;", ",AH$3&amp;IF((AH12&lt;&gt;"Xm")*(COUNTIFS($C$3:$P$3,"MAT",$C12:$P12,AH$3)=0)*(COUNTIFS($C$3:$P$3,"NOTTE",$C12:$P12,AH$3)=0),"_m","")&amp;IF((AH12&lt;&gt;"Xp")*(COUNTIFS($C$3:$P$3,"POM",$C12:$P12,AH$3)=0)*(COUNTIFS($C$3:$P$3,"NOTTE",$C12:$P12,AH$3)=0),"_p","")&amp;IF((AH12&lt;&gt;"Xn")*(COUNTIFS($C$3:$P$3,"MAT",$C12:$P12,AH$3)=0)*(COUNTIFS($C$3:$P$3,"POM",$C12:$P12,AH$3)=0)*(COUNTIFS($C$3:$P$3,"NOTTE",$C12:$P12,AH$3)=0),"_n","")&amp;", ")))</f>
        <v/>
      </c>
      <c r="CL12" s="1" t="str">
        <f aca="false">IF((AI12="X")+(AI12="Gn")+(AI12="C")+(AI11="Gn")&gt;0,"",IF(((AI12&lt;&gt;"Xm")*(COUNTIFS($C$3:$P$3,"MAT",$C12:$P12,AI$3)=0)*(COUNTIFS($C$3:$P$3,"NOTTE",$C12:$P12,AI$3)=0))+((AI12&lt;&gt;"Xp")*(COUNTIFS($C$3:$P$3,"POM",$C12:$P12,AI$3)=0)*(COUNTIFS($C$3:$P$3,"NOTTE",$C12:$P12,AI$3)=0))+((AI12&lt;&gt;"Xn")*(COUNTIFS($C$3:$P$3,"MAT",$C12:$P12,AI$3)=0)*(COUNTIFS($C$3:$P$3,"POM",$C12:$P12,AI$3)=0)*(COUNTIFS($C$3:$P$3,"NOTTE",$C12:$P12,AI$3)=0))=0,"",IF(((AI12&lt;&gt;"Xm")*(COUNTIFS($C$3:$P$3,"MAT",$C12:$P12,AI$3)=0)*(COUNTIFS($C$3:$P$3,"NOTTE",$C12:$P12,AI$3)=0))+((AI12&lt;&gt;"Xp")*(COUNTIFS($C$3:$P$3,"POM",$C12:$P12,AI$3)=0)*(COUNTIFS($C$3:$P$3,"NOTTE",$C12:$P12,AI$3)=0))+((AI12&lt;&gt;"Xn")*(COUNTIFS($C$3:$P$3,"MAT",$C12:$P12,AI$3)=0)*(COUNTIFS($C$3:$P$3,"POM",$C12:$P12,AI$3)=0)*(COUNTIFS($C$3:$P$3,"NOTTE",$C12:$P12,AI$3)=0))=3,AI$3&amp;", ",AI$3&amp;IF((AI12&lt;&gt;"Xm")*(COUNTIFS($C$3:$P$3,"MAT",$C12:$P12,AI$3)=0)*(COUNTIFS($C$3:$P$3,"NOTTE",$C12:$P12,AI$3)=0),"_m","")&amp;IF((AI12&lt;&gt;"Xp")*(COUNTIFS($C$3:$P$3,"POM",$C12:$P12,AI$3)=0)*(COUNTIFS($C$3:$P$3,"NOTTE",$C12:$P12,AI$3)=0),"_p","")&amp;IF((AI12&lt;&gt;"Xn")*(COUNTIFS($C$3:$P$3,"MAT",$C12:$P12,AI$3)=0)*(COUNTIFS($C$3:$P$3,"POM",$C12:$P12,AI$3)=0)*(COUNTIFS($C$3:$P$3,"NOTTE",$C12:$P12,AI$3)=0),"_n","")&amp;", ")))</f>
        <v>CONTI A_m_p, </v>
      </c>
      <c r="CM12" s="1" t="str">
        <f aca="false">IF((AJ12="X")+(AJ12="Gn")+(AJ12="C")+(AJ11="Gn")&gt;0,"",IF(((AJ12&lt;&gt;"Xm")*(COUNTIFS($C$3:$P$3,"MAT",$C12:$P12,AJ$3)=0)*(COUNTIFS($C$3:$P$3,"NOTTE",$C12:$P12,AJ$3)=0))+((AJ12&lt;&gt;"Xp")*(COUNTIFS($C$3:$P$3,"POM",$C12:$P12,AJ$3)=0)*(COUNTIFS($C$3:$P$3,"NOTTE",$C12:$P12,AJ$3)=0))+((AJ12&lt;&gt;"Xn")*(COUNTIFS($C$3:$P$3,"MAT",$C12:$P12,AJ$3)=0)*(COUNTIFS($C$3:$P$3,"POM",$C12:$P12,AJ$3)=0)*(COUNTIFS($C$3:$P$3,"NOTTE",$C12:$P12,AJ$3)=0))=0,"",IF(((AJ12&lt;&gt;"Xm")*(COUNTIFS($C$3:$P$3,"MAT",$C12:$P12,AJ$3)=0)*(COUNTIFS($C$3:$P$3,"NOTTE",$C12:$P12,AJ$3)=0))+((AJ12&lt;&gt;"Xp")*(COUNTIFS($C$3:$P$3,"POM",$C12:$P12,AJ$3)=0)*(COUNTIFS($C$3:$P$3,"NOTTE",$C12:$P12,AJ$3)=0))+((AJ12&lt;&gt;"Xn")*(COUNTIFS($C$3:$P$3,"MAT",$C12:$P12,AJ$3)=0)*(COUNTIFS($C$3:$P$3,"POM",$C12:$P12,AJ$3)=0)*(COUNTIFS($C$3:$P$3,"NOTTE",$C12:$P12,AJ$3)=0))=3,AJ$3&amp;", ",AJ$3&amp;IF((AJ12&lt;&gt;"Xm")*(COUNTIFS($C$3:$P$3,"MAT",$C12:$P12,AJ$3)=0)*(COUNTIFS($C$3:$P$3,"NOTTE",$C12:$P12,AJ$3)=0),"_m","")&amp;IF((AJ12&lt;&gt;"Xp")*(COUNTIFS($C$3:$P$3,"POM",$C12:$P12,AJ$3)=0)*(COUNTIFS($C$3:$P$3,"NOTTE",$C12:$P12,AJ$3)=0),"_p","")&amp;IF((AJ12&lt;&gt;"Xn")*(COUNTIFS($C$3:$P$3,"MAT",$C12:$P12,AJ$3)=0)*(COUNTIFS($C$3:$P$3,"POM",$C12:$P12,AJ$3)=0)*(COUNTIFS($C$3:$P$3,"NOTTE",$C12:$P12,AJ$3)=0),"_n","")&amp;", ")))</f>
        <v/>
      </c>
      <c r="CN12" s="1" t="str">
        <f aca="false">IF((AK12="X")+(AK12="Gn")+(AK12="C")+(AK11="Gn")&gt;0,"",IF(((AK12&lt;&gt;"Xm")*(COUNTIFS($C$3:$P$3,"MAT",$C12:$P12,AK$3)=0)*(COUNTIFS($C$3:$P$3,"NOTTE",$C12:$P12,AK$3)=0))+((AK12&lt;&gt;"Xp")*(COUNTIFS($C$3:$P$3,"POM",$C12:$P12,AK$3)=0)*(COUNTIFS($C$3:$P$3,"NOTTE",$C12:$P12,AK$3)=0))+((AK12&lt;&gt;"Xn")*(COUNTIFS($C$3:$P$3,"MAT",$C12:$P12,AK$3)=0)*(COUNTIFS($C$3:$P$3,"POM",$C12:$P12,AK$3)=0)*(COUNTIFS($C$3:$P$3,"NOTTE",$C12:$P12,AK$3)=0))=0,"",IF(((AK12&lt;&gt;"Xm")*(COUNTIFS($C$3:$P$3,"MAT",$C12:$P12,AK$3)=0)*(COUNTIFS($C$3:$P$3,"NOTTE",$C12:$P12,AK$3)=0))+((AK12&lt;&gt;"Xp")*(COUNTIFS($C$3:$P$3,"POM",$C12:$P12,AK$3)=0)*(COUNTIFS($C$3:$P$3,"NOTTE",$C12:$P12,AK$3)=0))+((AK12&lt;&gt;"Xn")*(COUNTIFS($C$3:$P$3,"MAT",$C12:$P12,AK$3)=0)*(COUNTIFS($C$3:$P$3,"POM",$C12:$P12,AK$3)=0)*(COUNTIFS($C$3:$P$3,"NOTTE",$C12:$P12,AK$3)=0))=3,AK$3&amp;", ",AK$3&amp;IF((AK12&lt;&gt;"Xm")*(COUNTIFS($C$3:$P$3,"MAT",$C12:$P12,AK$3)=0)*(COUNTIFS($C$3:$P$3,"NOTTE",$C12:$P12,AK$3)=0),"_m","")&amp;IF((AK12&lt;&gt;"Xp")*(COUNTIFS($C$3:$P$3,"POM",$C12:$P12,AK$3)=0)*(COUNTIFS($C$3:$P$3,"NOTTE",$C12:$P12,AK$3)=0),"_p","")&amp;IF((AK12&lt;&gt;"Xn")*(COUNTIFS($C$3:$P$3,"MAT",$C12:$P12,AK$3)=0)*(COUNTIFS($C$3:$P$3,"POM",$C12:$P12,AK$3)=0)*(COUNTIFS($C$3:$P$3,"NOTTE",$C12:$P12,AK$3)=0),"_n","")&amp;", ")))</f>
        <v/>
      </c>
      <c r="CO12" s="1" t="str">
        <f aca="false">IF((AL12="X")+(AL12="Gn")+(AL12="C")+(AL11="Gn")&gt;0,"",IF(((AL12&lt;&gt;"Xm")*(COUNTIFS($C$3:$P$3,"MAT",$C12:$P12,AL$3)=0)*(COUNTIFS($C$3:$P$3,"NOTTE",$C12:$P12,AL$3)=0))+((AL12&lt;&gt;"Xp")*(COUNTIFS($C$3:$P$3,"POM",$C12:$P12,AL$3)=0)*(COUNTIFS($C$3:$P$3,"NOTTE",$C12:$P12,AL$3)=0))+((AL12&lt;&gt;"Xn")*(COUNTIFS($C$3:$P$3,"MAT",$C12:$P12,AL$3)=0)*(COUNTIFS($C$3:$P$3,"POM",$C12:$P12,AL$3)=0)*(COUNTIFS($C$3:$P$3,"NOTTE",$C12:$P12,AL$3)=0))=0,"",IF(((AL12&lt;&gt;"Xm")*(COUNTIFS($C$3:$P$3,"MAT",$C12:$P12,AL$3)=0)*(COUNTIFS($C$3:$P$3,"NOTTE",$C12:$P12,AL$3)=0))+((AL12&lt;&gt;"Xp")*(COUNTIFS($C$3:$P$3,"POM",$C12:$P12,AL$3)=0)*(COUNTIFS($C$3:$P$3,"NOTTE",$C12:$P12,AL$3)=0))+((AL12&lt;&gt;"Xn")*(COUNTIFS($C$3:$P$3,"MAT",$C12:$P12,AL$3)=0)*(COUNTIFS($C$3:$P$3,"POM",$C12:$P12,AL$3)=0)*(COUNTIFS($C$3:$P$3,"NOTTE",$C12:$P12,AL$3)=0))=3,AL$3&amp;", ",AL$3&amp;IF((AL12&lt;&gt;"Xm")*(COUNTIFS($C$3:$P$3,"MAT",$C12:$P12,AL$3)=0)*(COUNTIFS($C$3:$P$3,"NOTTE",$C12:$P12,AL$3)=0),"_m","")&amp;IF((AL12&lt;&gt;"Xp")*(COUNTIFS($C$3:$P$3,"POM",$C12:$P12,AL$3)=0)*(COUNTIFS($C$3:$P$3,"NOTTE",$C12:$P12,AL$3)=0),"_p","")&amp;IF((AL12&lt;&gt;"Xn")*(COUNTIFS($C$3:$P$3,"MAT",$C12:$P12,AL$3)=0)*(COUNTIFS($C$3:$P$3,"POM",$C12:$P12,AL$3)=0)*(COUNTIFS($C$3:$P$3,"NOTTE",$C12:$P12,AL$3)=0),"_n","")&amp;", ")))</f>
        <v/>
      </c>
      <c r="CP12" s="1" t="str">
        <f aca="false">IF((AM12="X")+(AM12="Gn")+(AM12="C")+(AM11="Gn")&gt;0,"",IF(((AM12&lt;&gt;"Xm")*(COUNTIFS($C$3:$P$3,"MAT",$C12:$P12,AM$3)=0)*(COUNTIFS($C$3:$P$3,"NOTTE",$C12:$P12,AM$3)=0))+((AM12&lt;&gt;"Xp")*(COUNTIFS($C$3:$P$3,"POM",$C12:$P12,AM$3)=0)*(COUNTIFS($C$3:$P$3,"NOTTE",$C12:$P12,AM$3)=0))+((AM12&lt;&gt;"Xn")*(COUNTIFS($C$3:$P$3,"MAT",$C12:$P12,AM$3)=0)*(COUNTIFS($C$3:$P$3,"POM",$C12:$P12,AM$3)=0)*(COUNTIFS($C$3:$P$3,"NOTTE",$C12:$P12,AM$3)=0))=0,"",IF(((AM12&lt;&gt;"Xm")*(COUNTIFS($C$3:$P$3,"MAT",$C12:$P12,AM$3)=0)*(COUNTIFS($C$3:$P$3,"NOTTE",$C12:$P12,AM$3)=0))+((AM12&lt;&gt;"Xp")*(COUNTIFS($C$3:$P$3,"POM",$C12:$P12,AM$3)=0)*(COUNTIFS($C$3:$P$3,"NOTTE",$C12:$P12,AM$3)=0))+((AM12&lt;&gt;"Xn")*(COUNTIFS($C$3:$P$3,"MAT",$C12:$P12,AM$3)=0)*(COUNTIFS($C$3:$P$3,"POM",$C12:$P12,AM$3)=0)*(COUNTIFS($C$3:$P$3,"NOTTE",$C12:$P12,AM$3)=0))=3,AM$3&amp;", ",AM$3&amp;IF((AM12&lt;&gt;"Xm")*(COUNTIFS($C$3:$P$3,"MAT",$C12:$P12,AM$3)=0)*(COUNTIFS($C$3:$P$3,"NOTTE",$C12:$P12,AM$3)=0),"_m","")&amp;IF((AM12&lt;&gt;"Xp")*(COUNTIFS($C$3:$P$3,"POM",$C12:$P12,AM$3)=0)*(COUNTIFS($C$3:$P$3,"NOTTE",$C12:$P12,AM$3)=0),"_p","")&amp;IF((AM12&lt;&gt;"Xn")*(COUNTIFS($C$3:$P$3,"MAT",$C12:$P12,AM$3)=0)*(COUNTIFS($C$3:$P$3,"POM",$C12:$P12,AM$3)=0)*(COUNTIFS($C$3:$P$3,"NOTTE",$C12:$P12,AM$3)=0),"_n","")&amp;", ")))</f>
        <v>SANNA_m, </v>
      </c>
      <c r="CQ12" s="1" t="str">
        <f aca="false">IF((AN12="X")+(AN12="Gn")+(AN12="C")+(AN11="Gn")&gt;0,"",IF(((AN12&lt;&gt;"Xm")*(COUNTIFS($C$3:$P$3,"MAT",$C12:$P12,AN$3)=0)*(COUNTIFS($C$3:$P$3,"NOTTE",$C12:$P12,AN$3)=0))+((AN12&lt;&gt;"Xp")*(COUNTIFS($C$3:$P$3,"POM",$C12:$P12,AN$3)=0)*(COUNTIFS($C$3:$P$3,"NOTTE",$C12:$P12,AN$3)=0))+((AN12&lt;&gt;"Xn")*(COUNTIFS($C$3:$P$3,"MAT",$C12:$P12,AN$3)=0)*(COUNTIFS($C$3:$P$3,"POM",$C12:$P12,AN$3)=0)*(COUNTIFS($C$3:$P$3,"NOTTE",$C12:$P12,AN$3)=0))=0,"",IF(((AN12&lt;&gt;"Xm")*(COUNTIFS($C$3:$P$3,"MAT",$C12:$P12,AN$3)=0)*(COUNTIFS($C$3:$P$3,"NOTTE",$C12:$P12,AN$3)=0))+((AN12&lt;&gt;"Xp")*(COUNTIFS($C$3:$P$3,"POM",$C12:$P12,AN$3)=0)*(COUNTIFS($C$3:$P$3,"NOTTE",$C12:$P12,AN$3)=0))+((AN12&lt;&gt;"Xn")*(COUNTIFS($C$3:$P$3,"MAT",$C12:$P12,AN$3)=0)*(COUNTIFS($C$3:$P$3,"POM",$C12:$P12,AN$3)=0)*(COUNTIFS($C$3:$P$3,"NOTTE",$C12:$P12,AN$3)=0))=3,AN$3&amp;", ",AN$3&amp;IF((AN12&lt;&gt;"Xm")*(COUNTIFS($C$3:$P$3,"MAT",$C12:$P12,AN$3)=0)*(COUNTIFS($C$3:$P$3,"NOTTE",$C12:$P12,AN$3)=0),"_m","")&amp;IF((AN12&lt;&gt;"Xp")*(COUNTIFS($C$3:$P$3,"POM",$C12:$P12,AN$3)=0)*(COUNTIFS($C$3:$P$3,"NOTTE",$C12:$P12,AN$3)=0),"_p","")&amp;IF((AN12&lt;&gt;"Xn")*(COUNTIFS($C$3:$P$3,"MAT",$C12:$P12,AN$3)=0)*(COUNTIFS($C$3:$P$3,"POM",$C12:$P12,AN$3)=0)*(COUNTIFS($C$3:$P$3,"NOTTE",$C12:$P12,AN$3)=0),"_n","")&amp;", ")))</f>
        <v>LI, </v>
      </c>
    </row>
    <row r="13" customFormat="false" ht="15" hidden="false" customHeight="true" outlineLevel="0" collapsed="false">
      <c r="A13" s="15" t="str">
        <f aca="false">CHOOSE(WEEKDAY(DATE($B$1,$A$2,B13),2),"lunedì","martedì","mercoledì","giovedì","venerdì","sabato","domenica")</f>
        <v>martedì</v>
      </c>
      <c r="B13" s="15" t="n">
        <v>10</v>
      </c>
      <c r="C13" s="16" t="s">
        <v>33</v>
      </c>
      <c r="D13" s="16" t="s">
        <v>33</v>
      </c>
      <c r="E13" s="16" t="s">
        <v>32</v>
      </c>
      <c r="F13" s="16" t="s">
        <v>26</v>
      </c>
      <c r="G13" s="16" t="s">
        <v>29</v>
      </c>
      <c r="H13" s="16" t="s">
        <v>29</v>
      </c>
      <c r="I13" s="16" t="s">
        <v>31</v>
      </c>
      <c r="J13" s="16" t="s">
        <v>31</v>
      </c>
      <c r="K13" s="16" t="s">
        <v>28</v>
      </c>
      <c r="L13" s="16"/>
      <c r="M13" s="16" t="s">
        <v>35</v>
      </c>
      <c r="N13" s="16" t="s">
        <v>25</v>
      </c>
      <c r="O13" s="16" t="s">
        <v>25</v>
      </c>
      <c r="P13" s="16" t="s">
        <v>27</v>
      </c>
      <c r="Q13" s="16"/>
      <c r="R13" s="16" t="str">
        <f aca="false">IF(SUMPRODUCT(($C$3:$P$3&lt;&gt;"")*($C13:$P13&lt;&gt;"")*(COUNTIFS($C13:$P13,$C13:$P13,$C$3:$P$3,$C$3:$P$3)&gt;1))&gt;0,"X","")</f>
        <v/>
      </c>
      <c r="S13" s="17" t="str">
        <f aca="false"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ROSSI M, ROSSI L, GALLINA, RUSSO, VERDI, HU, MARINI, CONTI A, CONTI S_m_n, FERRARI, GRECO, SANNA</v>
      </c>
      <c r="T13" s="17" t="str">
        <f aca="false"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ROSSI M, GALLINA_m, VERDI_p, MARINI, GRECO, SANNA_m</v>
      </c>
      <c r="Y13" s="15" t="str">
        <f aca="false">A13</f>
        <v>martedì</v>
      </c>
      <c r="Z13" s="15" t="n">
        <f aca="false">B13</f>
        <v>10</v>
      </c>
      <c r="AA13" s="16" t="s">
        <v>51</v>
      </c>
      <c r="AB13" s="16"/>
      <c r="AC13" s="16"/>
      <c r="AD13" s="16"/>
      <c r="AE13" s="16"/>
      <c r="AF13" s="16"/>
      <c r="AG13" s="16"/>
      <c r="AH13" s="16"/>
      <c r="AI13" s="16"/>
      <c r="AJ13" s="16" t="s">
        <v>43</v>
      </c>
      <c r="AK13" s="16"/>
      <c r="AL13" s="16"/>
      <c r="AM13" s="16"/>
      <c r="AN13" s="16" t="s">
        <v>42</v>
      </c>
      <c r="AS13" s="13" t="str">
        <f aca="false">AJ$3</f>
        <v>CONTI S</v>
      </c>
      <c r="AT13" s="13" t="n">
        <f aca="false">COUNTIF($C$4:$D$33,$AS13)</f>
        <v>0</v>
      </c>
      <c r="AU13" s="13" t="n">
        <f aca="false">COUNTIF($E$4:$F$33,$AS13)</f>
        <v>6</v>
      </c>
      <c r="AV13" s="13" t="n">
        <f aca="false">COUNTIF($G$4:$H$33,$AS13)</f>
        <v>8</v>
      </c>
      <c r="AW13" s="13" t="n">
        <f aca="false">COUNTIF($I$4:$J$33,$AS13)</f>
        <v>0</v>
      </c>
      <c r="AX13" s="13" t="n">
        <f aca="false">COUNTIF($K$4:$K$33,$AS13)</f>
        <v>1</v>
      </c>
      <c r="AY13" s="13" t="n">
        <f aca="false">COUNTIF($L$4:$L$33,$AS13)</f>
        <v>0</v>
      </c>
      <c r="AZ13" s="13" t="n">
        <f aca="false">COUNTIF($M$4:$M$33,$AS13)</f>
        <v>2</v>
      </c>
      <c r="BA13" s="13" t="n">
        <f aca="false">COUNTIF($N$4:$P$33,$AS13)</f>
        <v>2</v>
      </c>
      <c r="BB13" s="13" t="n">
        <f aca="false">COUNTIF($C$4:$P$33,$AS13)</f>
        <v>19</v>
      </c>
      <c r="BD13" s="14" t="str">
        <f aca="false">AJ$3</f>
        <v>CONTI S</v>
      </c>
      <c r="BE13" s="14"/>
      <c r="BF13" s="14"/>
      <c r="BG13" s="14"/>
      <c r="BH13" s="14"/>
      <c r="BI13" s="14"/>
      <c r="BJ13" s="14"/>
      <c r="BK13" s="14"/>
      <c r="BL13" s="14"/>
      <c r="BM13" s="14"/>
      <c r="BO13" s="1" t="str">
        <f aca="false">IF((AA13="X")+(AA13="Gn")+(AA13="C")+(AA12="Gn")&gt;0,"",IF(((AA13&lt;&gt;"Xm"))+((AA13&lt;&gt;"Xp"))+((AA13&lt;&gt;"Xn"))=0,"",IF(((AA13&lt;&gt;"Xm"))+((AA13&lt;&gt;"Xp"))+((AA13&lt;&gt;"Xn"))=3,AA$3&amp;", ",AA$3&amp;IF((AA13&lt;&gt;"Xm"),"_m","")&amp;IF((AA13&lt;&gt;"Xp"),"_p","")&amp;IF((AA13&lt;&gt;"Xn"),"_n","")&amp;", ")))</f>
        <v/>
      </c>
      <c r="BP13" s="1" t="str">
        <f aca="false">IF((AB13="X")+(AB13="Gn")+(AB13="C")+(AB12="Gn")&gt;0,"",IF(((AB13&lt;&gt;"Xm"))+((AB13&lt;&gt;"Xp"))+((AB13&lt;&gt;"Xn"))=0,"",IF(((AB13&lt;&gt;"Xm"))+((AB13&lt;&gt;"Xp"))+((AB13&lt;&gt;"Xn"))=3,AB$3&amp;", ",AB$3&amp;IF((AB13&lt;&gt;"Xm"),"_m","")&amp;IF((AB13&lt;&gt;"Xp"),"_p","")&amp;IF((AB13&lt;&gt;"Xn"),"_n","")&amp;", ")))</f>
        <v>ROSSI M, </v>
      </c>
      <c r="BQ13" s="1" t="str">
        <f aca="false">IF((AC13="X")+(AC13="Gn")+(AC13="C")+(AC12="Gn")&gt;0,"",IF(((AC13&lt;&gt;"Xm"))+((AC13&lt;&gt;"Xp"))+((AC13&lt;&gt;"Xn"))=0,"",IF(((AC13&lt;&gt;"Xm"))+((AC13&lt;&gt;"Xp"))+((AC13&lt;&gt;"Xn"))=3,AC$3&amp;", ",AC$3&amp;IF((AC13&lt;&gt;"Xm"),"_m","")&amp;IF((AC13&lt;&gt;"Xp"),"_p","")&amp;IF((AC13&lt;&gt;"Xn"),"_n","")&amp;", ")))</f>
        <v>ROSSI L, </v>
      </c>
      <c r="BR13" s="1" t="str">
        <f aca="false">IF((AD13="X")+(AD13="Gn")+(AD13="C")+(AD12="Gn")&gt;0,"",IF(((AD13&lt;&gt;"Xm"))+((AD13&lt;&gt;"Xp"))+((AD13&lt;&gt;"Xn"))=0,"",IF(((AD13&lt;&gt;"Xm"))+((AD13&lt;&gt;"Xp"))+((AD13&lt;&gt;"Xn"))=3,AD$3&amp;", ",AD$3&amp;IF((AD13&lt;&gt;"Xm"),"_m","")&amp;IF((AD13&lt;&gt;"Xp"),"_p","")&amp;IF((AD13&lt;&gt;"Xn"),"_n","")&amp;", ")))</f>
        <v>GALLINA, </v>
      </c>
      <c r="BS13" s="1" t="str">
        <f aca="false">IF((AE13="X")+(AE13="Gn")+(AE13="C")+(AE12="Gn")&gt;0,"",IF(((AE13&lt;&gt;"Xm"))+((AE13&lt;&gt;"Xp"))+((AE13&lt;&gt;"Xn"))=0,"",IF(((AE13&lt;&gt;"Xm"))+((AE13&lt;&gt;"Xp"))+((AE13&lt;&gt;"Xn"))=3,AE$3&amp;", ",AE$3&amp;IF((AE13&lt;&gt;"Xm"),"_m","")&amp;IF((AE13&lt;&gt;"Xp"),"_p","")&amp;IF((AE13&lt;&gt;"Xn"),"_n","")&amp;", ")))</f>
        <v>RUSSO, </v>
      </c>
      <c r="BT13" s="1" t="str">
        <f aca="false">IF((AF13="X")+(AF13="Gn")+(AF13="C")+(AF12="Gn")&gt;0,"",IF(((AF13&lt;&gt;"Xm"))+((AF13&lt;&gt;"Xp"))+((AF13&lt;&gt;"Xn"))=0,"",IF(((AF13&lt;&gt;"Xm"))+((AF13&lt;&gt;"Xp"))+((AF13&lt;&gt;"Xn"))=3,AF$3&amp;", ",AF$3&amp;IF((AF13&lt;&gt;"Xm"),"_m","")&amp;IF((AF13&lt;&gt;"Xp"),"_p","")&amp;IF((AF13&lt;&gt;"Xn"),"_n","")&amp;", ")))</f>
        <v>VERDI, </v>
      </c>
      <c r="BU13" s="1" t="str">
        <f aca="false">IF((AG13="X")+(AG13="Gn")+(AG13="C")+(AG12="Gn")&gt;0,"",IF(((AG13&lt;&gt;"Xm"))+((AG13&lt;&gt;"Xp"))+((AG13&lt;&gt;"Xn"))=0,"",IF(((AG13&lt;&gt;"Xm"))+((AG13&lt;&gt;"Xp"))+((AG13&lt;&gt;"Xn"))=3,AG$3&amp;", ",AG$3&amp;IF((AG13&lt;&gt;"Xm"),"_m","")&amp;IF((AG13&lt;&gt;"Xp"),"_p","")&amp;IF((AG13&lt;&gt;"Xn"),"_n","")&amp;", ")))</f>
        <v>HU, </v>
      </c>
      <c r="BV13" s="1" t="str">
        <f aca="false">IF((AH13="X")+(AH13="Gn")+(AH13="C")+(AH12="Gn")&gt;0,"",IF(((AH13&lt;&gt;"Xm"))+((AH13&lt;&gt;"Xp"))+((AH13&lt;&gt;"Xn"))=0,"",IF(((AH13&lt;&gt;"Xm"))+((AH13&lt;&gt;"Xp"))+((AH13&lt;&gt;"Xn"))=3,AH$3&amp;", ",AH$3&amp;IF((AH13&lt;&gt;"Xm"),"_m","")&amp;IF((AH13&lt;&gt;"Xp"),"_p","")&amp;IF((AH13&lt;&gt;"Xn"),"_n","")&amp;", ")))</f>
        <v>MARINI, </v>
      </c>
      <c r="BW13" s="1" t="str">
        <f aca="false">IF((AI13="X")+(AI13="Gn")+(AI13="C")+(AI12="Gn")&gt;0,"",IF(((AI13&lt;&gt;"Xm"))+((AI13&lt;&gt;"Xp"))+((AI13&lt;&gt;"Xn"))=0,"",IF(((AI13&lt;&gt;"Xm"))+((AI13&lt;&gt;"Xp"))+((AI13&lt;&gt;"Xn"))=3,AI$3&amp;", ",AI$3&amp;IF((AI13&lt;&gt;"Xm"),"_m","")&amp;IF((AI13&lt;&gt;"Xp"),"_p","")&amp;IF((AI13&lt;&gt;"Xn"),"_n","")&amp;", ")))</f>
        <v>CONTI A, </v>
      </c>
      <c r="BX13" s="1" t="str">
        <f aca="false">IF((AJ13="X")+(AJ13="Gn")+(AJ13="C")+(AJ12="Gn")&gt;0,"",IF(((AJ13&lt;&gt;"Xm"))+((AJ13&lt;&gt;"Xp"))+((AJ13&lt;&gt;"Xn"))=0,"",IF(((AJ13&lt;&gt;"Xm"))+((AJ13&lt;&gt;"Xp"))+((AJ13&lt;&gt;"Xn"))=3,AJ$3&amp;", ",AJ$3&amp;IF((AJ13&lt;&gt;"Xm"),"_m","")&amp;IF((AJ13&lt;&gt;"Xp"),"_p","")&amp;IF((AJ13&lt;&gt;"Xn"),"_n","")&amp;", ")))</f>
        <v>CONTI S_m_n, </v>
      </c>
      <c r="BY13" s="1" t="str">
        <f aca="false">IF((AK13="X")+(AK13="Gn")+(AK13="C")+(AK12="Gn")&gt;0,"",IF(((AK13&lt;&gt;"Xm"))+((AK13&lt;&gt;"Xp"))+((AK13&lt;&gt;"Xn"))=0,"",IF(((AK13&lt;&gt;"Xm"))+((AK13&lt;&gt;"Xp"))+((AK13&lt;&gt;"Xn"))=3,AK$3&amp;", ",AK$3&amp;IF((AK13&lt;&gt;"Xm"),"_m","")&amp;IF((AK13&lt;&gt;"Xp"),"_p","")&amp;IF((AK13&lt;&gt;"Xn"),"_n","")&amp;", ")))</f>
        <v>FERRARI, </v>
      </c>
      <c r="BZ13" s="1" t="str">
        <f aca="false">IF((AL13="X")+(AL13="Gn")+(AL13="C")+(AL12="Gn")&gt;0,"",IF(((AL13&lt;&gt;"Xm"))+((AL13&lt;&gt;"Xp"))+((AL13&lt;&gt;"Xn"))=0,"",IF(((AL13&lt;&gt;"Xm"))+((AL13&lt;&gt;"Xp"))+((AL13&lt;&gt;"Xn"))=3,AL$3&amp;", ",AL$3&amp;IF((AL13&lt;&gt;"Xm"),"_m","")&amp;IF((AL13&lt;&gt;"Xp"),"_p","")&amp;IF((AL13&lt;&gt;"Xn"),"_n","")&amp;", ")))</f>
        <v>GRECO, </v>
      </c>
      <c r="CA13" s="1" t="str">
        <f aca="false">IF((AM13="X")+(AM13="Gn")+(AM13="C")+(AM12="Gn")&gt;0,"",IF(((AM13&lt;&gt;"Xm"))+((AM13&lt;&gt;"Xp"))+((AM13&lt;&gt;"Xn"))=0,"",IF(((AM13&lt;&gt;"Xm"))+((AM13&lt;&gt;"Xp"))+((AM13&lt;&gt;"Xn"))=3,AM$3&amp;", ",AM$3&amp;IF((AM13&lt;&gt;"Xm"),"_m","")&amp;IF((AM13&lt;&gt;"Xp"),"_p","")&amp;IF((AM13&lt;&gt;"Xn"),"_n","")&amp;", ")))</f>
        <v>SANNA, </v>
      </c>
      <c r="CB13" s="1" t="str">
        <f aca="false">IF((AN13="X")+(AN13="Gn")+(AN13="C")+(AN12="Gn")&gt;0,"",IF(((AN13&lt;&gt;"Xm"))+((AN13&lt;&gt;"Xp"))+((AN13&lt;&gt;"Xn"))=0,"",IF(((AN13&lt;&gt;"Xm"))+((AN13&lt;&gt;"Xp"))+((AN13&lt;&gt;"Xn"))=3,AN$3&amp;", ",AN$3&amp;IF((AN13&lt;&gt;"Xm"),"_m","")&amp;IF((AN13&lt;&gt;"Xp"),"_p","")&amp;IF((AN13&lt;&gt;"Xn"),"_n","")&amp;", ")))</f>
        <v/>
      </c>
      <c r="CD13" s="1" t="str">
        <f aca="false">IF((AA13="X")+(AA13="Gn")+(AA13="C")+(AA12="Gn")&gt;0,"",IF(((AA13&lt;&gt;"Xm")*(COUNTIFS($C$3:$P$3,"MAT",$C13:$P13,AA$3)=0)*(COUNTIFS($C$3:$P$3,"NOTTE",$C13:$P13,AA$3)=0))+((AA13&lt;&gt;"Xp")*(COUNTIFS($C$3:$P$3,"POM",$C13:$P13,AA$3)=0)*(COUNTIFS($C$3:$P$3,"NOTTE",$C13:$P13,AA$3)=0))+((AA13&lt;&gt;"Xn")*(COUNTIFS($C$3:$P$3,"MAT",$C13:$P13,AA$3)=0)*(COUNTIFS($C$3:$P$3,"POM",$C13:$P13,AA$3)=0)*(COUNTIFS($C$3:$P$3,"NOTTE",$C13:$P13,AA$3)=0))=0,"",IF(((AA13&lt;&gt;"Xm")*(COUNTIFS($C$3:$P$3,"MAT",$C13:$P13,AA$3)=0)*(COUNTIFS($C$3:$P$3,"NOTTE",$C13:$P13,AA$3)=0))+((AA13&lt;&gt;"Xp")*(COUNTIFS($C$3:$P$3,"POM",$C13:$P13,AA$3)=0)*(COUNTIFS($C$3:$P$3,"NOTTE",$C13:$P13,AA$3)=0))+((AA13&lt;&gt;"Xn")*(COUNTIFS($C$3:$P$3,"MAT",$C13:$P13,AA$3)=0)*(COUNTIFS($C$3:$P$3,"POM",$C13:$P13,AA$3)=0)*(COUNTIFS($C$3:$P$3,"NOTTE",$C13:$P13,AA$3)=0))=3,AA$3&amp;", ",AA$3&amp;IF((AA13&lt;&gt;"Xm")*(COUNTIFS($C$3:$P$3,"MAT",$C13:$P13,AA$3)=0)*(COUNTIFS($C$3:$P$3,"NOTTE",$C13:$P13,AA$3)=0),"_m","")&amp;IF((AA13&lt;&gt;"Xp")*(COUNTIFS($C$3:$P$3,"POM",$C13:$P13,AA$3)=0)*(COUNTIFS($C$3:$P$3,"NOTTE",$C13:$P13,AA$3)=0),"_p","")&amp;IF((AA13&lt;&gt;"Xn")*(COUNTIFS($C$3:$P$3,"MAT",$C13:$P13,AA$3)=0)*(COUNTIFS($C$3:$P$3,"POM",$C13:$P13,AA$3)=0)*(COUNTIFS($C$3:$P$3,"NOTTE",$C13:$P13,AA$3)=0),"_n","")&amp;", ")))</f>
        <v/>
      </c>
      <c r="CE13" s="1" t="str">
        <f aca="false">IF((AB13="X")+(AB13="Gn")+(AB13="C")+(AB12="Gn")&gt;0,"",IF(((AB13&lt;&gt;"Xm")*(COUNTIFS($C$3:$P$3,"MAT",$C13:$P13,AB$3)=0)*(COUNTIFS($C$3:$P$3,"NOTTE",$C13:$P13,AB$3)=0))+((AB13&lt;&gt;"Xp")*(COUNTIFS($C$3:$P$3,"POM",$C13:$P13,AB$3)=0)*(COUNTIFS($C$3:$P$3,"NOTTE",$C13:$P13,AB$3)=0))+((AB13&lt;&gt;"Xn")*(COUNTIFS($C$3:$P$3,"MAT",$C13:$P13,AB$3)=0)*(COUNTIFS($C$3:$P$3,"POM",$C13:$P13,AB$3)=0)*(COUNTIFS($C$3:$P$3,"NOTTE",$C13:$P13,AB$3)=0))=0,"",IF(((AB13&lt;&gt;"Xm")*(COUNTIFS($C$3:$P$3,"MAT",$C13:$P13,AB$3)=0)*(COUNTIFS($C$3:$P$3,"NOTTE",$C13:$P13,AB$3)=0))+((AB13&lt;&gt;"Xp")*(COUNTIFS($C$3:$P$3,"POM",$C13:$P13,AB$3)=0)*(COUNTIFS($C$3:$P$3,"NOTTE",$C13:$P13,AB$3)=0))+((AB13&lt;&gt;"Xn")*(COUNTIFS($C$3:$P$3,"MAT",$C13:$P13,AB$3)=0)*(COUNTIFS($C$3:$P$3,"POM",$C13:$P13,AB$3)=0)*(COUNTIFS($C$3:$P$3,"NOTTE",$C13:$P13,AB$3)=0))=3,AB$3&amp;", ",AB$3&amp;IF((AB13&lt;&gt;"Xm")*(COUNTIFS($C$3:$P$3,"MAT",$C13:$P13,AB$3)=0)*(COUNTIFS($C$3:$P$3,"NOTTE",$C13:$P13,AB$3)=0),"_m","")&amp;IF((AB13&lt;&gt;"Xp")*(COUNTIFS($C$3:$P$3,"POM",$C13:$P13,AB$3)=0)*(COUNTIFS($C$3:$P$3,"NOTTE",$C13:$P13,AB$3)=0),"_p","")&amp;IF((AB13&lt;&gt;"Xn")*(COUNTIFS($C$3:$P$3,"MAT",$C13:$P13,AB$3)=0)*(COUNTIFS($C$3:$P$3,"POM",$C13:$P13,AB$3)=0)*(COUNTIFS($C$3:$P$3,"NOTTE",$C13:$P13,AB$3)=0),"_n","")&amp;", ")))</f>
        <v>ROSSI M, </v>
      </c>
      <c r="CF13" s="1" t="str">
        <f aca="false">IF((AC13="X")+(AC13="Gn")+(AC13="C")+(AC12="Gn")&gt;0,"",IF(((AC13&lt;&gt;"Xm")*(COUNTIFS($C$3:$P$3,"MAT",$C13:$P13,AC$3)=0)*(COUNTIFS($C$3:$P$3,"NOTTE",$C13:$P13,AC$3)=0))+((AC13&lt;&gt;"Xp")*(COUNTIFS($C$3:$P$3,"POM",$C13:$P13,AC$3)=0)*(COUNTIFS($C$3:$P$3,"NOTTE",$C13:$P13,AC$3)=0))+((AC13&lt;&gt;"Xn")*(COUNTIFS($C$3:$P$3,"MAT",$C13:$P13,AC$3)=0)*(COUNTIFS($C$3:$P$3,"POM",$C13:$P13,AC$3)=0)*(COUNTIFS($C$3:$P$3,"NOTTE",$C13:$P13,AC$3)=0))=0,"",IF(((AC13&lt;&gt;"Xm")*(COUNTIFS($C$3:$P$3,"MAT",$C13:$P13,AC$3)=0)*(COUNTIFS($C$3:$P$3,"NOTTE",$C13:$P13,AC$3)=0))+((AC13&lt;&gt;"Xp")*(COUNTIFS($C$3:$P$3,"POM",$C13:$P13,AC$3)=0)*(COUNTIFS($C$3:$P$3,"NOTTE",$C13:$P13,AC$3)=0))+((AC13&lt;&gt;"Xn")*(COUNTIFS($C$3:$P$3,"MAT",$C13:$P13,AC$3)=0)*(COUNTIFS($C$3:$P$3,"POM",$C13:$P13,AC$3)=0)*(COUNTIFS($C$3:$P$3,"NOTTE",$C13:$P13,AC$3)=0))=3,AC$3&amp;", ",AC$3&amp;IF((AC13&lt;&gt;"Xm")*(COUNTIFS($C$3:$P$3,"MAT",$C13:$P13,AC$3)=0)*(COUNTIFS($C$3:$P$3,"NOTTE",$C13:$P13,AC$3)=0),"_m","")&amp;IF((AC13&lt;&gt;"Xp")*(COUNTIFS($C$3:$P$3,"POM",$C13:$P13,AC$3)=0)*(COUNTIFS($C$3:$P$3,"NOTTE",$C13:$P13,AC$3)=0),"_p","")&amp;IF((AC13&lt;&gt;"Xn")*(COUNTIFS($C$3:$P$3,"MAT",$C13:$P13,AC$3)=0)*(COUNTIFS($C$3:$P$3,"POM",$C13:$P13,AC$3)=0)*(COUNTIFS($C$3:$P$3,"NOTTE",$C13:$P13,AC$3)=0),"_n","")&amp;", ")))</f>
        <v/>
      </c>
      <c r="CG13" s="1" t="str">
        <f aca="false">IF((AD13="X")+(AD13="Gn")+(AD13="C")+(AD12="Gn")&gt;0,"",IF(((AD13&lt;&gt;"Xm")*(COUNTIFS($C$3:$P$3,"MAT",$C13:$P13,AD$3)=0)*(COUNTIFS($C$3:$P$3,"NOTTE",$C13:$P13,AD$3)=0))+((AD13&lt;&gt;"Xp")*(COUNTIFS($C$3:$P$3,"POM",$C13:$P13,AD$3)=0)*(COUNTIFS($C$3:$P$3,"NOTTE",$C13:$P13,AD$3)=0))+((AD13&lt;&gt;"Xn")*(COUNTIFS($C$3:$P$3,"MAT",$C13:$P13,AD$3)=0)*(COUNTIFS($C$3:$P$3,"POM",$C13:$P13,AD$3)=0)*(COUNTIFS($C$3:$P$3,"NOTTE",$C13:$P13,AD$3)=0))=0,"",IF(((AD13&lt;&gt;"Xm")*(COUNTIFS($C$3:$P$3,"MAT",$C13:$P13,AD$3)=0)*(COUNTIFS($C$3:$P$3,"NOTTE",$C13:$P13,AD$3)=0))+((AD13&lt;&gt;"Xp")*(COUNTIFS($C$3:$P$3,"POM",$C13:$P13,AD$3)=0)*(COUNTIFS($C$3:$P$3,"NOTTE",$C13:$P13,AD$3)=0))+((AD13&lt;&gt;"Xn")*(COUNTIFS($C$3:$P$3,"MAT",$C13:$P13,AD$3)=0)*(COUNTIFS($C$3:$P$3,"POM",$C13:$P13,AD$3)=0)*(COUNTIFS($C$3:$P$3,"NOTTE",$C13:$P13,AD$3)=0))=3,AD$3&amp;", ",AD$3&amp;IF((AD13&lt;&gt;"Xm")*(COUNTIFS($C$3:$P$3,"MAT",$C13:$P13,AD$3)=0)*(COUNTIFS($C$3:$P$3,"NOTTE",$C13:$P13,AD$3)=0),"_m","")&amp;IF((AD13&lt;&gt;"Xp")*(COUNTIFS($C$3:$P$3,"POM",$C13:$P13,AD$3)=0)*(COUNTIFS($C$3:$P$3,"NOTTE",$C13:$P13,AD$3)=0),"_p","")&amp;IF((AD13&lt;&gt;"Xn")*(COUNTIFS($C$3:$P$3,"MAT",$C13:$P13,AD$3)=0)*(COUNTIFS($C$3:$P$3,"POM",$C13:$P13,AD$3)=0)*(COUNTIFS($C$3:$P$3,"NOTTE",$C13:$P13,AD$3)=0),"_n","")&amp;", ")))</f>
        <v>GALLINA_m, </v>
      </c>
      <c r="CH13" s="1" t="str">
        <f aca="false">IF((AE13="X")+(AE13="Gn")+(AE13="C")+(AE12="Gn")&gt;0,"",IF(((AE13&lt;&gt;"Xm")*(COUNTIFS($C$3:$P$3,"MAT",$C13:$P13,AE$3)=0)*(COUNTIFS($C$3:$P$3,"NOTTE",$C13:$P13,AE$3)=0))+((AE13&lt;&gt;"Xp")*(COUNTIFS($C$3:$P$3,"POM",$C13:$P13,AE$3)=0)*(COUNTIFS($C$3:$P$3,"NOTTE",$C13:$P13,AE$3)=0))+((AE13&lt;&gt;"Xn")*(COUNTIFS($C$3:$P$3,"MAT",$C13:$P13,AE$3)=0)*(COUNTIFS($C$3:$P$3,"POM",$C13:$P13,AE$3)=0)*(COUNTIFS($C$3:$P$3,"NOTTE",$C13:$P13,AE$3)=0))=0,"",IF(((AE13&lt;&gt;"Xm")*(COUNTIFS($C$3:$P$3,"MAT",$C13:$P13,AE$3)=0)*(COUNTIFS($C$3:$P$3,"NOTTE",$C13:$P13,AE$3)=0))+((AE13&lt;&gt;"Xp")*(COUNTIFS($C$3:$P$3,"POM",$C13:$P13,AE$3)=0)*(COUNTIFS($C$3:$P$3,"NOTTE",$C13:$P13,AE$3)=0))+((AE13&lt;&gt;"Xn")*(COUNTIFS($C$3:$P$3,"MAT",$C13:$P13,AE$3)=0)*(COUNTIFS($C$3:$P$3,"POM",$C13:$P13,AE$3)=0)*(COUNTIFS($C$3:$P$3,"NOTTE",$C13:$P13,AE$3)=0))=3,AE$3&amp;", ",AE$3&amp;IF((AE13&lt;&gt;"Xm")*(COUNTIFS($C$3:$P$3,"MAT",$C13:$P13,AE$3)=0)*(COUNTIFS($C$3:$P$3,"NOTTE",$C13:$P13,AE$3)=0),"_m","")&amp;IF((AE13&lt;&gt;"Xp")*(COUNTIFS($C$3:$P$3,"POM",$C13:$P13,AE$3)=0)*(COUNTIFS($C$3:$P$3,"NOTTE",$C13:$P13,AE$3)=0),"_p","")&amp;IF((AE13&lt;&gt;"Xn")*(COUNTIFS($C$3:$P$3,"MAT",$C13:$P13,AE$3)=0)*(COUNTIFS($C$3:$P$3,"POM",$C13:$P13,AE$3)=0)*(COUNTIFS($C$3:$P$3,"NOTTE",$C13:$P13,AE$3)=0),"_n","")&amp;", ")))</f>
        <v/>
      </c>
      <c r="CI13" s="1" t="str">
        <f aca="false">IF((AF13="X")+(AF13="Gn")+(AF13="C")+(AF12="Gn")&gt;0,"",IF(((AF13&lt;&gt;"Xm")*(COUNTIFS($C$3:$P$3,"MAT",$C13:$P13,AF$3)=0)*(COUNTIFS($C$3:$P$3,"NOTTE",$C13:$P13,AF$3)=0))+((AF13&lt;&gt;"Xp")*(COUNTIFS($C$3:$P$3,"POM",$C13:$P13,AF$3)=0)*(COUNTIFS($C$3:$P$3,"NOTTE",$C13:$P13,AF$3)=0))+((AF13&lt;&gt;"Xn")*(COUNTIFS($C$3:$P$3,"MAT",$C13:$P13,AF$3)=0)*(COUNTIFS($C$3:$P$3,"POM",$C13:$P13,AF$3)=0)*(COUNTIFS($C$3:$P$3,"NOTTE",$C13:$P13,AF$3)=0))=0,"",IF(((AF13&lt;&gt;"Xm")*(COUNTIFS($C$3:$P$3,"MAT",$C13:$P13,AF$3)=0)*(COUNTIFS($C$3:$P$3,"NOTTE",$C13:$P13,AF$3)=0))+((AF13&lt;&gt;"Xp")*(COUNTIFS($C$3:$P$3,"POM",$C13:$P13,AF$3)=0)*(COUNTIFS($C$3:$P$3,"NOTTE",$C13:$P13,AF$3)=0))+((AF13&lt;&gt;"Xn")*(COUNTIFS($C$3:$P$3,"MAT",$C13:$P13,AF$3)=0)*(COUNTIFS($C$3:$P$3,"POM",$C13:$P13,AF$3)=0)*(COUNTIFS($C$3:$P$3,"NOTTE",$C13:$P13,AF$3)=0))=3,AF$3&amp;", ",AF$3&amp;IF((AF13&lt;&gt;"Xm")*(COUNTIFS($C$3:$P$3,"MAT",$C13:$P13,AF$3)=0)*(COUNTIFS($C$3:$P$3,"NOTTE",$C13:$P13,AF$3)=0),"_m","")&amp;IF((AF13&lt;&gt;"Xp")*(COUNTIFS($C$3:$P$3,"POM",$C13:$P13,AF$3)=0)*(COUNTIFS($C$3:$P$3,"NOTTE",$C13:$P13,AF$3)=0),"_p","")&amp;IF((AF13&lt;&gt;"Xn")*(COUNTIFS($C$3:$P$3,"MAT",$C13:$P13,AF$3)=0)*(COUNTIFS($C$3:$P$3,"POM",$C13:$P13,AF$3)=0)*(COUNTIFS($C$3:$P$3,"NOTTE",$C13:$P13,AF$3)=0),"_n","")&amp;", ")))</f>
        <v>VERDI_p, </v>
      </c>
      <c r="CJ13" s="1" t="str">
        <f aca="false">IF((AG13="X")+(AG13="Gn")+(AG13="C")+(AG12="Gn")&gt;0,"",IF(((AG13&lt;&gt;"Xm")*(COUNTIFS($C$3:$P$3,"MAT",$C13:$P13,AG$3)=0)*(COUNTIFS($C$3:$P$3,"NOTTE",$C13:$P13,AG$3)=0))+((AG13&lt;&gt;"Xp")*(COUNTIFS($C$3:$P$3,"POM",$C13:$P13,AG$3)=0)*(COUNTIFS($C$3:$P$3,"NOTTE",$C13:$P13,AG$3)=0))+((AG13&lt;&gt;"Xn")*(COUNTIFS($C$3:$P$3,"MAT",$C13:$P13,AG$3)=0)*(COUNTIFS($C$3:$P$3,"POM",$C13:$P13,AG$3)=0)*(COUNTIFS($C$3:$P$3,"NOTTE",$C13:$P13,AG$3)=0))=0,"",IF(((AG13&lt;&gt;"Xm")*(COUNTIFS($C$3:$P$3,"MAT",$C13:$P13,AG$3)=0)*(COUNTIFS($C$3:$P$3,"NOTTE",$C13:$P13,AG$3)=0))+((AG13&lt;&gt;"Xp")*(COUNTIFS($C$3:$P$3,"POM",$C13:$P13,AG$3)=0)*(COUNTIFS($C$3:$P$3,"NOTTE",$C13:$P13,AG$3)=0))+((AG13&lt;&gt;"Xn")*(COUNTIFS($C$3:$P$3,"MAT",$C13:$P13,AG$3)=0)*(COUNTIFS($C$3:$P$3,"POM",$C13:$P13,AG$3)=0)*(COUNTIFS($C$3:$P$3,"NOTTE",$C13:$P13,AG$3)=0))=3,AG$3&amp;", ",AG$3&amp;IF((AG13&lt;&gt;"Xm")*(COUNTIFS($C$3:$P$3,"MAT",$C13:$P13,AG$3)=0)*(COUNTIFS($C$3:$P$3,"NOTTE",$C13:$P13,AG$3)=0),"_m","")&amp;IF((AG13&lt;&gt;"Xp")*(COUNTIFS($C$3:$P$3,"POM",$C13:$P13,AG$3)=0)*(COUNTIFS($C$3:$P$3,"NOTTE",$C13:$P13,AG$3)=0),"_p","")&amp;IF((AG13&lt;&gt;"Xn")*(COUNTIFS($C$3:$P$3,"MAT",$C13:$P13,AG$3)=0)*(COUNTIFS($C$3:$P$3,"POM",$C13:$P13,AG$3)=0)*(COUNTIFS($C$3:$P$3,"NOTTE",$C13:$P13,AG$3)=0),"_n","")&amp;", ")))</f>
        <v/>
      </c>
      <c r="CK13" s="1" t="str">
        <f aca="false">IF((AH13="X")+(AH13="Gn")+(AH13="C")+(AH12="Gn")&gt;0,"",IF(((AH13&lt;&gt;"Xm")*(COUNTIFS($C$3:$P$3,"MAT",$C13:$P13,AH$3)=0)*(COUNTIFS($C$3:$P$3,"NOTTE",$C13:$P13,AH$3)=0))+((AH13&lt;&gt;"Xp")*(COUNTIFS($C$3:$P$3,"POM",$C13:$P13,AH$3)=0)*(COUNTIFS($C$3:$P$3,"NOTTE",$C13:$P13,AH$3)=0))+((AH13&lt;&gt;"Xn")*(COUNTIFS($C$3:$P$3,"MAT",$C13:$P13,AH$3)=0)*(COUNTIFS($C$3:$P$3,"POM",$C13:$P13,AH$3)=0)*(COUNTIFS($C$3:$P$3,"NOTTE",$C13:$P13,AH$3)=0))=0,"",IF(((AH13&lt;&gt;"Xm")*(COUNTIFS($C$3:$P$3,"MAT",$C13:$P13,AH$3)=0)*(COUNTIFS($C$3:$P$3,"NOTTE",$C13:$P13,AH$3)=0))+((AH13&lt;&gt;"Xp")*(COUNTIFS($C$3:$P$3,"POM",$C13:$P13,AH$3)=0)*(COUNTIFS($C$3:$P$3,"NOTTE",$C13:$P13,AH$3)=0))+((AH13&lt;&gt;"Xn")*(COUNTIFS($C$3:$P$3,"MAT",$C13:$P13,AH$3)=0)*(COUNTIFS($C$3:$P$3,"POM",$C13:$P13,AH$3)=0)*(COUNTIFS($C$3:$P$3,"NOTTE",$C13:$P13,AH$3)=0))=3,AH$3&amp;", ",AH$3&amp;IF((AH13&lt;&gt;"Xm")*(COUNTIFS($C$3:$P$3,"MAT",$C13:$P13,AH$3)=0)*(COUNTIFS($C$3:$P$3,"NOTTE",$C13:$P13,AH$3)=0),"_m","")&amp;IF((AH13&lt;&gt;"Xp")*(COUNTIFS($C$3:$P$3,"POM",$C13:$P13,AH$3)=0)*(COUNTIFS($C$3:$P$3,"NOTTE",$C13:$P13,AH$3)=0),"_p","")&amp;IF((AH13&lt;&gt;"Xn")*(COUNTIFS($C$3:$P$3,"MAT",$C13:$P13,AH$3)=0)*(COUNTIFS($C$3:$P$3,"POM",$C13:$P13,AH$3)=0)*(COUNTIFS($C$3:$P$3,"NOTTE",$C13:$P13,AH$3)=0),"_n","")&amp;", ")))</f>
        <v>MARINI, </v>
      </c>
      <c r="CL13" s="1" t="str">
        <f aca="false">IF((AI13="X")+(AI13="Gn")+(AI13="C")+(AI12="Gn")&gt;0,"",IF(((AI13&lt;&gt;"Xm")*(COUNTIFS($C$3:$P$3,"MAT",$C13:$P13,AI$3)=0)*(COUNTIFS($C$3:$P$3,"NOTTE",$C13:$P13,AI$3)=0))+((AI13&lt;&gt;"Xp")*(COUNTIFS($C$3:$P$3,"POM",$C13:$P13,AI$3)=0)*(COUNTIFS($C$3:$P$3,"NOTTE",$C13:$P13,AI$3)=0))+((AI13&lt;&gt;"Xn")*(COUNTIFS($C$3:$P$3,"MAT",$C13:$P13,AI$3)=0)*(COUNTIFS($C$3:$P$3,"POM",$C13:$P13,AI$3)=0)*(COUNTIFS($C$3:$P$3,"NOTTE",$C13:$P13,AI$3)=0))=0,"",IF(((AI13&lt;&gt;"Xm")*(COUNTIFS($C$3:$P$3,"MAT",$C13:$P13,AI$3)=0)*(COUNTIFS($C$3:$P$3,"NOTTE",$C13:$P13,AI$3)=0))+((AI13&lt;&gt;"Xp")*(COUNTIFS($C$3:$P$3,"POM",$C13:$P13,AI$3)=0)*(COUNTIFS($C$3:$P$3,"NOTTE",$C13:$P13,AI$3)=0))+((AI13&lt;&gt;"Xn")*(COUNTIFS($C$3:$P$3,"MAT",$C13:$P13,AI$3)=0)*(COUNTIFS($C$3:$P$3,"POM",$C13:$P13,AI$3)=0)*(COUNTIFS($C$3:$P$3,"NOTTE",$C13:$P13,AI$3)=0))=3,AI$3&amp;", ",AI$3&amp;IF((AI13&lt;&gt;"Xm")*(COUNTIFS($C$3:$P$3,"MAT",$C13:$P13,AI$3)=0)*(COUNTIFS($C$3:$P$3,"NOTTE",$C13:$P13,AI$3)=0),"_m","")&amp;IF((AI13&lt;&gt;"Xp")*(COUNTIFS($C$3:$P$3,"POM",$C13:$P13,AI$3)=0)*(COUNTIFS($C$3:$P$3,"NOTTE",$C13:$P13,AI$3)=0),"_p","")&amp;IF((AI13&lt;&gt;"Xn")*(COUNTIFS($C$3:$P$3,"MAT",$C13:$P13,AI$3)=0)*(COUNTIFS($C$3:$P$3,"POM",$C13:$P13,AI$3)=0)*(COUNTIFS($C$3:$P$3,"NOTTE",$C13:$P13,AI$3)=0),"_n","")&amp;", ")))</f>
        <v/>
      </c>
      <c r="CM13" s="1" t="str">
        <f aca="false">IF((AJ13="X")+(AJ13="Gn")+(AJ13="C")+(AJ12="Gn")&gt;0,"",IF(((AJ13&lt;&gt;"Xm")*(COUNTIFS($C$3:$P$3,"MAT",$C13:$P13,AJ$3)=0)*(COUNTIFS($C$3:$P$3,"NOTTE",$C13:$P13,AJ$3)=0))+((AJ13&lt;&gt;"Xp")*(COUNTIFS($C$3:$P$3,"POM",$C13:$P13,AJ$3)=0)*(COUNTIFS($C$3:$P$3,"NOTTE",$C13:$P13,AJ$3)=0))+((AJ13&lt;&gt;"Xn")*(COUNTIFS($C$3:$P$3,"MAT",$C13:$P13,AJ$3)=0)*(COUNTIFS($C$3:$P$3,"POM",$C13:$P13,AJ$3)=0)*(COUNTIFS($C$3:$P$3,"NOTTE",$C13:$P13,AJ$3)=0))=0,"",IF(((AJ13&lt;&gt;"Xm")*(COUNTIFS($C$3:$P$3,"MAT",$C13:$P13,AJ$3)=0)*(COUNTIFS($C$3:$P$3,"NOTTE",$C13:$P13,AJ$3)=0))+((AJ13&lt;&gt;"Xp")*(COUNTIFS($C$3:$P$3,"POM",$C13:$P13,AJ$3)=0)*(COUNTIFS($C$3:$P$3,"NOTTE",$C13:$P13,AJ$3)=0))+((AJ13&lt;&gt;"Xn")*(COUNTIFS($C$3:$P$3,"MAT",$C13:$P13,AJ$3)=0)*(COUNTIFS($C$3:$P$3,"POM",$C13:$P13,AJ$3)=0)*(COUNTIFS($C$3:$P$3,"NOTTE",$C13:$P13,AJ$3)=0))=3,AJ$3&amp;", ",AJ$3&amp;IF((AJ13&lt;&gt;"Xm")*(COUNTIFS($C$3:$P$3,"MAT",$C13:$P13,AJ$3)=0)*(COUNTIFS($C$3:$P$3,"NOTTE",$C13:$P13,AJ$3)=0),"_m","")&amp;IF((AJ13&lt;&gt;"Xp")*(COUNTIFS($C$3:$P$3,"POM",$C13:$P13,AJ$3)=0)*(COUNTIFS($C$3:$P$3,"NOTTE",$C13:$P13,AJ$3)=0),"_p","")&amp;IF((AJ13&lt;&gt;"Xn")*(COUNTIFS($C$3:$P$3,"MAT",$C13:$P13,AJ$3)=0)*(COUNTIFS($C$3:$P$3,"POM",$C13:$P13,AJ$3)=0)*(COUNTIFS($C$3:$P$3,"NOTTE",$C13:$P13,AJ$3)=0),"_n","")&amp;", ")))</f>
        <v/>
      </c>
      <c r="CN13" s="1" t="str">
        <f aca="false">IF((AK13="X")+(AK13="Gn")+(AK13="C")+(AK12="Gn")&gt;0,"",IF(((AK13&lt;&gt;"Xm")*(COUNTIFS($C$3:$P$3,"MAT",$C13:$P13,AK$3)=0)*(COUNTIFS($C$3:$P$3,"NOTTE",$C13:$P13,AK$3)=0))+((AK13&lt;&gt;"Xp")*(COUNTIFS($C$3:$P$3,"POM",$C13:$P13,AK$3)=0)*(COUNTIFS($C$3:$P$3,"NOTTE",$C13:$P13,AK$3)=0))+((AK13&lt;&gt;"Xn")*(COUNTIFS($C$3:$P$3,"MAT",$C13:$P13,AK$3)=0)*(COUNTIFS($C$3:$P$3,"POM",$C13:$P13,AK$3)=0)*(COUNTIFS($C$3:$P$3,"NOTTE",$C13:$P13,AK$3)=0))=0,"",IF(((AK13&lt;&gt;"Xm")*(COUNTIFS($C$3:$P$3,"MAT",$C13:$P13,AK$3)=0)*(COUNTIFS($C$3:$P$3,"NOTTE",$C13:$P13,AK$3)=0))+((AK13&lt;&gt;"Xp")*(COUNTIFS($C$3:$P$3,"POM",$C13:$P13,AK$3)=0)*(COUNTIFS($C$3:$P$3,"NOTTE",$C13:$P13,AK$3)=0))+((AK13&lt;&gt;"Xn")*(COUNTIFS($C$3:$P$3,"MAT",$C13:$P13,AK$3)=0)*(COUNTIFS($C$3:$P$3,"POM",$C13:$P13,AK$3)=0)*(COUNTIFS($C$3:$P$3,"NOTTE",$C13:$P13,AK$3)=0))=3,AK$3&amp;", ",AK$3&amp;IF((AK13&lt;&gt;"Xm")*(COUNTIFS($C$3:$P$3,"MAT",$C13:$P13,AK$3)=0)*(COUNTIFS($C$3:$P$3,"NOTTE",$C13:$P13,AK$3)=0),"_m","")&amp;IF((AK13&lt;&gt;"Xp")*(COUNTIFS($C$3:$P$3,"POM",$C13:$P13,AK$3)=0)*(COUNTIFS($C$3:$P$3,"NOTTE",$C13:$P13,AK$3)=0),"_p","")&amp;IF((AK13&lt;&gt;"Xn")*(COUNTIFS($C$3:$P$3,"MAT",$C13:$P13,AK$3)=0)*(COUNTIFS($C$3:$P$3,"POM",$C13:$P13,AK$3)=0)*(COUNTIFS($C$3:$P$3,"NOTTE",$C13:$P13,AK$3)=0),"_n","")&amp;", ")))</f>
        <v/>
      </c>
      <c r="CO13" s="1" t="str">
        <f aca="false">IF((AL13="X")+(AL13="Gn")+(AL13="C")+(AL12="Gn")&gt;0,"",IF(((AL13&lt;&gt;"Xm")*(COUNTIFS($C$3:$P$3,"MAT",$C13:$P13,AL$3)=0)*(COUNTIFS($C$3:$P$3,"NOTTE",$C13:$P13,AL$3)=0))+((AL13&lt;&gt;"Xp")*(COUNTIFS($C$3:$P$3,"POM",$C13:$P13,AL$3)=0)*(COUNTIFS($C$3:$P$3,"NOTTE",$C13:$P13,AL$3)=0))+((AL13&lt;&gt;"Xn")*(COUNTIFS($C$3:$P$3,"MAT",$C13:$P13,AL$3)=0)*(COUNTIFS($C$3:$P$3,"POM",$C13:$P13,AL$3)=0)*(COUNTIFS($C$3:$P$3,"NOTTE",$C13:$P13,AL$3)=0))=0,"",IF(((AL13&lt;&gt;"Xm")*(COUNTIFS($C$3:$P$3,"MAT",$C13:$P13,AL$3)=0)*(COUNTIFS($C$3:$P$3,"NOTTE",$C13:$P13,AL$3)=0))+((AL13&lt;&gt;"Xp")*(COUNTIFS($C$3:$P$3,"POM",$C13:$P13,AL$3)=0)*(COUNTIFS($C$3:$P$3,"NOTTE",$C13:$P13,AL$3)=0))+((AL13&lt;&gt;"Xn")*(COUNTIFS($C$3:$P$3,"MAT",$C13:$P13,AL$3)=0)*(COUNTIFS($C$3:$P$3,"POM",$C13:$P13,AL$3)=0)*(COUNTIFS($C$3:$P$3,"NOTTE",$C13:$P13,AL$3)=0))=3,AL$3&amp;", ",AL$3&amp;IF((AL13&lt;&gt;"Xm")*(COUNTIFS($C$3:$P$3,"MAT",$C13:$P13,AL$3)=0)*(COUNTIFS($C$3:$P$3,"NOTTE",$C13:$P13,AL$3)=0),"_m","")&amp;IF((AL13&lt;&gt;"Xp")*(COUNTIFS($C$3:$P$3,"POM",$C13:$P13,AL$3)=0)*(COUNTIFS($C$3:$P$3,"NOTTE",$C13:$P13,AL$3)=0),"_p","")&amp;IF((AL13&lt;&gt;"Xn")*(COUNTIFS($C$3:$P$3,"MAT",$C13:$P13,AL$3)=0)*(COUNTIFS($C$3:$P$3,"POM",$C13:$P13,AL$3)=0)*(COUNTIFS($C$3:$P$3,"NOTTE",$C13:$P13,AL$3)=0),"_n","")&amp;", ")))</f>
        <v>GRECO, </v>
      </c>
      <c r="CP13" s="1" t="str">
        <f aca="false">IF((AM13="X")+(AM13="Gn")+(AM13="C")+(AM12="Gn")&gt;0,"",IF(((AM13&lt;&gt;"Xm")*(COUNTIFS($C$3:$P$3,"MAT",$C13:$P13,AM$3)=0)*(COUNTIFS($C$3:$P$3,"NOTTE",$C13:$P13,AM$3)=0))+((AM13&lt;&gt;"Xp")*(COUNTIFS($C$3:$P$3,"POM",$C13:$P13,AM$3)=0)*(COUNTIFS($C$3:$P$3,"NOTTE",$C13:$P13,AM$3)=0))+((AM13&lt;&gt;"Xn")*(COUNTIFS($C$3:$P$3,"MAT",$C13:$P13,AM$3)=0)*(COUNTIFS($C$3:$P$3,"POM",$C13:$P13,AM$3)=0)*(COUNTIFS($C$3:$P$3,"NOTTE",$C13:$P13,AM$3)=0))=0,"",IF(((AM13&lt;&gt;"Xm")*(COUNTIFS($C$3:$P$3,"MAT",$C13:$P13,AM$3)=0)*(COUNTIFS($C$3:$P$3,"NOTTE",$C13:$P13,AM$3)=0))+((AM13&lt;&gt;"Xp")*(COUNTIFS($C$3:$P$3,"POM",$C13:$P13,AM$3)=0)*(COUNTIFS($C$3:$P$3,"NOTTE",$C13:$P13,AM$3)=0))+((AM13&lt;&gt;"Xn")*(COUNTIFS($C$3:$P$3,"MAT",$C13:$P13,AM$3)=0)*(COUNTIFS($C$3:$P$3,"POM",$C13:$P13,AM$3)=0)*(COUNTIFS($C$3:$P$3,"NOTTE",$C13:$P13,AM$3)=0))=3,AM$3&amp;", ",AM$3&amp;IF((AM13&lt;&gt;"Xm")*(COUNTIFS($C$3:$P$3,"MAT",$C13:$P13,AM$3)=0)*(COUNTIFS($C$3:$P$3,"NOTTE",$C13:$P13,AM$3)=0),"_m","")&amp;IF((AM13&lt;&gt;"Xp")*(COUNTIFS($C$3:$P$3,"POM",$C13:$P13,AM$3)=0)*(COUNTIFS($C$3:$P$3,"NOTTE",$C13:$P13,AM$3)=0),"_p","")&amp;IF((AM13&lt;&gt;"Xn")*(COUNTIFS($C$3:$P$3,"MAT",$C13:$P13,AM$3)=0)*(COUNTIFS($C$3:$P$3,"POM",$C13:$P13,AM$3)=0)*(COUNTIFS($C$3:$P$3,"NOTTE",$C13:$P13,AM$3)=0),"_n","")&amp;", ")))</f>
        <v>SANNA_m, </v>
      </c>
      <c r="CQ13" s="1" t="str">
        <f aca="false">IF((AN13="X")+(AN13="Gn")+(AN13="C")+(AN12="Gn")&gt;0,"",IF(((AN13&lt;&gt;"Xm")*(COUNTIFS($C$3:$P$3,"MAT",$C13:$P13,AN$3)=0)*(COUNTIFS($C$3:$P$3,"NOTTE",$C13:$P13,AN$3)=0))+((AN13&lt;&gt;"Xp")*(COUNTIFS($C$3:$P$3,"POM",$C13:$P13,AN$3)=0)*(COUNTIFS($C$3:$P$3,"NOTTE",$C13:$P13,AN$3)=0))+((AN13&lt;&gt;"Xn")*(COUNTIFS($C$3:$P$3,"MAT",$C13:$P13,AN$3)=0)*(COUNTIFS($C$3:$P$3,"POM",$C13:$P13,AN$3)=0)*(COUNTIFS($C$3:$P$3,"NOTTE",$C13:$P13,AN$3)=0))=0,"",IF(((AN13&lt;&gt;"Xm")*(COUNTIFS($C$3:$P$3,"MAT",$C13:$P13,AN$3)=0)*(COUNTIFS($C$3:$P$3,"NOTTE",$C13:$P13,AN$3)=0))+((AN13&lt;&gt;"Xp")*(COUNTIFS($C$3:$P$3,"POM",$C13:$P13,AN$3)=0)*(COUNTIFS($C$3:$P$3,"NOTTE",$C13:$P13,AN$3)=0))+((AN13&lt;&gt;"Xn")*(COUNTIFS($C$3:$P$3,"MAT",$C13:$P13,AN$3)=0)*(COUNTIFS($C$3:$P$3,"POM",$C13:$P13,AN$3)=0)*(COUNTIFS($C$3:$P$3,"NOTTE",$C13:$P13,AN$3)=0))=3,AN$3&amp;", ",AN$3&amp;IF((AN13&lt;&gt;"Xm")*(COUNTIFS($C$3:$P$3,"MAT",$C13:$P13,AN$3)=0)*(COUNTIFS($C$3:$P$3,"NOTTE",$C13:$P13,AN$3)=0),"_m","")&amp;IF((AN13&lt;&gt;"Xp")*(COUNTIFS($C$3:$P$3,"POM",$C13:$P13,AN$3)=0)*(COUNTIFS($C$3:$P$3,"NOTTE",$C13:$P13,AN$3)=0),"_p","")&amp;IF((AN13&lt;&gt;"Xn")*(COUNTIFS($C$3:$P$3,"MAT",$C13:$P13,AN$3)=0)*(COUNTIFS($C$3:$P$3,"POM",$C13:$P13,AN$3)=0)*(COUNTIFS($C$3:$P$3,"NOTTE",$C13:$P13,AN$3)=0),"_n","")&amp;", ")))</f>
        <v/>
      </c>
    </row>
    <row r="14" customFormat="false" ht="15" hidden="false" customHeight="true" outlineLevel="0" collapsed="false">
      <c r="A14" s="15" t="str">
        <f aca="false">CHOOSE(WEEKDAY(DATE($B$1,$A$2,B14),2),"lunedì","martedì","mercoledì","giovedì","venerdì","sabato","domenica")</f>
        <v>mercoledì</v>
      </c>
      <c r="B14" s="15" t="n">
        <v>11</v>
      </c>
      <c r="C14" s="16" t="s">
        <v>24</v>
      </c>
      <c r="D14" s="16" t="s">
        <v>24</v>
      </c>
      <c r="E14" s="16" t="s">
        <v>30</v>
      </c>
      <c r="F14" s="16" t="s">
        <v>30</v>
      </c>
      <c r="G14" s="16" t="s">
        <v>32</v>
      </c>
      <c r="H14" s="16" t="s">
        <v>32</v>
      </c>
      <c r="I14" s="16" t="s">
        <v>34</v>
      </c>
      <c r="J14" s="16" t="s">
        <v>34</v>
      </c>
      <c r="K14" s="16" t="s">
        <v>36</v>
      </c>
      <c r="L14" s="16"/>
      <c r="M14" s="16" t="s">
        <v>33</v>
      </c>
      <c r="N14" s="16" t="s">
        <v>25</v>
      </c>
      <c r="O14" s="16" t="s">
        <v>25</v>
      </c>
      <c r="P14" s="16" t="s">
        <v>29</v>
      </c>
      <c r="Q14" s="16"/>
      <c r="R14" s="16" t="str">
        <f aca="false">IF(SUMPRODUCT(($C$3:$P$3&lt;&gt;"")*($C14:$P14&lt;&gt;"")*(COUNTIFS($C14:$P14,$C14:$P14,$C$3:$P$3,$C$3:$P$3)&gt;1))&gt;0,"X","")</f>
        <v/>
      </c>
      <c r="S14" s="17" t="str">
        <f aca="false"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ROSSI M, ROSSI L, GALLINA, RUSSO, VERDI_m_n, HU_m_n, MARINI, CONTI A_p_n, CONTI S, FERRARI, GRECO, SANNA, LI</v>
      </c>
      <c r="T14" s="17" t="str">
        <f aca="false"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GALLINA, RUSSO, VERDI_m_n, CONTI A_p_n, FERRARI_m, SANNA, LI_p</v>
      </c>
      <c r="Y14" s="15" t="str">
        <f aca="false">A14</f>
        <v>mercoledì</v>
      </c>
      <c r="Z14" s="15" t="n">
        <f aca="false">B14</f>
        <v>11</v>
      </c>
      <c r="AA14" s="16" t="s">
        <v>51</v>
      </c>
      <c r="AB14" s="16"/>
      <c r="AC14" s="16"/>
      <c r="AD14" s="16"/>
      <c r="AE14" s="16"/>
      <c r="AF14" s="16" t="s">
        <v>43</v>
      </c>
      <c r="AG14" s="16" t="s">
        <v>43</v>
      </c>
      <c r="AH14" s="16"/>
      <c r="AI14" s="16" t="s">
        <v>46</v>
      </c>
      <c r="AJ14" s="16"/>
      <c r="AK14" s="16"/>
      <c r="AL14" s="16"/>
      <c r="AM14" s="16"/>
      <c r="AN14" s="16"/>
      <c r="AS14" s="13" t="str">
        <f aca="false">AK$3</f>
        <v>FERRARI</v>
      </c>
      <c r="AT14" s="13" t="n">
        <f aca="false">COUNTIF($C$4:$D$33,$AS14)</f>
        <v>9</v>
      </c>
      <c r="AU14" s="13" t="n">
        <f aca="false">COUNTIF($E$4:$F$33,$AS14)</f>
        <v>2</v>
      </c>
      <c r="AV14" s="13" t="n">
        <f aca="false">COUNTIF($G$4:$H$33,$AS14)</f>
        <v>2</v>
      </c>
      <c r="AW14" s="13" t="n">
        <f aca="false">COUNTIF($I$4:$J$33,$AS14)</f>
        <v>0</v>
      </c>
      <c r="AX14" s="13" t="n">
        <f aca="false">COUNTIF($K$4:$K$33,$AS14)</f>
        <v>1</v>
      </c>
      <c r="AY14" s="13" t="n">
        <f aca="false">COUNTIF($L$4:$L$33,$AS14)</f>
        <v>0</v>
      </c>
      <c r="AZ14" s="13" t="n">
        <f aca="false">COUNTIF($M$4:$M$33,$AS14)</f>
        <v>2</v>
      </c>
      <c r="BA14" s="13" t="n">
        <f aca="false">COUNTIF($N$4:$P$33,$AS14)</f>
        <v>2</v>
      </c>
      <c r="BB14" s="13" t="n">
        <f aca="false">COUNTIF($C$4:$P$33,$AS14)</f>
        <v>18</v>
      </c>
      <c r="BD14" s="14" t="str">
        <f aca="false">AK$3</f>
        <v>FERRARI</v>
      </c>
      <c r="BE14" s="14"/>
      <c r="BF14" s="14"/>
      <c r="BG14" s="14"/>
      <c r="BH14" s="14"/>
      <c r="BI14" s="14"/>
      <c r="BJ14" s="14"/>
      <c r="BK14" s="14"/>
      <c r="BL14" s="14"/>
      <c r="BM14" s="14"/>
      <c r="BO14" s="1" t="str">
        <f aca="false">IF((AA14="X")+(AA14="Gn")+(AA14="C")+(AA13="Gn")&gt;0,"",IF(((AA14&lt;&gt;"Xm"))+((AA14&lt;&gt;"Xp"))+((AA14&lt;&gt;"Xn"))=0,"",IF(((AA14&lt;&gt;"Xm"))+((AA14&lt;&gt;"Xp"))+((AA14&lt;&gt;"Xn"))=3,AA$3&amp;", ",AA$3&amp;IF((AA14&lt;&gt;"Xm"),"_m","")&amp;IF((AA14&lt;&gt;"Xp"),"_p","")&amp;IF((AA14&lt;&gt;"Xn"),"_n","")&amp;", ")))</f>
        <v/>
      </c>
      <c r="BP14" s="1" t="str">
        <f aca="false">IF((AB14="X")+(AB14="Gn")+(AB14="C")+(AB13="Gn")&gt;0,"",IF(((AB14&lt;&gt;"Xm"))+((AB14&lt;&gt;"Xp"))+((AB14&lt;&gt;"Xn"))=0,"",IF(((AB14&lt;&gt;"Xm"))+((AB14&lt;&gt;"Xp"))+((AB14&lt;&gt;"Xn"))=3,AB$3&amp;", ",AB$3&amp;IF((AB14&lt;&gt;"Xm"),"_m","")&amp;IF((AB14&lt;&gt;"Xp"),"_p","")&amp;IF((AB14&lt;&gt;"Xn"),"_n","")&amp;", ")))</f>
        <v>ROSSI M, </v>
      </c>
      <c r="BQ14" s="1" t="str">
        <f aca="false">IF((AC14="X")+(AC14="Gn")+(AC14="C")+(AC13="Gn")&gt;0,"",IF(((AC14&lt;&gt;"Xm"))+((AC14&lt;&gt;"Xp"))+((AC14&lt;&gt;"Xn"))=0,"",IF(((AC14&lt;&gt;"Xm"))+((AC14&lt;&gt;"Xp"))+((AC14&lt;&gt;"Xn"))=3,AC$3&amp;", ",AC$3&amp;IF((AC14&lt;&gt;"Xm"),"_m","")&amp;IF((AC14&lt;&gt;"Xp"),"_p","")&amp;IF((AC14&lt;&gt;"Xn"),"_n","")&amp;", ")))</f>
        <v>ROSSI L, </v>
      </c>
      <c r="BR14" s="1" t="str">
        <f aca="false">IF((AD14="X")+(AD14="Gn")+(AD14="C")+(AD13="Gn")&gt;0,"",IF(((AD14&lt;&gt;"Xm"))+((AD14&lt;&gt;"Xp"))+((AD14&lt;&gt;"Xn"))=0,"",IF(((AD14&lt;&gt;"Xm"))+((AD14&lt;&gt;"Xp"))+((AD14&lt;&gt;"Xn"))=3,AD$3&amp;", ",AD$3&amp;IF((AD14&lt;&gt;"Xm"),"_m","")&amp;IF((AD14&lt;&gt;"Xp"),"_p","")&amp;IF((AD14&lt;&gt;"Xn"),"_n","")&amp;", ")))</f>
        <v>GALLINA, </v>
      </c>
      <c r="BS14" s="1" t="str">
        <f aca="false">IF((AE14="X")+(AE14="Gn")+(AE14="C")+(AE13="Gn")&gt;0,"",IF(((AE14&lt;&gt;"Xm"))+((AE14&lt;&gt;"Xp"))+((AE14&lt;&gt;"Xn"))=0,"",IF(((AE14&lt;&gt;"Xm"))+((AE14&lt;&gt;"Xp"))+((AE14&lt;&gt;"Xn"))=3,AE$3&amp;", ",AE$3&amp;IF((AE14&lt;&gt;"Xm"),"_m","")&amp;IF((AE14&lt;&gt;"Xp"),"_p","")&amp;IF((AE14&lt;&gt;"Xn"),"_n","")&amp;", ")))</f>
        <v>RUSSO, </v>
      </c>
      <c r="BT14" s="1" t="str">
        <f aca="false">IF((AF14="X")+(AF14="Gn")+(AF14="C")+(AF13="Gn")&gt;0,"",IF(((AF14&lt;&gt;"Xm"))+((AF14&lt;&gt;"Xp"))+((AF14&lt;&gt;"Xn"))=0,"",IF(((AF14&lt;&gt;"Xm"))+((AF14&lt;&gt;"Xp"))+((AF14&lt;&gt;"Xn"))=3,AF$3&amp;", ",AF$3&amp;IF((AF14&lt;&gt;"Xm"),"_m","")&amp;IF((AF14&lt;&gt;"Xp"),"_p","")&amp;IF((AF14&lt;&gt;"Xn"),"_n","")&amp;", ")))</f>
        <v>VERDI_m_n, </v>
      </c>
      <c r="BU14" s="1" t="str">
        <f aca="false">IF((AG14="X")+(AG14="Gn")+(AG14="C")+(AG13="Gn")&gt;0,"",IF(((AG14&lt;&gt;"Xm"))+((AG14&lt;&gt;"Xp"))+((AG14&lt;&gt;"Xn"))=0,"",IF(((AG14&lt;&gt;"Xm"))+((AG14&lt;&gt;"Xp"))+((AG14&lt;&gt;"Xn"))=3,AG$3&amp;", ",AG$3&amp;IF((AG14&lt;&gt;"Xm"),"_m","")&amp;IF((AG14&lt;&gt;"Xp"),"_p","")&amp;IF((AG14&lt;&gt;"Xn"),"_n","")&amp;", ")))</f>
        <v>HU_m_n, </v>
      </c>
      <c r="BV14" s="1" t="str">
        <f aca="false">IF((AH14="X")+(AH14="Gn")+(AH14="C")+(AH13="Gn")&gt;0,"",IF(((AH14&lt;&gt;"Xm"))+((AH14&lt;&gt;"Xp"))+((AH14&lt;&gt;"Xn"))=0,"",IF(((AH14&lt;&gt;"Xm"))+((AH14&lt;&gt;"Xp"))+((AH14&lt;&gt;"Xn"))=3,AH$3&amp;", ",AH$3&amp;IF((AH14&lt;&gt;"Xm"),"_m","")&amp;IF((AH14&lt;&gt;"Xp"),"_p","")&amp;IF((AH14&lt;&gt;"Xn"),"_n","")&amp;", ")))</f>
        <v>MARINI, </v>
      </c>
      <c r="BW14" s="1" t="str">
        <f aca="false">IF((AI14="X")+(AI14="Gn")+(AI14="C")+(AI13="Gn")&gt;0,"",IF(((AI14&lt;&gt;"Xm"))+((AI14&lt;&gt;"Xp"))+((AI14&lt;&gt;"Xn"))=0,"",IF(((AI14&lt;&gt;"Xm"))+((AI14&lt;&gt;"Xp"))+((AI14&lt;&gt;"Xn"))=3,AI$3&amp;", ",AI$3&amp;IF((AI14&lt;&gt;"Xm"),"_m","")&amp;IF((AI14&lt;&gt;"Xp"),"_p","")&amp;IF((AI14&lt;&gt;"Xn"),"_n","")&amp;", ")))</f>
        <v>CONTI A_p_n, </v>
      </c>
      <c r="BX14" s="1" t="str">
        <f aca="false">IF((AJ14="X")+(AJ14="Gn")+(AJ14="C")+(AJ13="Gn")&gt;0,"",IF(((AJ14&lt;&gt;"Xm"))+((AJ14&lt;&gt;"Xp"))+((AJ14&lt;&gt;"Xn"))=0,"",IF(((AJ14&lt;&gt;"Xm"))+((AJ14&lt;&gt;"Xp"))+((AJ14&lt;&gt;"Xn"))=3,AJ$3&amp;", ",AJ$3&amp;IF((AJ14&lt;&gt;"Xm"),"_m","")&amp;IF((AJ14&lt;&gt;"Xp"),"_p","")&amp;IF((AJ14&lt;&gt;"Xn"),"_n","")&amp;", ")))</f>
        <v>CONTI S, </v>
      </c>
      <c r="BY14" s="1" t="str">
        <f aca="false">IF((AK14="X")+(AK14="Gn")+(AK14="C")+(AK13="Gn")&gt;0,"",IF(((AK14&lt;&gt;"Xm"))+((AK14&lt;&gt;"Xp"))+((AK14&lt;&gt;"Xn"))=0,"",IF(((AK14&lt;&gt;"Xm"))+((AK14&lt;&gt;"Xp"))+((AK14&lt;&gt;"Xn"))=3,AK$3&amp;", ",AK$3&amp;IF((AK14&lt;&gt;"Xm"),"_m","")&amp;IF((AK14&lt;&gt;"Xp"),"_p","")&amp;IF((AK14&lt;&gt;"Xn"),"_n","")&amp;", ")))</f>
        <v>FERRARI, </v>
      </c>
      <c r="BZ14" s="1" t="str">
        <f aca="false">IF((AL14="X")+(AL14="Gn")+(AL14="C")+(AL13="Gn")&gt;0,"",IF(((AL14&lt;&gt;"Xm"))+((AL14&lt;&gt;"Xp"))+((AL14&lt;&gt;"Xn"))=0,"",IF(((AL14&lt;&gt;"Xm"))+((AL14&lt;&gt;"Xp"))+((AL14&lt;&gt;"Xn"))=3,AL$3&amp;", ",AL$3&amp;IF((AL14&lt;&gt;"Xm"),"_m","")&amp;IF((AL14&lt;&gt;"Xp"),"_p","")&amp;IF((AL14&lt;&gt;"Xn"),"_n","")&amp;", ")))</f>
        <v>GRECO, </v>
      </c>
      <c r="CA14" s="1" t="str">
        <f aca="false">IF((AM14="X")+(AM14="Gn")+(AM14="C")+(AM13="Gn")&gt;0,"",IF(((AM14&lt;&gt;"Xm"))+((AM14&lt;&gt;"Xp"))+((AM14&lt;&gt;"Xn"))=0,"",IF(((AM14&lt;&gt;"Xm"))+((AM14&lt;&gt;"Xp"))+((AM14&lt;&gt;"Xn"))=3,AM$3&amp;", ",AM$3&amp;IF((AM14&lt;&gt;"Xm"),"_m","")&amp;IF((AM14&lt;&gt;"Xp"),"_p","")&amp;IF((AM14&lt;&gt;"Xn"),"_n","")&amp;", ")))</f>
        <v>SANNA, </v>
      </c>
      <c r="CB14" s="1" t="str">
        <f aca="false">IF((AN14="X")+(AN14="Gn")+(AN14="C")+(AN13="Gn")&gt;0,"",IF(((AN14&lt;&gt;"Xm"))+((AN14&lt;&gt;"Xp"))+((AN14&lt;&gt;"Xn"))=0,"",IF(((AN14&lt;&gt;"Xm"))+((AN14&lt;&gt;"Xp"))+((AN14&lt;&gt;"Xn"))=3,AN$3&amp;", ",AN$3&amp;IF((AN14&lt;&gt;"Xm"),"_m","")&amp;IF((AN14&lt;&gt;"Xp"),"_p","")&amp;IF((AN14&lt;&gt;"Xn"),"_n","")&amp;", ")))</f>
        <v>LI, </v>
      </c>
      <c r="CD14" s="1" t="str">
        <f aca="false">IF((AA14="X")+(AA14="Gn")+(AA14="C")+(AA13="Gn")&gt;0,"",IF(((AA14&lt;&gt;"Xm")*(COUNTIFS($C$3:$P$3,"MAT",$C14:$P14,AA$3)=0)*(COUNTIFS($C$3:$P$3,"NOTTE",$C14:$P14,AA$3)=0))+((AA14&lt;&gt;"Xp")*(COUNTIFS($C$3:$P$3,"POM",$C14:$P14,AA$3)=0)*(COUNTIFS($C$3:$P$3,"NOTTE",$C14:$P14,AA$3)=0))+((AA14&lt;&gt;"Xn")*(COUNTIFS($C$3:$P$3,"MAT",$C14:$P14,AA$3)=0)*(COUNTIFS($C$3:$P$3,"POM",$C14:$P14,AA$3)=0)*(COUNTIFS($C$3:$P$3,"NOTTE",$C14:$P14,AA$3)=0))=0,"",IF(((AA14&lt;&gt;"Xm")*(COUNTIFS($C$3:$P$3,"MAT",$C14:$P14,AA$3)=0)*(COUNTIFS($C$3:$P$3,"NOTTE",$C14:$P14,AA$3)=0))+((AA14&lt;&gt;"Xp")*(COUNTIFS($C$3:$P$3,"POM",$C14:$P14,AA$3)=0)*(COUNTIFS($C$3:$P$3,"NOTTE",$C14:$P14,AA$3)=0))+((AA14&lt;&gt;"Xn")*(COUNTIFS($C$3:$P$3,"MAT",$C14:$P14,AA$3)=0)*(COUNTIFS($C$3:$P$3,"POM",$C14:$P14,AA$3)=0)*(COUNTIFS($C$3:$P$3,"NOTTE",$C14:$P14,AA$3)=0))=3,AA$3&amp;", ",AA$3&amp;IF((AA14&lt;&gt;"Xm")*(COUNTIFS($C$3:$P$3,"MAT",$C14:$P14,AA$3)=0)*(COUNTIFS($C$3:$P$3,"NOTTE",$C14:$P14,AA$3)=0),"_m","")&amp;IF((AA14&lt;&gt;"Xp")*(COUNTIFS($C$3:$P$3,"POM",$C14:$P14,AA$3)=0)*(COUNTIFS($C$3:$P$3,"NOTTE",$C14:$P14,AA$3)=0),"_p","")&amp;IF((AA14&lt;&gt;"Xn")*(COUNTIFS($C$3:$P$3,"MAT",$C14:$P14,AA$3)=0)*(COUNTIFS($C$3:$P$3,"POM",$C14:$P14,AA$3)=0)*(COUNTIFS($C$3:$P$3,"NOTTE",$C14:$P14,AA$3)=0),"_n","")&amp;", ")))</f>
        <v/>
      </c>
      <c r="CE14" s="1" t="str">
        <f aca="false">IF((AB14="X")+(AB14="Gn")+(AB14="C")+(AB13="Gn")&gt;0,"",IF(((AB14&lt;&gt;"Xm")*(COUNTIFS($C$3:$P$3,"MAT",$C14:$P14,AB$3)=0)*(COUNTIFS($C$3:$P$3,"NOTTE",$C14:$P14,AB$3)=0))+((AB14&lt;&gt;"Xp")*(COUNTIFS($C$3:$P$3,"POM",$C14:$P14,AB$3)=0)*(COUNTIFS($C$3:$P$3,"NOTTE",$C14:$P14,AB$3)=0))+((AB14&lt;&gt;"Xn")*(COUNTIFS($C$3:$P$3,"MAT",$C14:$P14,AB$3)=0)*(COUNTIFS($C$3:$P$3,"POM",$C14:$P14,AB$3)=0)*(COUNTIFS($C$3:$P$3,"NOTTE",$C14:$P14,AB$3)=0))=0,"",IF(((AB14&lt;&gt;"Xm")*(COUNTIFS($C$3:$P$3,"MAT",$C14:$P14,AB$3)=0)*(COUNTIFS($C$3:$P$3,"NOTTE",$C14:$P14,AB$3)=0))+((AB14&lt;&gt;"Xp")*(COUNTIFS($C$3:$P$3,"POM",$C14:$P14,AB$3)=0)*(COUNTIFS($C$3:$P$3,"NOTTE",$C14:$P14,AB$3)=0))+((AB14&lt;&gt;"Xn")*(COUNTIFS($C$3:$P$3,"MAT",$C14:$P14,AB$3)=0)*(COUNTIFS($C$3:$P$3,"POM",$C14:$P14,AB$3)=0)*(COUNTIFS($C$3:$P$3,"NOTTE",$C14:$P14,AB$3)=0))=3,AB$3&amp;", ",AB$3&amp;IF((AB14&lt;&gt;"Xm")*(COUNTIFS($C$3:$P$3,"MAT",$C14:$P14,AB$3)=0)*(COUNTIFS($C$3:$P$3,"NOTTE",$C14:$P14,AB$3)=0),"_m","")&amp;IF((AB14&lt;&gt;"Xp")*(COUNTIFS($C$3:$P$3,"POM",$C14:$P14,AB$3)=0)*(COUNTIFS($C$3:$P$3,"NOTTE",$C14:$P14,AB$3)=0),"_p","")&amp;IF((AB14&lt;&gt;"Xn")*(COUNTIFS($C$3:$P$3,"MAT",$C14:$P14,AB$3)=0)*(COUNTIFS($C$3:$P$3,"POM",$C14:$P14,AB$3)=0)*(COUNTIFS($C$3:$P$3,"NOTTE",$C14:$P14,AB$3)=0),"_n","")&amp;", ")))</f>
        <v/>
      </c>
      <c r="CF14" s="1" t="str">
        <f aca="false">IF((AC14="X")+(AC14="Gn")+(AC14="C")+(AC13="Gn")&gt;0,"",IF(((AC14&lt;&gt;"Xm")*(COUNTIFS($C$3:$P$3,"MAT",$C14:$P14,AC$3)=0)*(COUNTIFS($C$3:$P$3,"NOTTE",$C14:$P14,AC$3)=0))+((AC14&lt;&gt;"Xp")*(COUNTIFS($C$3:$P$3,"POM",$C14:$P14,AC$3)=0)*(COUNTIFS($C$3:$P$3,"NOTTE",$C14:$P14,AC$3)=0))+((AC14&lt;&gt;"Xn")*(COUNTIFS($C$3:$P$3,"MAT",$C14:$P14,AC$3)=0)*(COUNTIFS($C$3:$P$3,"POM",$C14:$P14,AC$3)=0)*(COUNTIFS($C$3:$P$3,"NOTTE",$C14:$P14,AC$3)=0))=0,"",IF(((AC14&lt;&gt;"Xm")*(COUNTIFS($C$3:$P$3,"MAT",$C14:$P14,AC$3)=0)*(COUNTIFS($C$3:$P$3,"NOTTE",$C14:$P14,AC$3)=0))+((AC14&lt;&gt;"Xp")*(COUNTIFS($C$3:$P$3,"POM",$C14:$P14,AC$3)=0)*(COUNTIFS($C$3:$P$3,"NOTTE",$C14:$P14,AC$3)=0))+((AC14&lt;&gt;"Xn")*(COUNTIFS($C$3:$P$3,"MAT",$C14:$P14,AC$3)=0)*(COUNTIFS($C$3:$P$3,"POM",$C14:$P14,AC$3)=0)*(COUNTIFS($C$3:$P$3,"NOTTE",$C14:$P14,AC$3)=0))=3,AC$3&amp;", ",AC$3&amp;IF((AC14&lt;&gt;"Xm")*(COUNTIFS($C$3:$P$3,"MAT",$C14:$P14,AC$3)=0)*(COUNTIFS($C$3:$P$3,"NOTTE",$C14:$P14,AC$3)=0),"_m","")&amp;IF((AC14&lt;&gt;"Xp")*(COUNTIFS($C$3:$P$3,"POM",$C14:$P14,AC$3)=0)*(COUNTIFS($C$3:$P$3,"NOTTE",$C14:$P14,AC$3)=0),"_p","")&amp;IF((AC14&lt;&gt;"Xn")*(COUNTIFS($C$3:$P$3,"MAT",$C14:$P14,AC$3)=0)*(COUNTIFS($C$3:$P$3,"POM",$C14:$P14,AC$3)=0)*(COUNTIFS($C$3:$P$3,"NOTTE",$C14:$P14,AC$3)=0),"_n","")&amp;", ")))</f>
        <v/>
      </c>
      <c r="CG14" s="1" t="str">
        <f aca="false">IF((AD14="X")+(AD14="Gn")+(AD14="C")+(AD13="Gn")&gt;0,"",IF(((AD14&lt;&gt;"Xm")*(COUNTIFS($C$3:$P$3,"MAT",$C14:$P14,AD$3)=0)*(COUNTIFS($C$3:$P$3,"NOTTE",$C14:$P14,AD$3)=0))+((AD14&lt;&gt;"Xp")*(COUNTIFS($C$3:$P$3,"POM",$C14:$P14,AD$3)=0)*(COUNTIFS($C$3:$P$3,"NOTTE",$C14:$P14,AD$3)=0))+((AD14&lt;&gt;"Xn")*(COUNTIFS($C$3:$P$3,"MAT",$C14:$P14,AD$3)=0)*(COUNTIFS($C$3:$P$3,"POM",$C14:$P14,AD$3)=0)*(COUNTIFS($C$3:$P$3,"NOTTE",$C14:$P14,AD$3)=0))=0,"",IF(((AD14&lt;&gt;"Xm")*(COUNTIFS($C$3:$P$3,"MAT",$C14:$P14,AD$3)=0)*(COUNTIFS($C$3:$P$3,"NOTTE",$C14:$P14,AD$3)=0))+((AD14&lt;&gt;"Xp")*(COUNTIFS($C$3:$P$3,"POM",$C14:$P14,AD$3)=0)*(COUNTIFS($C$3:$P$3,"NOTTE",$C14:$P14,AD$3)=0))+((AD14&lt;&gt;"Xn")*(COUNTIFS($C$3:$P$3,"MAT",$C14:$P14,AD$3)=0)*(COUNTIFS($C$3:$P$3,"POM",$C14:$P14,AD$3)=0)*(COUNTIFS($C$3:$P$3,"NOTTE",$C14:$P14,AD$3)=0))=3,AD$3&amp;", ",AD$3&amp;IF((AD14&lt;&gt;"Xm")*(COUNTIFS($C$3:$P$3,"MAT",$C14:$P14,AD$3)=0)*(COUNTIFS($C$3:$P$3,"NOTTE",$C14:$P14,AD$3)=0),"_m","")&amp;IF((AD14&lt;&gt;"Xp")*(COUNTIFS($C$3:$P$3,"POM",$C14:$P14,AD$3)=0)*(COUNTIFS($C$3:$P$3,"NOTTE",$C14:$P14,AD$3)=0),"_p","")&amp;IF((AD14&lt;&gt;"Xn")*(COUNTIFS($C$3:$P$3,"MAT",$C14:$P14,AD$3)=0)*(COUNTIFS($C$3:$P$3,"POM",$C14:$P14,AD$3)=0)*(COUNTIFS($C$3:$P$3,"NOTTE",$C14:$P14,AD$3)=0),"_n","")&amp;", ")))</f>
        <v>GALLINA, </v>
      </c>
      <c r="CH14" s="1" t="str">
        <f aca="false">IF((AE14="X")+(AE14="Gn")+(AE14="C")+(AE13="Gn")&gt;0,"",IF(((AE14&lt;&gt;"Xm")*(COUNTIFS($C$3:$P$3,"MAT",$C14:$P14,AE$3)=0)*(COUNTIFS($C$3:$P$3,"NOTTE",$C14:$P14,AE$3)=0))+((AE14&lt;&gt;"Xp")*(COUNTIFS($C$3:$P$3,"POM",$C14:$P14,AE$3)=0)*(COUNTIFS($C$3:$P$3,"NOTTE",$C14:$P14,AE$3)=0))+((AE14&lt;&gt;"Xn")*(COUNTIFS($C$3:$P$3,"MAT",$C14:$P14,AE$3)=0)*(COUNTIFS($C$3:$P$3,"POM",$C14:$P14,AE$3)=0)*(COUNTIFS($C$3:$P$3,"NOTTE",$C14:$P14,AE$3)=0))=0,"",IF(((AE14&lt;&gt;"Xm")*(COUNTIFS($C$3:$P$3,"MAT",$C14:$P14,AE$3)=0)*(COUNTIFS($C$3:$P$3,"NOTTE",$C14:$P14,AE$3)=0))+((AE14&lt;&gt;"Xp")*(COUNTIFS($C$3:$P$3,"POM",$C14:$P14,AE$3)=0)*(COUNTIFS($C$3:$P$3,"NOTTE",$C14:$P14,AE$3)=0))+((AE14&lt;&gt;"Xn")*(COUNTIFS($C$3:$P$3,"MAT",$C14:$P14,AE$3)=0)*(COUNTIFS($C$3:$P$3,"POM",$C14:$P14,AE$3)=0)*(COUNTIFS($C$3:$P$3,"NOTTE",$C14:$P14,AE$3)=0))=3,AE$3&amp;", ",AE$3&amp;IF((AE14&lt;&gt;"Xm")*(COUNTIFS($C$3:$P$3,"MAT",$C14:$P14,AE$3)=0)*(COUNTIFS($C$3:$P$3,"NOTTE",$C14:$P14,AE$3)=0),"_m","")&amp;IF((AE14&lt;&gt;"Xp")*(COUNTIFS($C$3:$P$3,"POM",$C14:$P14,AE$3)=0)*(COUNTIFS($C$3:$P$3,"NOTTE",$C14:$P14,AE$3)=0),"_p","")&amp;IF((AE14&lt;&gt;"Xn")*(COUNTIFS($C$3:$P$3,"MAT",$C14:$P14,AE$3)=0)*(COUNTIFS($C$3:$P$3,"POM",$C14:$P14,AE$3)=0)*(COUNTIFS($C$3:$P$3,"NOTTE",$C14:$P14,AE$3)=0),"_n","")&amp;", ")))</f>
        <v>RUSSO, </v>
      </c>
      <c r="CI14" s="1" t="str">
        <f aca="false">IF((AF14="X")+(AF14="Gn")+(AF14="C")+(AF13="Gn")&gt;0,"",IF(((AF14&lt;&gt;"Xm")*(COUNTIFS($C$3:$P$3,"MAT",$C14:$P14,AF$3)=0)*(COUNTIFS($C$3:$P$3,"NOTTE",$C14:$P14,AF$3)=0))+((AF14&lt;&gt;"Xp")*(COUNTIFS($C$3:$P$3,"POM",$C14:$P14,AF$3)=0)*(COUNTIFS($C$3:$P$3,"NOTTE",$C14:$P14,AF$3)=0))+((AF14&lt;&gt;"Xn")*(COUNTIFS($C$3:$P$3,"MAT",$C14:$P14,AF$3)=0)*(COUNTIFS($C$3:$P$3,"POM",$C14:$P14,AF$3)=0)*(COUNTIFS($C$3:$P$3,"NOTTE",$C14:$P14,AF$3)=0))=0,"",IF(((AF14&lt;&gt;"Xm")*(COUNTIFS($C$3:$P$3,"MAT",$C14:$P14,AF$3)=0)*(COUNTIFS($C$3:$P$3,"NOTTE",$C14:$P14,AF$3)=0))+((AF14&lt;&gt;"Xp")*(COUNTIFS($C$3:$P$3,"POM",$C14:$P14,AF$3)=0)*(COUNTIFS($C$3:$P$3,"NOTTE",$C14:$P14,AF$3)=0))+((AF14&lt;&gt;"Xn")*(COUNTIFS($C$3:$P$3,"MAT",$C14:$P14,AF$3)=0)*(COUNTIFS($C$3:$P$3,"POM",$C14:$P14,AF$3)=0)*(COUNTIFS($C$3:$P$3,"NOTTE",$C14:$P14,AF$3)=0))=3,AF$3&amp;", ",AF$3&amp;IF((AF14&lt;&gt;"Xm")*(COUNTIFS($C$3:$P$3,"MAT",$C14:$P14,AF$3)=0)*(COUNTIFS($C$3:$P$3,"NOTTE",$C14:$P14,AF$3)=0),"_m","")&amp;IF((AF14&lt;&gt;"Xp")*(COUNTIFS($C$3:$P$3,"POM",$C14:$P14,AF$3)=0)*(COUNTIFS($C$3:$P$3,"NOTTE",$C14:$P14,AF$3)=0),"_p","")&amp;IF((AF14&lt;&gt;"Xn")*(COUNTIFS($C$3:$P$3,"MAT",$C14:$P14,AF$3)=0)*(COUNTIFS($C$3:$P$3,"POM",$C14:$P14,AF$3)=0)*(COUNTIFS($C$3:$P$3,"NOTTE",$C14:$P14,AF$3)=0),"_n","")&amp;", ")))</f>
        <v>VERDI_m_n, </v>
      </c>
      <c r="CJ14" s="1" t="str">
        <f aca="false">IF((AG14="X")+(AG14="Gn")+(AG14="C")+(AG13="Gn")&gt;0,"",IF(((AG14&lt;&gt;"Xm")*(COUNTIFS($C$3:$P$3,"MAT",$C14:$P14,AG$3)=0)*(COUNTIFS($C$3:$P$3,"NOTTE",$C14:$P14,AG$3)=0))+((AG14&lt;&gt;"Xp")*(COUNTIFS($C$3:$P$3,"POM",$C14:$P14,AG$3)=0)*(COUNTIFS($C$3:$P$3,"NOTTE",$C14:$P14,AG$3)=0))+((AG14&lt;&gt;"Xn")*(COUNTIFS($C$3:$P$3,"MAT",$C14:$P14,AG$3)=0)*(COUNTIFS($C$3:$P$3,"POM",$C14:$P14,AG$3)=0)*(COUNTIFS($C$3:$P$3,"NOTTE",$C14:$P14,AG$3)=0))=0,"",IF(((AG14&lt;&gt;"Xm")*(COUNTIFS($C$3:$P$3,"MAT",$C14:$P14,AG$3)=0)*(COUNTIFS($C$3:$P$3,"NOTTE",$C14:$P14,AG$3)=0))+((AG14&lt;&gt;"Xp")*(COUNTIFS($C$3:$P$3,"POM",$C14:$P14,AG$3)=0)*(COUNTIFS($C$3:$P$3,"NOTTE",$C14:$P14,AG$3)=0))+((AG14&lt;&gt;"Xn")*(COUNTIFS($C$3:$P$3,"MAT",$C14:$P14,AG$3)=0)*(COUNTIFS($C$3:$P$3,"POM",$C14:$P14,AG$3)=0)*(COUNTIFS($C$3:$P$3,"NOTTE",$C14:$P14,AG$3)=0))=3,AG$3&amp;", ",AG$3&amp;IF((AG14&lt;&gt;"Xm")*(COUNTIFS($C$3:$P$3,"MAT",$C14:$P14,AG$3)=0)*(COUNTIFS($C$3:$P$3,"NOTTE",$C14:$P14,AG$3)=0),"_m","")&amp;IF((AG14&lt;&gt;"Xp")*(COUNTIFS($C$3:$P$3,"POM",$C14:$P14,AG$3)=0)*(COUNTIFS($C$3:$P$3,"NOTTE",$C14:$P14,AG$3)=0),"_p","")&amp;IF((AG14&lt;&gt;"Xn")*(COUNTIFS($C$3:$P$3,"MAT",$C14:$P14,AG$3)=0)*(COUNTIFS($C$3:$P$3,"POM",$C14:$P14,AG$3)=0)*(COUNTIFS($C$3:$P$3,"NOTTE",$C14:$P14,AG$3)=0),"_n","")&amp;", ")))</f>
        <v/>
      </c>
      <c r="CK14" s="1" t="str">
        <f aca="false">IF((AH14="X")+(AH14="Gn")+(AH14="C")+(AH13="Gn")&gt;0,"",IF(((AH14&lt;&gt;"Xm")*(COUNTIFS($C$3:$P$3,"MAT",$C14:$P14,AH$3)=0)*(COUNTIFS($C$3:$P$3,"NOTTE",$C14:$P14,AH$3)=0))+((AH14&lt;&gt;"Xp")*(COUNTIFS($C$3:$P$3,"POM",$C14:$P14,AH$3)=0)*(COUNTIFS($C$3:$P$3,"NOTTE",$C14:$P14,AH$3)=0))+((AH14&lt;&gt;"Xn")*(COUNTIFS($C$3:$P$3,"MAT",$C14:$P14,AH$3)=0)*(COUNTIFS($C$3:$P$3,"POM",$C14:$P14,AH$3)=0)*(COUNTIFS($C$3:$P$3,"NOTTE",$C14:$P14,AH$3)=0))=0,"",IF(((AH14&lt;&gt;"Xm")*(COUNTIFS($C$3:$P$3,"MAT",$C14:$P14,AH$3)=0)*(COUNTIFS($C$3:$P$3,"NOTTE",$C14:$P14,AH$3)=0))+((AH14&lt;&gt;"Xp")*(COUNTIFS($C$3:$P$3,"POM",$C14:$P14,AH$3)=0)*(COUNTIFS($C$3:$P$3,"NOTTE",$C14:$P14,AH$3)=0))+((AH14&lt;&gt;"Xn")*(COUNTIFS($C$3:$P$3,"MAT",$C14:$P14,AH$3)=0)*(COUNTIFS($C$3:$P$3,"POM",$C14:$P14,AH$3)=0)*(COUNTIFS($C$3:$P$3,"NOTTE",$C14:$P14,AH$3)=0))=3,AH$3&amp;", ",AH$3&amp;IF((AH14&lt;&gt;"Xm")*(COUNTIFS($C$3:$P$3,"MAT",$C14:$P14,AH$3)=0)*(COUNTIFS($C$3:$P$3,"NOTTE",$C14:$P14,AH$3)=0),"_m","")&amp;IF((AH14&lt;&gt;"Xp")*(COUNTIFS($C$3:$P$3,"POM",$C14:$P14,AH$3)=0)*(COUNTIFS($C$3:$P$3,"NOTTE",$C14:$P14,AH$3)=0),"_p","")&amp;IF((AH14&lt;&gt;"Xn")*(COUNTIFS($C$3:$P$3,"MAT",$C14:$P14,AH$3)=0)*(COUNTIFS($C$3:$P$3,"POM",$C14:$P14,AH$3)=0)*(COUNTIFS($C$3:$P$3,"NOTTE",$C14:$P14,AH$3)=0),"_n","")&amp;", ")))</f>
        <v/>
      </c>
      <c r="CL14" s="1" t="str">
        <f aca="false">IF((AI14="X")+(AI14="Gn")+(AI14="C")+(AI13="Gn")&gt;0,"",IF(((AI14&lt;&gt;"Xm")*(COUNTIFS($C$3:$P$3,"MAT",$C14:$P14,AI$3)=0)*(COUNTIFS($C$3:$P$3,"NOTTE",$C14:$P14,AI$3)=0))+((AI14&lt;&gt;"Xp")*(COUNTIFS($C$3:$P$3,"POM",$C14:$P14,AI$3)=0)*(COUNTIFS($C$3:$P$3,"NOTTE",$C14:$P14,AI$3)=0))+((AI14&lt;&gt;"Xn")*(COUNTIFS($C$3:$P$3,"MAT",$C14:$P14,AI$3)=0)*(COUNTIFS($C$3:$P$3,"POM",$C14:$P14,AI$3)=0)*(COUNTIFS($C$3:$P$3,"NOTTE",$C14:$P14,AI$3)=0))=0,"",IF(((AI14&lt;&gt;"Xm")*(COUNTIFS($C$3:$P$3,"MAT",$C14:$P14,AI$3)=0)*(COUNTIFS($C$3:$P$3,"NOTTE",$C14:$P14,AI$3)=0))+((AI14&lt;&gt;"Xp")*(COUNTIFS($C$3:$P$3,"POM",$C14:$P14,AI$3)=0)*(COUNTIFS($C$3:$P$3,"NOTTE",$C14:$P14,AI$3)=0))+((AI14&lt;&gt;"Xn")*(COUNTIFS($C$3:$P$3,"MAT",$C14:$P14,AI$3)=0)*(COUNTIFS($C$3:$P$3,"POM",$C14:$P14,AI$3)=0)*(COUNTIFS($C$3:$P$3,"NOTTE",$C14:$P14,AI$3)=0))=3,AI$3&amp;", ",AI$3&amp;IF((AI14&lt;&gt;"Xm")*(COUNTIFS($C$3:$P$3,"MAT",$C14:$P14,AI$3)=0)*(COUNTIFS($C$3:$P$3,"NOTTE",$C14:$P14,AI$3)=0),"_m","")&amp;IF((AI14&lt;&gt;"Xp")*(COUNTIFS($C$3:$P$3,"POM",$C14:$P14,AI$3)=0)*(COUNTIFS($C$3:$P$3,"NOTTE",$C14:$P14,AI$3)=0),"_p","")&amp;IF((AI14&lt;&gt;"Xn")*(COUNTIFS($C$3:$P$3,"MAT",$C14:$P14,AI$3)=0)*(COUNTIFS($C$3:$P$3,"POM",$C14:$P14,AI$3)=0)*(COUNTIFS($C$3:$P$3,"NOTTE",$C14:$P14,AI$3)=0),"_n","")&amp;", ")))</f>
        <v>CONTI A_p_n, </v>
      </c>
      <c r="CM14" s="1" t="str">
        <f aca="false">IF((AJ14="X")+(AJ14="Gn")+(AJ14="C")+(AJ13="Gn")&gt;0,"",IF(((AJ14&lt;&gt;"Xm")*(COUNTIFS($C$3:$P$3,"MAT",$C14:$P14,AJ$3)=0)*(COUNTIFS($C$3:$P$3,"NOTTE",$C14:$P14,AJ$3)=0))+((AJ14&lt;&gt;"Xp")*(COUNTIFS($C$3:$P$3,"POM",$C14:$P14,AJ$3)=0)*(COUNTIFS($C$3:$P$3,"NOTTE",$C14:$P14,AJ$3)=0))+((AJ14&lt;&gt;"Xn")*(COUNTIFS($C$3:$P$3,"MAT",$C14:$P14,AJ$3)=0)*(COUNTIFS($C$3:$P$3,"POM",$C14:$P14,AJ$3)=0)*(COUNTIFS($C$3:$P$3,"NOTTE",$C14:$P14,AJ$3)=0))=0,"",IF(((AJ14&lt;&gt;"Xm")*(COUNTIFS($C$3:$P$3,"MAT",$C14:$P14,AJ$3)=0)*(COUNTIFS($C$3:$P$3,"NOTTE",$C14:$P14,AJ$3)=0))+((AJ14&lt;&gt;"Xp")*(COUNTIFS($C$3:$P$3,"POM",$C14:$P14,AJ$3)=0)*(COUNTIFS($C$3:$P$3,"NOTTE",$C14:$P14,AJ$3)=0))+((AJ14&lt;&gt;"Xn")*(COUNTIFS($C$3:$P$3,"MAT",$C14:$P14,AJ$3)=0)*(COUNTIFS($C$3:$P$3,"POM",$C14:$P14,AJ$3)=0)*(COUNTIFS($C$3:$P$3,"NOTTE",$C14:$P14,AJ$3)=0))=3,AJ$3&amp;", ",AJ$3&amp;IF((AJ14&lt;&gt;"Xm")*(COUNTIFS($C$3:$P$3,"MAT",$C14:$P14,AJ$3)=0)*(COUNTIFS($C$3:$P$3,"NOTTE",$C14:$P14,AJ$3)=0),"_m","")&amp;IF((AJ14&lt;&gt;"Xp")*(COUNTIFS($C$3:$P$3,"POM",$C14:$P14,AJ$3)=0)*(COUNTIFS($C$3:$P$3,"NOTTE",$C14:$P14,AJ$3)=0),"_p","")&amp;IF((AJ14&lt;&gt;"Xn")*(COUNTIFS($C$3:$P$3,"MAT",$C14:$P14,AJ$3)=0)*(COUNTIFS($C$3:$P$3,"POM",$C14:$P14,AJ$3)=0)*(COUNTIFS($C$3:$P$3,"NOTTE",$C14:$P14,AJ$3)=0),"_n","")&amp;", ")))</f>
        <v/>
      </c>
      <c r="CN14" s="1" t="str">
        <f aca="false">IF((AK14="X")+(AK14="Gn")+(AK14="C")+(AK13="Gn")&gt;0,"",IF(((AK14&lt;&gt;"Xm")*(COUNTIFS($C$3:$P$3,"MAT",$C14:$P14,AK$3)=0)*(COUNTIFS($C$3:$P$3,"NOTTE",$C14:$P14,AK$3)=0))+((AK14&lt;&gt;"Xp")*(COUNTIFS($C$3:$P$3,"POM",$C14:$P14,AK$3)=0)*(COUNTIFS($C$3:$P$3,"NOTTE",$C14:$P14,AK$3)=0))+((AK14&lt;&gt;"Xn")*(COUNTIFS($C$3:$P$3,"MAT",$C14:$P14,AK$3)=0)*(COUNTIFS($C$3:$P$3,"POM",$C14:$P14,AK$3)=0)*(COUNTIFS($C$3:$P$3,"NOTTE",$C14:$P14,AK$3)=0))=0,"",IF(((AK14&lt;&gt;"Xm")*(COUNTIFS($C$3:$P$3,"MAT",$C14:$P14,AK$3)=0)*(COUNTIFS($C$3:$P$3,"NOTTE",$C14:$P14,AK$3)=0))+((AK14&lt;&gt;"Xp")*(COUNTIFS($C$3:$P$3,"POM",$C14:$P14,AK$3)=0)*(COUNTIFS($C$3:$P$3,"NOTTE",$C14:$P14,AK$3)=0))+((AK14&lt;&gt;"Xn")*(COUNTIFS($C$3:$P$3,"MAT",$C14:$P14,AK$3)=0)*(COUNTIFS($C$3:$P$3,"POM",$C14:$P14,AK$3)=0)*(COUNTIFS($C$3:$P$3,"NOTTE",$C14:$P14,AK$3)=0))=3,AK$3&amp;", ",AK$3&amp;IF((AK14&lt;&gt;"Xm")*(COUNTIFS($C$3:$P$3,"MAT",$C14:$P14,AK$3)=0)*(COUNTIFS($C$3:$P$3,"NOTTE",$C14:$P14,AK$3)=0),"_m","")&amp;IF((AK14&lt;&gt;"Xp")*(COUNTIFS($C$3:$P$3,"POM",$C14:$P14,AK$3)=0)*(COUNTIFS($C$3:$P$3,"NOTTE",$C14:$P14,AK$3)=0),"_p","")&amp;IF((AK14&lt;&gt;"Xn")*(COUNTIFS($C$3:$P$3,"MAT",$C14:$P14,AK$3)=0)*(COUNTIFS($C$3:$P$3,"POM",$C14:$P14,AK$3)=0)*(COUNTIFS($C$3:$P$3,"NOTTE",$C14:$P14,AK$3)=0),"_n","")&amp;", ")))</f>
        <v>FERRARI_m, </v>
      </c>
      <c r="CO14" s="1" t="str">
        <f aca="false">IF((AL14="X")+(AL14="Gn")+(AL14="C")+(AL13="Gn")&gt;0,"",IF(((AL14&lt;&gt;"Xm")*(COUNTIFS($C$3:$P$3,"MAT",$C14:$P14,AL$3)=0)*(COUNTIFS($C$3:$P$3,"NOTTE",$C14:$P14,AL$3)=0))+((AL14&lt;&gt;"Xp")*(COUNTIFS($C$3:$P$3,"POM",$C14:$P14,AL$3)=0)*(COUNTIFS($C$3:$P$3,"NOTTE",$C14:$P14,AL$3)=0))+((AL14&lt;&gt;"Xn")*(COUNTIFS($C$3:$P$3,"MAT",$C14:$P14,AL$3)=0)*(COUNTIFS($C$3:$P$3,"POM",$C14:$P14,AL$3)=0)*(COUNTIFS($C$3:$P$3,"NOTTE",$C14:$P14,AL$3)=0))=0,"",IF(((AL14&lt;&gt;"Xm")*(COUNTIFS($C$3:$P$3,"MAT",$C14:$P14,AL$3)=0)*(COUNTIFS($C$3:$P$3,"NOTTE",$C14:$P14,AL$3)=0))+((AL14&lt;&gt;"Xp")*(COUNTIFS($C$3:$P$3,"POM",$C14:$P14,AL$3)=0)*(COUNTIFS($C$3:$P$3,"NOTTE",$C14:$P14,AL$3)=0))+((AL14&lt;&gt;"Xn")*(COUNTIFS($C$3:$P$3,"MAT",$C14:$P14,AL$3)=0)*(COUNTIFS($C$3:$P$3,"POM",$C14:$P14,AL$3)=0)*(COUNTIFS($C$3:$P$3,"NOTTE",$C14:$P14,AL$3)=0))=3,AL$3&amp;", ",AL$3&amp;IF((AL14&lt;&gt;"Xm")*(COUNTIFS($C$3:$P$3,"MAT",$C14:$P14,AL$3)=0)*(COUNTIFS($C$3:$P$3,"NOTTE",$C14:$P14,AL$3)=0),"_m","")&amp;IF((AL14&lt;&gt;"Xp")*(COUNTIFS($C$3:$P$3,"POM",$C14:$P14,AL$3)=0)*(COUNTIFS($C$3:$P$3,"NOTTE",$C14:$P14,AL$3)=0),"_p","")&amp;IF((AL14&lt;&gt;"Xn")*(COUNTIFS($C$3:$P$3,"MAT",$C14:$P14,AL$3)=0)*(COUNTIFS($C$3:$P$3,"POM",$C14:$P14,AL$3)=0)*(COUNTIFS($C$3:$P$3,"NOTTE",$C14:$P14,AL$3)=0),"_n","")&amp;", ")))</f>
        <v/>
      </c>
      <c r="CP14" s="1" t="str">
        <f aca="false">IF((AM14="X")+(AM14="Gn")+(AM14="C")+(AM13="Gn")&gt;0,"",IF(((AM14&lt;&gt;"Xm")*(COUNTIFS($C$3:$P$3,"MAT",$C14:$P14,AM$3)=0)*(COUNTIFS($C$3:$P$3,"NOTTE",$C14:$P14,AM$3)=0))+((AM14&lt;&gt;"Xp")*(COUNTIFS($C$3:$P$3,"POM",$C14:$P14,AM$3)=0)*(COUNTIFS($C$3:$P$3,"NOTTE",$C14:$P14,AM$3)=0))+((AM14&lt;&gt;"Xn")*(COUNTIFS($C$3:$P$3,"MAT",$C14:$P14,AM$3)=0)*(COUNTIFS($C$3:$P$3,"POM",$C14:$P14,AM$3)=0)*(COUNTIFS($C$3:$P$3,"NOTTE",$C14:$P14,AM$3)=0))=0,"",IF(((AM14&lt;&gt;"Xm")*(COUNTIFS($C$3:$P$3,"MAT",$C14:$P14,AM$3)=0)*(COUNTIFS($C$3:$P$3,"NOTTE",$C14:$P14,AM$3)=0))+((AM14&lt;&gt;"Xp")*(COUNTIFS($C$3:$P$3,"POM",$C14:$P14,AM$3)=0)*(COUNTIFS($C$3:$P$3,"NOTTE",$C14:$P14,AM$3)=0))+((AM14&lt;&gt;"Xn")*(COUNTIFS($C$3:$P$3,"MAT",$C14:$P14,AM$3)=0)*(COUNTIFS($C$3:$P$3,"POM",$C14:$P14,AM$3)=0)*(COUNTIFS($C$3:$P$3,"NOTTE",$C14:$P14,AM$3)=0))=3,AM$3&amp;", ",AM$3&amp;IF((AM14&lt;&gt;"Xm")*(COUNTIFS($C$3:$P$3,"MAT",$C14:$P14,AM$3)=0)*(COUNTIFS($C$3:$P$3,"NOTTE",$C14:$P14,AM$3)=0),"_m","")&amp;IF((AM14&lt;&gt;"Xp")*(COUNTIFS($C$3:$P$3,"POM",$C14:$P14,AM$3)=0)*(COUNTIFS($C$3:$P$3,"NOTTE",$C14:$P14,AM$3)=0),"_p","")&amp;IF((AM14&lt;&gt;"Xn")*(COUNTIFS($C$3:$P$3,"MAT",$C14:$P14,AM$3)=0)*(COUNTIFS($C$3:$P$3,"POM",$C14:$P14,AM$3)=0)*(COUNTIFS($C$3:$P$3,"NOTTE",$C14:$P14,AM$3)=0),"_n","")&amp;", ")))</f>
        <v>SANNA, </v>
      </c>
      <c r="CQ14" s="1" t="str">
        <f aca="false">IF((AN14="X")+(AN14="Gn")+(AN14="C")+(AN13="Gn")&gt;0,"",IF(((AN14&lt;&gt;"Xm")*(COUNTIFS($C$3:$P$3,"MAT",$C14:$P14,AN$3)=0)*(COUNTIFS($C$3:$P$3,"NOTTE",$C14:$P14,AN$3)=0))+((AN14&lt;&gt;"Xp")*(COUNTIFS($C$3:$P$3,"POM",$C14:$P14,AN$3)=0)*(COUNTIFS($C$3:$P$3,"NOTTE",$C14:$P14,AN$3)=0))+((AN14&lt;&gt;"Xn")*(COUNTIFS($C$3:$P$3,"MAT",$C14:$P14,AN$3)=0)*(COUNTIFS($C$3:$P$3,"POM",$C14:$P14,AN$3)=0)*(COUNTIFS($C$3:$P$3,"NOTTE",$C14:$P14,AN$3)=0))=0,"",IF(((AN14&lt;&gt;"Xm")*(COUNTIFS($C$3:$P$3,"MAT",$C14:$P14,AN$3)=0)*(COUNTIFS($C$3:$P$3,"NOTTE",$C14:$P14,AN$3)=0))+((AN14&lt;&gt;"Xp")*(COUNTIFS($C$3:$P$3,"POM",$C14:$P14,AN$3)=0)*(COUNTIFS($C$3:$P$3,"NOTTE",$C14:$P14,AN$3)=0))+((AN14&lt;&gt;"Xn")*(COUNTIFS($C$3:$P$3,"MAT",$C14:$P14,AN$3)=0)*(COUNTIFS($C$3:$P$3,"POM",$C14:$P14,AN$3)=0)*(COUNTIFS($C$3:$P$3,"NOTTE",$C14:$P14,AN$3)=0))=3,AN$3&amp;", ",AN$3&amp;IF((AN14&lt;&gt;"Xm")*(COUNTIFS($C$3:$P$3,"MAT",$C14:$P14,AN$3)=0)*(COUNTIFS($C$3:$P$3,"NOTTE",$C14:$P14,AN$3)=0),"_m","")&amp;IF((AN14&lt;&gt;"Xp")*(COUNTIFS($C$3:$P$3,"POM",$C14:$P14,AN$3)=0)*(COUNTIFS($C$3:$P$3,"NOTTE",$C14:$P14,AN$3)=0),"_p","")&amp;IF((AN14&lt;&gt;"Xn")*(COUNTIFS($C$3:$P$3,"MAT",$C14:$P14,AN$3)=0)*(COUNTIFS($C$3:$P$3,"POM",$C14:$P14,AN$3)=0)*(COUNTIFS($C$3:$P$3,"NOTTE",$C14:$P14,AN$3)=0),"_n","")&amp;", ")))</f>
        <v>LI_p, </v>
      </c>
    </row>
    <row r="15" customFormat="false" ht="15" hidden="false" customHeight="true" outlineLevel="0" collapsed="false">
      <c r="A15" s="15" t="str">
        <f aca="false">CHOOSE(WEEKDAY(DATE($B$1,$A$2,B15),2),"lunedì","martedì","mercoledì","giovedì","venerdì","sabato","domenica")</f>
        <v>giovedì</v>
      </c>
      <c r="B15" s="15" t="n">
        <v>12</v>
      </c>
      <c r="C15" s="16" t="s">
        <v>23</v>
      </c>
      <c r="D15" s="16" t="s">
        <v>23</v>
      </c>
      <c r="E15" s="16" t="s">
        <v>24</v>
      </c>
      <c r="F15" s="16" t="s">
        <v>24</v>
      </c>
      <c r="G15" s="16" t="s">
        <v>36</v>
      </c>
      <c r="H15" s="16" t="s">
        <v>36</v>
      </c>
      <c r="I15" s="16" t="s">
        <v>34</v>
      </c>
      <c r="J15" s="16" t="s">
        <v>34</v>
      </c>
      <c r="K15" s="16" t="s">
        <v>33</v>
      </c>
      <c r="L15" s="16"/>
      <c r="M15" s="16" t="s">
        <v>35</v>
      </c>
      <c r="N15" s="16" t="s">
        <v>25</v>
      </c>
      <c r="O15" s="16" t="s">
        <v>25</v>
      </c>
      <c r="P15" s="16" t="s">
        <v>27</v>
      </c>
      <c r="Q15" s="16"/>
      <c r="R15" s="16" t="str">
        <f aca="false">IF(SUMPRODUCT(($C$3:$P$3&lt;&gt;"")*($C15:$P15&lt;&gt;"")*(COUNTIFS($C15:$P15,$C15:$P15,$C$3:$P$3,$C$3:$P$3)&gt;1))&gt;0,"X","")</f>
        <v/>
      </c>
      <c r="S15" s="17" t="str">
        <f aca="false"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RUSSO, VERDI, HU, CONTI S_p_n, FERRARI, GRECO, SANNA, LI</v>
      </c>
      <c r="T15" s="17" t="str">
        <f aca="false"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VERDI, HU, CONTI S_p_n, FERRARI_p, SANNA_m</v>
      </c>
      <c r="Y15" s="15" t="str">
        <f aca="false">A15</f>
        <v>giovedì</v>
      </c>
      <c r="Z15" s="15" t="n">
        <f aca="false">B15</f>
        <v>12</v>
      </c>
      <c r="AA15" s="16"/>
      <c r="AB15" s="16"/>
      <c r="AC15" s="16"/>
      <c r="AD15" s="16" t="s">
        <v>42</v>
      </c>
      <c r="AE15" s="16"/>
      <c r="AF15" s="16"/>
      <c r="AG15" s="16"/>
      <c r="AH15" s="16" t="s">
        <v>42</v>
      </c>
      <c r="AI15" s="16" t="s">
        <v>42</v>
      </c>
      <c r="AJ15" s="16" t="s">
        <v>46</v>
      </c>
      <c r="AK15" s="16"/>
      <c r="AL15" s="16"/>
      <c r="AM15" s="16"/>
      <c r="AN15" s="16"/>
      <c r="AS15" s="13" t="str">
        <f aca="false">AL$3</f>
        <v>GRECO</v>
      </c>
      <c r="AT15" s="13" t="n">
        <f aca="false">COUNTIF($C$4:$D$33,$AS15)</f>
        <v>0</v>
      </c>
      <c r="AU15" s="13" t="n">
        <f aca="false">COUNTIF($E$4:$F$33,$AS15)</f>
        <v>0</v>
      </c>
      <c r="AV15" s="13" t="n">
        <f aca="false">COUNTIF($G$4:$H$33,$AS15)</f>
        <v>0</v>
      </c>
      <c r="AW15" s="13" t="n">
        <f aca="false">COUNTIF($I$4:$J$33,$AS15)</f>
        <v>24</v>
      </c>
      <c r="AX15" s="13" t="n">
        <f aca="false">COUNTIF($K$4:$K$33,$AS15)</f>
        <v>0</v>
      </c>
      <c r="AY15" s="13" t="n">
        <f aca="false">COUNTIF($L$4:$L$33,$AS15)</f>
        <v>0</v>
      </c>
      <c r="AZ15" s="13" t="n">
        <f aca="false">COUNTIF($M$4:$M$33,$AS15)</f>
        <v>0</v>
      </c>
      <c r="BA15" s="13" t="n">
        <f aca="false">COUNTIF($N$4:$P$33,$AS15)</f>
        <v>0</v>
      </c>
      <c r="BB15" s="13" t="n">
        <f aca="false">COUNTIF($C$4:$P$33,$AS15)</f>
        <v>24</v>
      </c>
      <c r="BD15" s="14" t="str">
        <f aca="false">AL$3</f>
        <v>GRECO</v>
      </c>
      <c r="BE15" s="14"/>
      <c r="BF15" s="14"/>
      <c r="BG15" s="14"/>
      <c r="BH15" s="14"/>
      <c r="BI15" s="14"/>
      <c r="BJ15" s="14"/>
      <c r="BK15" s="14"/>
      <c r="BL15" s="14"/>
      <c r="BM15" s="14"/>
      <c r="BO15" s="1" t="str">
        <f aca="false">IF((AA15="X")+(AA15="Gn")+(AA15="C")+(AA14="Gn")&gt;0,"",IF(((AA15&lt;&gt;"Xm"))+((AA15&lt;&gt;"Xp"))+((AA15&lt;&gt;"Xn"))=0,"",IF(((AA15&lt;&gt;"Xm"))+((AA15&lt;&gt;"Xp"))+((AA15&lt;&gt;"Xn"))=3,AA$3&amp;", ",AA$3&amp;IF((AA15&lt;&gt;"Xm"),"_m","")&amp;IF((AA15&lt;&gt;"Xp"),"_p","")&amp;IF((AA15&lt;&gt;"Xn"),"_n","")&amp;", ")))</f>
        <v>LEONI, </v>
      </c>
      <c r="BP15" s="1" t="str">
        <f aca="false">IF((AB15="X")+(AB15="Gn")+(AB15="C")+(AB14="Gn")&gt;0,"",IF(((AB15&lt;&gt;"Xm"))+((AB15&lt;&gt;"Xp"))+((AB15&lt;&gt;"Xn"))=0,"",IF(((AB15&lt;&gt;"Xm"))+((AB15&lt;&gt;"Xp"))+((AB15&lt;&gt;"Xn"))=3,AB$3&amp;", ",AB$3&amp;IF((AB15&lt;&gt;"Xm"),"_m","")&amp;IF((AB15&lt;&gt;"Xp"),"_p","")&amp;IF((AB15&lt;&gt;"Xn"),"_n","")&amp;", ")))</f>
        <v>ROSSI M, </v>
      </c>
      <c r="BQ15" s="1" t="str">
        <f aca="false">IF((AC15="X")+(AC15="Gn")+(AC15="C")+(AC14="Gn")&gt;0,"",IF(((AC15&lt;&gt;"Xm"))+((AC15&lt;&gt;"Xp"))+((AC15&lt;&gt;"Xn"))=0,"",IF(((AC15&lt;&gt;"Xm"))+((AC15&lt;&gt;"Xp"))+((AC15&lt;&gt;"Xn"))=3,AC$3&amp;", ",AC$3&amp;IF((AC15&lt;&gt;"Xm"),"_m","")&amp;IF((AC15&lt;&gt;"Xp"),"_p","")&amp;IF((AC15&lt;&gt;"Xn"),"_n","")&amp;", ")))</f>
        <v>ROSSI L, </v>
      </c>
      <c r="BR15" s="1" t="str">
        <f aca="false">IF((AD15="X")+(AD15="Gn")+(AD15="C")+(AD14="Gn")&gt;0,"",IF(((AD15&lt;&gt;"Xm"))+((AD15&lt;&gt;"Xp"))+((AD15&lt;&gt;"Xn"))=0,"",IF(((AD15&lt;&gt;"Xm"))+((AD15&lt;&gt;"Xp"))+((AD15&lt;&gt;"Xn"))=3,AD$3&amp;", ",AD$3&amp;IF((AD15&lt;&gt;"Xm"),"_m","")&amp;IF((AD15&lt;&gt;"Xp"),"_p","")&amp;IF((AD15&lt;&gt;"Xn"),"_n","")&amp;", ")))</f>
        <v/>
      </c>
      <c r="BS15" s="1" t="str">
        <f aca="false">IF((AE15="X")+(AE15="Gn")+(AE15="C")+(AE14="Gn")&gt;0,"",IF(((AE15&lt;&gt;"Xm"))+((AE15&lt;&gt;"Xp"))+((AE15&lt;&gt;"Xn"))=0,"",IF(((AE15&lt;&gt;"Xm"))+((AE15&lt;&gt;"Xp"))+((AE15&lt;&gt;"Xn"))=3,AE$3&amp;", ",AE$3&amp;IF((AE15&lt;&gt;"Xm"),"_m","")&amp;IF((AE15&lt;&gt;"Xp"),"_p","")&amp;IF((AE15&lt;&gt;"Xn"),"_n","")&amp;", ")))</f>
        <v>RUSSO, </v>
      </c>
      <c r="BT15" s="1" t="str">
        <f aca="false">IF((AF15="X")+(AF15="Gn")+(AF15="C")+(AF14="Gn")&gt;0,"",IF(((AF15&lt;&gt;"Xm"))+((AF15&lt;&gt;"Xp"))+((AF15&lt;&gt;"Xn"))=0,"",IF(((AF15&lt;&gt;"Xm"))+((AF15&lt;&gt;"Xp"))+((AF15&lt;&gt;"Xn"))=3,AF$3&amp;", ",AF$3&amp;IF((AF15&lt;&gt;"Xm"),"_m","")&amp;IF((AF15&lt;&gt;"Xp"),"_p","")&amp;IF((AF15&lt;&gt;"Xn"),"_n","")&amp;", ")))</f>
        <v>VERDI, </v>
      </c>
      <c r="BU15" s="1" t="str">
        <f aca="false">IF((AG15="X")+(AG15="Gn")+(AG15="C")+(AG14="Gn")&gt;0,"",IF(((AG15&lt;&gt;"Xm"))+((AG15&lt;&gt;"Xp"))+((AG15&lt;&gt;"Xn"))=0,"",IF(((AG15&lt;&gt;"Xm"))+((AG15&lt;&gt;"Xp"))+((AG15&lt;&gt;"Xn"))=3,AG$3&amp;", ",AG$3&amp;IF((AG15&lt;&gt;"Xm"),"_m","")&amp;IF((AG15&lt;&gt;"Xp"),"_p","")&amp;IF((AG15&lt;&gt;"Xn"),"_n","")&amp;", ")))</f>
        <v>HU, </v>
      </c>
      <c r="BV15" s="1" t="str">
        <f aca="false">IF((AH15="X")+(AH15="Gn")+(AH15="C")+(AH14="Gn")&gt;0,"",IF(((AH15&lt;&gt;"Xm"))+((AH15&lt;&gt;"Xp"))+((AH15&lt;&gt;"Xn"))=0,"",IF(((AH15&lt;&gt;"Xm"))+((AH15&lt;&gt;"Xp"))+((AH15&lt;&gt;"Xn"))=3,AH$3&amp;", ",AH$3&amp;IF((AH15&lt;&gt;"Xm"),"_m","")&amp;IF((AH15&lt;&gt;"Xp"),"_p","")&amp;IF((AH15&lt;&gt;"Xn"),"_n","")&amp;", ")))</f>
        <v/>
      </c>
      <c r="BW15" s="1" t="str">
        <f aca="false">IF((AI15="X")+(AI15="Gn")+(AI15="C")+(AI14="Gn")&gt;0,"",IF(((AI15&lt;&gt;"Xm"))+((AI15&lt;&gt;"Xp"))+((AI15&lt;&gt;"Xn"))=0,"",IF(((AI15&lt;&gt;"Xm"))+((AI15&lt;&gt;"Xp"))+((AI15&lt;&gt;"Xn"))=3,AI$3&amp;", ",AI$3&amp;IF((AI15&lt;&gt;"Xm"),"_m","")&amp;IF((AI15&lt;&gt;"Xp"),"_p","")&amp;IF((AI15&lt;&gt;"Xn"),"_n","")&amp;", ")))</f>
        <v/>
      </c>
      <c r="BX15" s="1" t="str">
        <f aca="false">IF((AJ15="X")+(AJ15="Gn")+(AJ15="C")+(AJ14="Gn")&gt;0,"",IF(((AJ15&lt;&gt;"Xm"))+((AJ15&lt;&gt;"Xp"))+((AJ15&lt;&gt;"Xn"))=0,"",IF(((AJ15&lt;&gt;"Xm"))+((AJ15&lt;&gt;"Xp"))+((AJ15&lt;&gt;"Xn"))=3,AJ$3&amp;", ",AJ$3&amp;IF((AJ15&lt;&gt;"Xm"),"_m","")&amp;IF((AJ15&lt;&gt;"Xp"),"_p","")&amp;IF((AJ15&lt;&gt;"Xn"),"_n","")&amp;", ")))</f>
        <v>CONTI S_p_n, </v>
      </c>
      <c r="BY15" s="1" t="str">
        <f aca="false">IF((AK15="X")+(AK15="Gn")+(AK15="C")+(AK14="Gn")&gt;0,"",IF(((AK15&lt;&gt;"Xm"))+((AK15&lt;&gt;"Xp"))+((AK15&lt;&gt;"Xn"))=0,"",IF(((AK15&lt;&gt;"Xm"))+((AK15&lt;&gt;"Xp"))+((AK15&lt;&gt;"Xn"))=3,AK$3&amp;", ",AK$3&amp;IF((AK15&lt;&gt;"Xm"),"_m","")&amp;IF((AK15&lt;&gt;"Xp"),"_p","")&amp;IF((AK15&lt;&gt;"Xn"),"_n","")&amp;", ")))</f>
        <v>FERRARI, </v>
      </c>
      <c r="BZ15" s="1" t="str">
        <f aca="false">IF((AL15="X")+(AL15="Gn")+(AL15="C")+(AL14="Gn")&gt;0,"",IF(((AL15&lt;&gt;"Xm"))+((AL15&lt;&gt;"Xp"))+((AL15&lt;&gt;"Xn"))=0,"",IF(((AL15&lt;&gt;"Xm"))+((AL15&lt;&gt;"Xp"))+((AL15&lt;&gt;"Xn"))=3,AL$3&amp;", ",AL$3&amp;IF((AL15&lt;&gt;"Xm"),"_m","")&amp;IF((AL15&lt;&gt;"Xp"),"_p","")&amp;IF((AL15&lt;&gt;"Xn"),"_n","")&amp;", ")))</f>
        <v>GRECO, </v>
      </c>
      <c r="CA15" s="1" t="str">
        <f aca="false">IF((AM15="X")+(AM15="Gn")+(AM15="C")+(AM14="Gn")&gt;0,"",IF(((AM15&lt;&gt;"Xm"))+((AM15&lt;&gt;"Xp"))+((AM15&lt;&gt;"Xn"))=0,"",IF(((AM15&lt;&gt;"Xm"))+((AM15&lt;&gt;"Xp"))+((AM15&lt;&gt;"Xn"))=3,AM$3&amp;", ",AM$3&amp;IF((AM15&lt;&gt;"Xm"),"_m","")&amp;IF((AM15&lt;&gt;"Xp"),"_p","")&amp;IF((AM15&lt;&gt;"Xn"),"_n","")&amp;", ")))</f>
        <v>SANNA, </v>
      </c>
      <c r="CB15" s="1" t="str">
        <f aca="false">IF((AN15="X")+(AN15="Gn")+(AN15="C")+(AN14="Gn")&gt;0,"",IF(((AN15&lt;&gt;"Xm"))+((AN15&lt;&gt;"Xp"))+((AN15&lt;&gt;"Xn"))=0,"",IF(((AN15&lt;&gt;"Xm"))+((AN15&lt;&gt;"Xp"))+((AN15&lt;&gt;"Xn"))=3,AN$3&amp;", ",AN$3&amp;IF((AN15&lt;&gt;"Xm"),"_m","")&amp;IF((AN15&lt;&gt;"Xp"),"_p","")&amp;IF((AN15&lt;&gt;"Xn"),"_n","")&amp;", ")))</f>
        <v>LI, </v>
      </c>
      <c r="CD15" s="1" t="str">
        <f aca="false">IF((AA15="X")+(AA15="Gn")+(AA15="C")+(AA14="Gn")&gt;0,"",IF(((AA15&lt;&gt;"Xm")*(COUNTIFS($C$3:$P$3,"MAT",$C15:$P15,AA$3)=0)*(COUNTIFS($C$3:$P$3,"NOTTE",$C15:$P15,AA$3)=0))+((AA15&lt;&gt;"Xp")*(COUNTIFS($C$3:$P$3,"POM",$C15:$P15,AA$3)=0)*(COUNTIFS($C$3:$P$3,"NOTTE",$C15:$P15,AA$3)=0))+((AA15&lt;&gt;"Xn")*(COUNTIFS($C$3:$P$3,"MAT",$C15:$P15,AA$3)=0)*(COUNTIFS($C$3:$P$3,"POM",$C15:$P15,AA$3)=0)*(COUNTIFS($C$3:$P$3,"NOTTE",$C15:$P15,AA$3)=0))=0,"",IF(((AA15&lt;&gt;"Xm")*(COUNTIFS($C$3:$P$3,"MAT",$C15:$P15,AA$3)=0)*(COUNTIFS($C$3:$P$3,"NOTTE",$C15:$P15,AA$3)=0))+((AA15&lt;&gt;"Xp")*(COUNTIFS($C$3:$P$3,"POM",$C15:$P15,AA$3)=0)*(COUNTIFS($C$3:$P$3,"NOTTE",$C15:$P15,AA$3)=0))+((AA15&lt;&gt;"Xn")*(COUNTIFS($C$3:$P$3,"MAT",$C15:$P15,AA$3)=0)*(COUNTIFS($C$3:$P$3,"POM",$C15:$P15,AA$3)=0)*(COUNTIFS($C$3:$P$3,"NOTTE",$C15:$P15,AA$3)=0))=3,AA$3&amp;", ",AA$3&amp;IF((AA15&lt;&gt;"Xm")*(COUNTIFS($C$3:$P$3,"MAT",$C15:$P15,AA$3)=0)*(COUNTIFS($C$3:$P$3,"NOTTE",$C15:$P15,AA$3)=0),"_m","")&amp;IF((AA15&lt;&gt;"Xp")*(COUNTIFS($C$3:$P$3,"POM",$C15:$P15,AA$3)=0)*(COUNTIFS($C$3:$P$3,"NOTTE",$C15:$P15,AA$3)=0),"_p","")&amp;IF((AA15&lt;&gt;"Xn")*(COUNTIFS($C$3:$P$3,"MAT",$C15:$P15,AA$3)=0)*(COUNTIFS($C$3:$P$3,"POM",$C15:$P15,AA$3)=0)*(COUNTIFS($C$3:$P$3,"NOTTE",$C15:$P15,AA$3)=0),"_n","")&amp;", ")))</f>
        <v/>
      </c>
      <c r="CE15" s="1" t="str">
        <f aca="false">IF((AB15="X")+(AB15="Gn")+(AB15="C")+(AB14="Gn")&gt;0,"",IF(((AB15&lt;&gt;"Xm")*(COUNTIFS($C$3:$P$3,"MAT",$C15:$P15,AB$3)=0)*(COUNTIFS($C$3:$P$3,"NOTTE",$C15:$P15,AB$3)=0))+((AB15&lt;&gt;"Xp")*(COUNTIFS($C$3:$P$3,"POM",$C15:$P15,AB$3)=0)*(COUNTIFS($C$3:$P$3,"NOTTE",$C15:$P15,AB$3)=0))+((AB15&lt;&gt;"Xn")*(COUNTIFS($C$3:$P$3,"MAT",$C15:$P15,AB$3)=0)*(COUNTIFS($C$3:$P$3,"POM",$C15:$P15,AB$3)=0)*(COUNTIFS($C$3:$P$3,"NOTTE",$C15:$P15,AB$3)=0))=0,"",IF(((AB15&lt;&gt;"Xm")*(COUNTIFS($C$3:$P$3,"MAT",$C15:$P15,AB$3)=0)*(COUNTIFS($C$3:$P$3,"NOTTE",$C15:$P15,AB$3)=0))+((AB15&lt;&gt;"Xp")*(COUNTIFS($C$3:$P$3,"POM",$C15:$P15,AB$3)=0)*(COUNTIFS($C$3:$P$3,"NOTTE",$C15:$P15,AB$3)=0))+((AB15&lt;&gt;"Xn")*(COUNTIFS($C$3:$P$3,"MAT",$C15:$P15,AB$3)=0)*(COUNTIFS($C$3:$P$3,"POM",$C15:$P15,AB$3)=0)*(COUNTIFS($C$3:$P$3,"NOTTE",$C15:$P15,AB$3)=0))=3,AB$3&amp;", ",AB$3&amp;IF((AB15&lt;&gt;"Xm")*(COUNTIFS($C$3:$P$3,"MAT",$C15:$P15,AB$3)=0)*(COUNTIFS($C$3:$P$3,"NOTTE",$C15:$P15,AB$3)=0),"_m","")&amp;IF((AB15&lt;&gt;"Xp")*(COUNTIFS($C$3:$P$3,"POM",$C15:$P15,AB$3)=0)*(COUNTIFS($C$3:$P$3,"NOTTE",$C15:$P15,AB$3)=0),"_p","")&amp;IF((AB15&lt;&gt;"Xn")*(COUNTIFS($C$3:$P$3,"MAT",$C15:$P15,AB$3)=0)*(COUNTIFS($C$3:$P$3,"POM",$C15:$P15,AB$3)=0)*(COUNTIFS($C$3:$P$3,"NOTTE",$C15:$P15,AB$3)=0),"_n","")&amp;", ")))</f>
        <v/>
      </c>
      <c r="CF15" s="1" t="str">
        <f aca="false">IF((AC15="X")+(AC15="Gn")+(AC15="C")+(AC14="Gn")&gt;0,"",IF(((AC15&lt;&gt;"Xm")*(COUNTIFS($C$3:$P$3,"MAT",$C15:$P15,AC$3)=0)*(COUNTIFS($C$3:$P$3,"NOTTE",$C15:$P15,AC$3)=0))+((AC15&lt;&gt;"Xp")*(COUNTIFS($C$3:$P$3,"POM",$C15:$P15,AC$3)=0)*(COUNTIFS($C$3:$P$3,"NOTTE",$C15:$P15,AC$3)=0))+((AC15&lt;&gt;"Xn")*(COUNTIFS($C$3:$P$3,"MAT",$C15:$P15,AC$3)=0)*(COUNTIFS($C$3:$P$3,"POM",$C15:$P15,AC$3)=0)*(COUNTIFS($C$3:$P$3,"NOTTE",$C15:$P15,AC$3)=0))=0,"",IF(((AC15&lt;&gt;"Xm")*(COUNTIFS($C$3:$P$3,"MAT",$C15:$P15,AC$3)=0)*(COUNTIFS($C$3:$P$3,"NOTTE",$C15:$P15,AC$3)=0))+((AC15&lt;&gt;"Xp")*(COUNTIFS($C$3:$P$3,"POM",$C15:$P15,AC$3)=0)*(COUNTIFS($C$3:$P$3,"NOTTE",$C15:$P15,AC$3)=0))+((AC15&lt;&gt;"Xn")*(COUNTIFS($C$3:$P$3,"MAT",$C15:$P15,AC$3)=0)*(COUNTIFS($C$3:$P$3,"POM",$C15:$P15,AC$3)=0)*(COUNTIFS($C$3:$P$3,"NOTTE",$C15:$P15,AC$3)=0))=3,AC$3&amp;", ",AC$3&amp;IF((AC15&lt;&gt;"Xm")*(COUNTIFS($C$3:$P$3,"MAT",$C15:$P15,AC$3)=0)*(COUNTIFS($C$3:$P$3,"NOTTE",$C15:$P15,AC$3)=0),"_m","")&amp;IF((AC15&lt;&gt;"Xp")*(COUNTIFS($C$3:$P$3,"POM",$C15:$P15,AC$3)=0)*(COUNTIFS($C$3:$P$3,"NOTTE",$C15:$P15,AC$3)=0),"_p","")&amp;IF((AC15&lt;&gt;"Xn")*(COUNTIFS($C$3:$P$3,"MAT",$C15:$P15,AC$3)=0)*(COUNTIFS($C$3:$P$3,"POM",$C15:$P15,AC$3)=0)*(COUNTIFS($C$3:$P$3,"NOTTE",$C15:$P15,AC$3)=0),"_n","")&amp;", ")))</f>
        <v/>
      </c>
      <c r="CG15" s="1" t="str">
        <f aca="false">IF((AD15="X")+(AD15="Gn")+(AD15="C")+(AD14="Gn")&gt;0,"",IF(((AD15&lt;&gt;"Xm")*(COUNTIFS($C$3:$P$3,"MAT",$C15:$P15,AD$3)=0)*(COUNTIFS($C$3:$P$3,"NOTTE",$C15:$P15,AD$3)=0))+((AD15&lt;&gt;"Xp")*(COUNTIFS($C$3:$P$3,"POM",$C15:$P15,AD$3)=0)*(COUNTIFS($C$3:$P$3,"NOTTE",$C15:$P15,AD$3)=0))+((AD15&lt;&gt;"Xn")*(COUNTIFS($C$3:$P$3,"MAT",$C15:$P15,AD$3)=0)*(COUNTIFS($C$3:$P$3,"POM",$C15:$P15,AD$3)=0)*(COUNTIFS($C$3:$P$3,"NOTTE",$C15:$P15,AD$3)=0))=0,"",IF(((AD15&lt;&gt;"Xm")*(COUNTIFS($C$3:$P$3,"MAT",$C15:$P15,AD$3)=0)*(COUNTIFS($C$3:$P$3,"NOTTE",$C15:$P15,AD$3)=0))+((AD15&lt;&gt;"Xp")*(COUNTIFS($C$3:$P$3,"POM",$C15:$P15,AD$3)=0)*(COUNTIFS($C$3:$P$3,"NOTTE",$C15:$P15,AD$3)=0))+((AD15&lt;&gt;"Xn")*(COUNTIFS($C$3:$P$3,"MAT",$C15:$P15,AD$3)=0)*(COUNTIFS($C$3:$P$3,"POM",$C15:$P15,AD$3)=0)*(COUNTIFS($C$3:$P$3,"NOTTE",$C15:$P15,AD$3)=0))=3,AD$3&amp;", ",AD$3&amp;IF((AD15&lt;&gt;"Xm")*(COUNTIFS($C$3:$P$3,"MAT",$C15:$P15,AD$3)=0)*(COUNTIFS($C$3:$P$3,"NOTTE",$C15:$P15,AD$3)=0),"_m","")&amp;IF((AD15&lt;&gt;"Xp")*(COUNTIFS($C$3:$P$3,"POM",$C15:$P15,AD$3)=0)*(COUNTIFS($C$3:$P$3,"NOTTE",$C15:$P15,AD$3)=0),"_p","")&amp;IF((AD15&lt;&gt;"Xn")*(COUNTIFS($C$3:$P$3,"MAT",$C15:$P15,AD$3)=0)*(COUNTIFS($C$3:$P$3,"POM",$C15:$P15,AD$3)=0)*(COUNTIFS($C$3:$P$3,"NOTTE",$C15:$P15,AD$3)=0),"_n","")&amp;", ")))</f>
        <v/>
      </c>
      <c r="CH15" s="1" t="str">
        <f aca="false">IF((AE15="X")+(AE15="Gn")+(AE15="C")+(AE14="Gn")&gt;0,"",IF(((AE15&lt;&gt;"Xm")*(COUNTIFS($C$3:$P$3,"MAT",$C15:$P15,AE$3)=0)*(COUNTIFS($C$3:$P$3,"NOTTE",$C15:$P15,AE$3)=0))+((AE15&lt;&gt;"Xp")*(COUNTIFS($C$3:$P$3,"POM",$C15:$P15,AE$3)=0)*(COUNTIFS($C$3:$P$3,"NOTTE",$C15:$P15,AE$3)=0))+((AE15&lt;&gt;"Xn")*(COUNTIFS($C$3:$P$3,"MAT",$C15:$P15,AE$3)=0)*(COUNTIFS($C$3:$P$3,"POM",$C15:$P15,AE$3)=0)*(COUNTIFS($C$3:$P$3,"NOTTE",$C15:$P15,AE$3)=0))=0,"",IF(((AE15&lt;&gt;"Xm")*(COUNTIFS($C$3:$P$3,"MAT",$C15:$P15,AE$3)=0)*(COUNTIFS($C$3:$P$3,"NOTTE",$C15:$P15,AE$3)=0))+((AE15&lt;&gt;"Xp")*(COUNTIFS($C$3:$P$3,"POM",$C15:$P15,AE$3)=0)*(COUNTIFS($C$3:$P$3,"NOTTE",$C15:$P15,AE$3)=0))+((AE15&lt;&gt;"Xn")*(COUNTIFS($C$3:$P$3,"MAT",$C15:$P15,AE$3)=0)*(COUNTIFS($C$3:$P$3,"POM",$C15:$P15,AE$3)=0)*(COUNTIFS($C$3:$P$3,"NOTTE",$C15:$P15,AE$3)=0))=3,AE$3&amp;", ",AE$3&amp;IF((AE15&lt;&gt;"Xm")*(COUNTIFS($C$3:$P$3,"MAT",$C15:$P15,AE$3)=0)*(COUNTIFS($C$3:$P$3,"NOTTE",$C15:$P15,AE$3)=0),"_m","")&amp;IF((AE15&lt;&gt;"Xp")*(COUNTIFS($C$3:$P$3,"POM",$C15:$P15,AE$3)=0)*(COUNTIFS($C$3:$P$3,"NOTTE",$C15:$P15,AE$3)=0),"_p","")&amp;IF((AE15&lt;&gt;"Xn")*(COUNTIFS($C$3:$P$3,"MAT",$C15:$P15,AE$3)=0)*(COUNTIFS($C$3:$P$3,"POM",$C15:$P15,AE$3)=0)*(COUNTIFS($C$3:$P$3,"NOTTE",$C15:$P15,AE$3)=0),"_n","")&amp;", ")))</f>
        <v/>
      </c>
      <c r="CI15" s="1" t="str">
        <f aca="false">IF((AF15="X")+(AF15="Gn")+(AF15="C")+(AF14="Gn")&gt;0,"",IF(((AF15&lt;&gt;"Xm")*(COUNTIFS($C$3:$P$3,"MAT",$C15:$P15,AF$3)=0)*(COUNTIFS($C$3:$P$3,"NOTTE",$C15:$P15,AF$3)=0))+((AF15&lt;&gt;"Xp")*(COUNTIFS($C$3:$P$3,"POM",$C15:$P15,AF$3)=0)*(COUNTIFS($C$3:$P$3,"NOTTE",$C15:$P15,AF$3)=0))+((AF15&lt;&gt;"Xn")*(COUNTIFS($C$3:$P$3,"MAT",$C15:$P15,AF$3)=0)*(COUNTIFS($C$3:$P$3,"POM",$C15:$P15,AF$3)=0)*(COUNTIFS($C$3:$P$3,"NOTTE",$C15:$P15,AF$3)=0))=0,"",IF(((AF15&lt;&gt;"Xm")*(COUNTIFS($C$3:$P$3,"MAT",$C15:$P15,AF$3)=0)*(COUNTIFS($C$3:$P$3,"NOTTE",$C15:$P15,AF$3)=0))+((AF15&lt;&gt;"Xp")*(COUNTIFS($C$3:$P$3,"POM",$C15:$P15,AF$3)=0)*(COUNTIFS($C$3:$P$3,"NOTTE",$C15:$P15,AF$3)=0))+((AF15&lt;&gt;"Xn")*(COUNTIFS($C$3:$P$3,"MAT",$C15:$P15,AF$3)=0)*(COUNTIFS($C$3:$P$3,"POM",$C15:$P15,AF$3)=0)*(COUNTIFS($C$3:$P$3,"NOTTE",$C15:$P15,AF$3)=0))=3,AF$3&amp;", ",AF$3&amp;IF((AF15&lt;&gt;"Xm")*(COUNTIFS($C$3:$P$3,"MAT",$C15:$P15,AF$3)=0)*(COUNTIFS($C$3:$P$3,"NOTTE",$C15:$P15,AF$3)=0),"_m","")&amp;IF((AF15&lt;&gt;"Xp")*(COUNTIFS($C$3:$P$3,"POM",$C15:$P15,AF$3)=0)*(COUNTIFS($C$3:$P$3,"NOTTE",$C15:$P15,AF$3)=0),"_p","")&amp;IF((AF15&lt;&gt;"Xn")*(COUNTIFS($C$3:$P$3,"MAT",$C15:$P15,AF$3)=0)*(COUNTIFS($C$3:$P$3,"POM",$C15:$P15,AF$3)=0)*(COUNTIFS($C$3:$P$3,"NOTTE",$C15:$P15,AF$3)=0),"_n","")&amp;", ")))</f>
        <v>VERDI, </v>
      </c>
      <c r="CJ15" s="1" t="str">
        <f aca="false">IF((AG15="X")+(AG15="Gn")+(AG15="C")+(AG14="Gn")&gt;0,"",IF(((AG15&lt;&gt;"Xm")*(COUNTIFS($C$3:$P$3,"MAT",$C15:$P15,AG$3)=0)*(COUNTIFS($C$3:$P$3,"NOTTE",$C15:$P15,AG$3)=0))+((AG15&lt;&gt;"Xp")*(COUNTIFS($C$3:$P$3,"POM",$C15:$P15,AG$3)=0)*(COUNTIFS($C$3:$P$3,"NOTTE",$C15:$P15,AG$3)=0))+((AG15&lt;&gt;"Xn")*(COUNTIFS($C$3:$P$3,"MAT",$C15:$P15,AG$3)=0)*(COUNTIFS($C$3:$P$3,"POM",$C15:$P15,AG$3)=0)*(COUNTIFS($C$3:$P$3,"NOTTE",$C15:$P15,AG$3)=0))=0,"",IF(((AG15&lt;&gt;"Xm")*(COUNTIFS($C$3:$P$3,"MAT",$C15:$P15,AG$3)=0)*(COUNTIFS($C$3:$P$3,"NOTTE",$C15:$P15,AG$3)=0))+((AG15&lt;&gt;"Xp")*(COUNTIFS($C$3:$P$3,"POM",$C15:$P15,AG$3)=0)*(COUNTIFS($C$3:$P$3,"NOTTE",$C15:$P15,AG$3)=0))+((AG15&lt;&gt;"Xn")*(COUNTIFS($C$3:$P$3,"MAT",$C15:$P15,AG$3)=0)*(COUNTIFS($C$3:$P$3,"POM",$C15:$P15,AG$3)=0)*(COUNTIFS($C$3:$P$3,"NOTTE",$C15:$P15,AG$3)=0))=3,AG$3&amp;", ",AG$3&amp;IF((AG15&lt;&gt;"Xm")*(COUNTIFS($C$3:$P$3,"MAT",$C15:$P15,AG$3)=0)*(COUNTIFS($C$3:$P$3,"NOTTE",$C15:$P15,AG$3)=0),"_m","")&amp;IF((AG15&lt;&gt;"Xp")*(COUNTIFS($C$3:$P$3,"POM",$C15:$P15,AG$3)=0)*(COUNTIFS($C$3:$P$3,"NOTTE",$C15:$P15,AG$3)=0),"_p","")&amp;IF((AG15&lt;&gt;"Xn")*(COUNTIFS($C$3:$P$3,"MAT",$C15:$P15,AG$3)=0)*(COUNTIFS($C$3:$P$3,"POM",$C15:$P15,AG$3)=0)*(COUNTIFS($C$3:$P$3,"NOTTE",$C15:$P15,AG$3)=0),"_n","")&amp;", ")))</f>
        <v>HU, </v>
      </c>
      <c r="CK15" s="1" t="str">
        <f aca="false">IF((AH15="X")+(AH15="Gn")+(AH15="C")+(AH14="Gn")&gt;0,"",IF(((AH15&lt;&gt;"Xm")*(COUNTIFS($C$3:$P$3,"MAT",$C15:$P15,AH$3)=0)*(COUNTIFS($C$3:$P$3,"NOTTE",$C15:$P15,AH$3)=0))+((AH15&lt;&gt;"Xp")*(COUNTIFS($C$3:$P$3,"POM",$C15:$P15,AH$3)=0)*(COUNTIFS($C$3:$P$3,"NOTTE",$C15:$P15,AH$3)=0))+((AH15&lt;&gt;"Xn")*(COUNTIFS($C$3:$P$3,"MAT",$C15:$P15,AH$3)=0)*(COUNTIFS($C$3:$P$3,"POM",$C15:$P15,AH$3)=0)*(COUNTIFS($C$3:$P$3,"NOTTE",$C15:$P15,AH$3)=0))=0,"",IF(((AH15&lt;&gt;"Xm")*(COUNTIFS($C$3:$P$3,"MAT",$C15:$P15,AH$3)=0)*(COUNTIFS($C$3:$P$3,"NOTTE",$C15:$P15,AH$3)=0))+((AH15&lt;&gt;"Xp")*(COUNTIFS($C$3:$P$3,"POM",$C15:$P15,AH$3)=0)*(COUNTIFS($C$3:$P$3,"NOTTE",$C15:$P15,AH$3)=0))+((AH15&lt;&gt;"Xn")*(COUNTIFS($C$3:$P$3,"MAT",$C15:$P15,AH$3)=0)*(COUNTIFS($C$3:$P$3,"POM",$C15:$P15,AH$3)=0)*(COUNTIFS($C$3:$P$3,"NOTTE",$C15:$P15,AH$3)=0))=3,AH$3&amp;", ",AH$3&amp;IF((AH15&lt;&gt;"Xm")*(COUNTIFS($C$3:$P$3,"MAT",$C15:$P15,AH$3)=0)*(COUNTIFS($C$3:$P$3,"NOTTE",$C15:$P15,AH$3)=0),"_m","")&amp;IF((AH15&lt;&gt;"Xp")*(COUNTIFS($C$3:$P$3,"POM",$C15:$P15,AH$3)=0)*(COUNTIFS($C$3:$P$3,"NOTTE",$C15:$P15,AH$3)=0),"_p","")&amp;IF((AH15&lt;&gt;"Xn")*(COUNTIFS($C$3:$P$3,"MAT",$C15:$P15,AH$3)=0)*(COUNTIFS($C$3:$P$3,"POM",$C15:$P15,AH$3)=0)*(COUNTIFS($C$3:$P$3,"NOTTE",$C15:$P15,AH$3)=0),"_n","")&amp;", ")))</f>
        <v/>
      </c>
      <c r="CL15" s="1" t="str">
        <f aca="false">IF((AI15="X")+(AI15="Gn")+(AI15="C")+(AI14="Gn")&gt;0,"",IF(((AI15&lt;&gt;"Xm")*(COUNTIFS($C$3:$P$3,"MAT",$C15:$P15,AI$3)=0)*(COUNTIFS($C$3:$P$3,"NOTTE",$C15:$P15,AI$3)=0))+((AI15&lt;&gt;"Xp")*(COUNTIFS($C$3:$P$3,"POM",$C15:$P15,AI$3)=0)*(COUNTIFS($C$3:$P$3,"NOTTE",$C15:$P15,AI$3)=0))+((AI15&lt;&gt;"Xn")*(COUNTIFS($C$3:$P$3,"MAT",$C15:$P15,AI$3)=0)*(COUNTIFS($C$3:$P$3,"POM",$C15:$P15,AI$3)=0)*(COUNTIFS($C$3:$P$3,"NOTTE",$C15:$P15,AI$3)=0))=0,"",IF(((AI15&lt;&gt;"Xm")*(COUNTIFS($C$3:$P$3,"MAT",$C15:$P15,AI$3)=0)*(COUNTIFS($C$3:$P$3,"NOTTE",$C15:$P15,AI$3)=0))+((AI15&lt;&gt;"Xp")*(COUNTIFS($C$3:$P$3,"POM",$C15:$P15,AI$3)=0)*(COUNTIFS($C$3:$P$3,"NOTTE",$C15:$P15,AI$3)=0))+((AI15&lt;&gt;"Xn")*(COUNTIFS($C$3:$P$3,"MAT",$C15:$P15,AI$3)=0)*(COUNTIFS($C$3:$P$3,"POM",$C15:$P15,AI$3)=0)*(COUNTIFS($C$3:$P$3,"NOTTE",$C15:$P15,AI$3)=0))=3,AI$3&amp;", ",AI$3&amp;IF((AI15&lt;&gt;"Xm")*(COUNTIFS($C$3:$P$3,"MAT",$C15:$P15,AI$3)=0)*(COUNTIFS($C$3:$P$3,"NOTTE",$C15:$P15,AI$3)=0),"_m","")&amp;IF((AI15&lt;&gt;"Xp")*(COUNTIFS($C$3:$P$3,"POM",$C15:$P15,AI$3)=0)*(COUNTIFS($C$3:$P$3,"NOTTE",$C15:$P15,AI$3)=0),"_p","")&amp;IF((AI15&lt;&gt;"Xn")*(COUNTIFS($C$3:$P$3,"MAT",$C15:$P15,AI$3)=0)*(COUNTIFS($C$3:$P$3,"POM",$C15:$P15,AI$3)=0)*(COUNTIFS($C$3:$P$3,"NOTTE",$C15:$P15,AI$3)=0),"_n","")&amp;", ")))</f>
        <v/>
      </c>
      <c r="CM15" s="1" t="str">
        <f aca="false">IF((AJ15="X")+(AJ15="Gn")+(AJ15="C")+(AJ14="Gn")&gt;0,"",IF(((AJ15&lt;&gt;"Xm")*(COUNTIFS($C$3:$P$3,"MAT",$C15:$P15,AJ$3)=0)*(COUNTIFS($C$3:$P$3,"NOTTE",$C15:$P15,AJ$3)=0))+((AJ15&lt;&gt;"Xp")*(COUNTIFS($C$3:$P$3,"POM",$C15:$P15,AJ$3)=0)*(COUNTIFS($C$3:$P$3,"NOTTE",$C15:$P15,AJ$3)=0))+((AJ15&lt;&gt;"Xn")*(COUNTIFS($C$3:$P$3,"MAT",$C15:$P15,AJ$3)=0)*(COUNTIFS($C$3:$P$3,"POM",$C15:$P15,AJ$3)=0)*(COUNTIFS($C$3:$P$3,"NOTTE",$C15:$P15,AJ$3)=0))=0,"",IF(((AJ15&lt;&gt;"Xm")*(COUNTIFS($C$3:$P$3,"MAT",$C15:$P15,AJ$3)=0)*(COUNTIFS($C$3:$P$3,"NOTTE",$C15:$P15,AJ$3)=0))+((AJ15&lt;&gt;"Xp")*(COUNTIFS($C$3:$P$3,"POM",$C15:$P15,AJ$3)=0)*(COUNTIFS($C$3:$P$3,"NOTTE",$C15:$P15,AJ$3)=0))+((AJ15&lt;&gt;"Xn")*(COUNTIFS($C$3:$P$3,"MAT",$C15:$P15,AJ$3)=0)*(COUNTIFS($C$3:$P$3,"POM",$C15:$P15,AJ$3)=0)*(COUNTIFS($C$3:$P$3,"NOTTE",$C15:$P15,AJ$3)=0))=3,AJ$3&amp;", ",AJ$3&amp;IF((AJ15&lt;&gt;"Xm")*(COUNTIFS($C$3:$P$3,"MAT",$C15:$P15,AJ$3)=0)*(COUNTIFS($C$3:$P$3,"NOTTE",$C15:$P15,AJ$3)=0),"_m","")&amp;IF((AJ15&lt;&gt;"Xp")*(COUNTIFS($C$3:$P$3,"POM",$C15:$P15,AJ$3)=0)*(COUNTIFS($C$3:$P$3,"NOTTE",$C15:$P15,AJ$3)=0),"_p","")&amp;IF((AJ15&lt;&gt;"Xn")*(COUNTIFS($C$3:$P$3,"MAT",$C15:$P15,AJ$3)=0)*(COUNTIFS($C$3:$P$3,"POM",$C15:$P15,AJ$3)=0)*(COUNTIFS($C$3:$P$3,"NOTTE",$C15:$P15,AJ$3)=0),"_n","")&amp;", ")))</f>
        <v>CONTI S_p_n, </v>
      </c>
      <c r="CN15" s="1" t="str">
        <f aca="false">IF((AK15="X")+(AK15="Gn")+(AK15="C")+(AK14="Gn")&gt;0,"",IF(((AK15&lt;&gt;"Xm")*(COUNTIFS($C$3:$P$3,"MAT",$C15:$P15,AK$3)=0)*(COUNTIFS($C$3:$P$3,"NOTTE",$C15:$P15,AK$3)=0))+((AK15&lt;&gt;"Xp")*(COUNTIFS($C$3:$P$3,"POM",$C15:$P15,AK$3)=0)*(COUNTIFS($C$3:$P$3,"NOTTE",$C15:$P15,AK$3)=0))+((AK15&lt;&gt;"Xn")*(COUNTIFS($C$3:$P$3,"MAT",$C15:$P15,AK$3)=0)*(COUNTIFS($C$3:$P$3,"POM",$C15:$P15,AK$3)=0)*(COUNTIFS($C$3:$P$3,"NOTTE",$C15:$P15,AK$3)=0))=0,"",IF(((AK15&lt;&gt;"Xm")*(COUNTIFS($C$3:$P$3,"MAT",$C15:$P15,AK$3)=0)*(COUNTIFS($C$3:$P$3,"NOTTE",$C15:$P15,AK$3)=0))+((AK15&lt;&gt;"Xp")*(COUNTIFS($C$3:$P$3,"POM",$C15:$P15,AK$3)=0)*(COUNTIFS($C$3:$P$3,"NOTTE",$C15:$P15,AK$3)=0))+((AK15&lt;&gt;"Xn")*(COUNTIFS($C$3:$P$3,"MAT",$C15:$P15,AK$3)=0)*(COUNTIFS($C$3:$P$3,"POM",$C15:$P15,AK$3)=0)*(COUNTIFS($C$3:$P$3,"NOTTE",$C15:$P15,AK$3)=0))=3,AK$3&amp;", ",AK$3&amp;IF((AK15&lt;&gt;"Xm")*(COUNTIFS($C$3:$P$3,"MAT",$C15:$P15,AK$3)=0)*(COUNTIFS($C$3:$P$3,"NOTTE",$C15:$P15,AK$3)=0),"_m","")&amp;IF((AK15&lt;&gt;"Xp")*(COUNTIFS($C$3:$P$3,"POM",$C15:$P15,AK$3)=0)*(COUNTIFS($C$3:$P$3,"NOTTE",$C15:$P15,AK$3)=0),"_p","")&amp;IF((AK15&lt;&gt;"Xn")*(COUNTIFS($C$3:$P$3,"MAT",$C15:$P15,AK$3)=0)*(COUNTIFS($C$3:$P$3,"POM",$C15:$P15,AK$3)=0)*(COUNTIFS($C$3:$P$3,"NOTTE",$C15:$P15,AK$3)=0),"_n","")&amp;", ")))</f>
        <v>FERRARI_p, </v>
      </c>
      <c r="CO15" s="1" t="str">
        <f aca="false">IF((AL15="X")+(AL15="Gn")+(AL15="C")+(AL14="Gn")&gt;0,"",IF(((AL15&lt;&gt;"Xm")*(COUNTIFS($C$3:$P$3,"MAT",$C15:$P15,AL$3)=0)*(COUNTIFS($C$3:$P$3,"NOTTE",$C15:$P15,AL$3)=0))+((AL15&lt;&gt;"Xp")*(COUNTIFS($C$3:$P$3,"POM",$C15:$P15,AL$3)=0)*(COUNTIFS($C$3:$P$3,"NOTTE",$C15:$P15,AL$3)=0))+((AL15&lt;&gt;"Xn")*(COUNTIFS($C$3:$P$3,"MAT",$C15:$P15,AL$3)=0)*(COUNTIFS($C$3:$P$3,"POM",$C15:$P15,AL$3)=0)*(COUNTIFS($C$3:$P$3,"NOTTE",$C15:$P15,AL$3)=0))=0,"",IF(((AL15&lt;&gt;"Xm")*(COUNTIFS($C$3:$P$3,"MAT",$C15:$P15,AL$3)=0)*(COUNTIFS($C$3:$P$3,"NOTTE",$C15:$P15,AL$3)=0))+((AL15&lt;&gt;"Xp")*(COUNTIFS($C$3:$P$3,"POM",$C15:$P15,AL$3)=0)*(COUNTIFS($C$3:$P$3,"NOTTE",$C15:$P15,AL$3)=0))+((AL15&lt;&gt;"Xn")*(COUNTIFS($C$3:$P$3,"MAT",$C15:$P15,AL$3)=0)*(COUNTIFS($C$3:$P$3,"POM",$C15:$P15,AL$3)=0)*(COUNTIFS($C$3:$P$3,"NOTTE",$C15:$P15,AL$3)=0))=3,AL$3&amp;", ",AL$3&amp;IF((AL15&lt;&gt;"Xm")*(COUNTIFS($C$3:$P$3,"MAT",$C15:$P15,AL$3)=0)*(COUNTIFS($C$3:$P$3,"NOTTE",$C15:$P15,AL$3)=0),"_m","")&amp;IF((AL15&lt;&gt;"Xp")*(COUNTIFS($C$3:$P$3,"POM",$C15:$P15,AL$3)=0)*(COUNTIFS($C$3:$P$3,"NOTTE",$C15:$P15,AL$3)=0),"_p","")&amp;IF((AL15&lt;&gt;"Xn")*(COUNTIFS($C$3:$P$3,"MAT",$C15:$P15,AL$3)=0)*(COUNTIFS($C$3:$P$3,"POM",$C15:$P15,AL$3)=0)*(COUNTIFS($C$3:$P$3,"NOTTE",$C15:$P15,AL$3)=0),"_n","")&amp;", ")))</f>
        <v/>
      </c>
      <c r="CP15" s="1" t="str">
        <f aca="false">IF((AM15="X")+(AM15="Gn")+(AM15="C")+(AM14="Gn")&gt;0,"",IF(((AM15&lt;&gt;"Xm")*(COUNTIFS($C$3:$P$3,"MAT",$C15:$P15,AM$3)=0)*(COUNTIFS($C$3:$P$3,"NOTTE",$C15:$P15,AM$3)=0))+((AM15&lt;&gt;"Xp")*(COUNTIFS($C$3:$P$3,"POM",$C15:$P15,AM$3)=0)*(COUNTIFS($C$3:$P$3,"NOTTE",$C15:$P15,AM$3)=0))+((AM15&lt;&gt;"Xn")*(COUNTIFS($C$3:$P$3,"MAT",$C15:$P15,AM$3)=0)*(COUNTIFS($C$3:$P$3,"POM",$C15:$P15,AM$3)=0)*(COUNTIFS($C$3:$P$3,"NOTTE",$C15:$P15,AM$3)=0))=0,"",IF(((AM15&lt;&gt;"Xm")*(COUNTIFS($C$3:$P$3,"MAT",$C15:$P15,AM$3)=0)*(COUNTIFS($C$3:$P$3,"NOTTE",$C15:$P15,AM$3)=0))+((AM15&lt;&gt;"Xp")*(COUNTIFS($C$3:$P$3,"POM",$C15:$P15,AM$3)=0)*(COUNTIFS($C$3:$P$3,"NOTTE",$C15:$P15,AM$3)=0))+((AM15&lt;&gt;"Xn")*(COUNTIFS($C$3:$P$3,"MAT",$C15:$P15,AM$3)=0)*(COUNTIFS($C$3:$P$3,"POM",$C15:$P15,AM$3)=0)*(COUNTIFS($C$3:$P$3,"NOTTE",$C15:$P15,AM$3)=0))=3,AM$3&amp;", ",AM$3&amp;IF((AM15&lt;&gt;"Xm")*(COUNTIFS($C$3:$P$3,"MAT",$C15:$P15,AM$3)=0)*(COUNTIFS($C$3:$P$3,"NOTTE",$C15:$P15,AM$3)=0),"_m","")&amp;IF((AM15&lt;&gt;"Xp")*(COUNTIFS($C$3:$P$3,"POM",$C15:$P15,AM$3)=0)*(COUNTIFS($C$3:$P$3,"NOTTE",$C15:$P15,AM$3)=0),"_p","")&amp;IF((AM15&lt;&gt;"Xn")*(COUNTIFS($C$3:$P$3,"MAT",$C15:$P15,AM$3)=0)*(COUNTIFS($C$3:$P$3,"POM",$C15:$P15,AM$3)=0)*(COUNTIFS($C$3:$P$3,"NOTTE",$C15:$P15,AM$3)=0),"_n","")&amp;", ")))</f>
        <v>SANNA_m, </v>
      </c>
      <c r="CQ15" s="1" t="str">
        <f aca="false">IF((AN15="X")+(AN15="Gn")+(AN15="C")+(AN14="Gn")&gt;0,"",IF(((AN15&lt;&gt;"Xm")*(COUNTIFS($C$3:$P$3,"MAT",$C15:$P15,AN$3)=0)*(COUNTIFS($C$3:$P$3,"NOTTE",$C15:$P15,AN$3)=0))+((AN15&lt;&gt;"Xp")*(COUNTIFS($C$3:$P$3,"POM",$C15:$P15,AN$3)=0)*(COUNTIFS($C$3:$P$3,"NOTTE",$C15:$P15,AN$3)=0))+((AN15&lt;&gt;"Xn")*(COUNTIFS($C$3:$P$3,"MAT",$C15:$P15,AN$3)=0)*(COUNTIFS($C$3:$P$3,"POM",$C15:$P15,AN$3)=0)*(COUNTIFS($C$3:$P$3,"NOTTE",$C15:$P15,AN$3)=0))=0,"",IF(((AN15&lt;&gt;"Xm")*(COUNTIFS($C$3:$P$3,"MAT",$C15:$P15,AN$3)=0)*(COUNTIFS($C$3:$P$3,"NOTTE",$C15:$P15,AN$3)=0))+((AN15&lt;&gt;"Xp")*(COUNTIFS($C$3:$P$3,"POM",$C15:$P15,AN$3)=0)*(COUNTIFS($C$3:$P$3,"NOTTE",$C15:$P15,AN$3)=0))+((AN15&lt;&gt;"Xn")*(COUNTIFS($C$3:$P$3,"MAT",$C15:$P15,AN$3)=0)*(COUNTIFS($C$3:$P$3,"POM",$C15:$P15,AN$3)=0)*(COUNTIFS($C$3:$P$3,"NOTTE",$C15:$P15,AN$3)=0))=3,AN$3&amp;", ",AN$3&amp;IF((AN15&lt;&gt;"Xm")*(COUNTIFS($C$3:$P$3,"MAT",$C15:$P15,AN$3)=0)*(COUNTIFS($C$3:$P$3,"NOTTE",$C15:$P15,AN$3)=0),"_m","")&amp;IF((AN15&lt;&gt;"Xp")*(COUNTIFS($C$3:$P$3,"POM",$C15:$P15,AN$3)=0)*(COUNTIFS($C$3:$P$3,"NOTTE",$C15:$P15,AN$3)=0),"_p","")&amp;IF((AN15&lt;&gt;"Xn")*(COUNTIFS($C$3:$P$3,"MAT",$C15:$P15,AN$3)=0)*(COUNTIFS($C$3:$P$3,"POM",$C15:$P15,AN$3)=0)*(COUNTIFS($C$3:$P$3,"NOTTE",$C15:$P15,AN$3)=0),"_n","")&amp;", ")))</f>
        <v/>
      </c>
    </row>
    <row r="16" customFormat="false" ht="15" hidden="false" customHeight="true" outlineLevel="0" collapsed="false">
      <c r="A16" s="15" t="str">
        <f aca="false">CHOOSE(WEEKDAY(DATE($B$1,$A$2,B16),2),"lunedì","martedì","mercoledì","giovedì","venerdì","sabato","domenica")</f>
        <v>venerdì</v>
      </c>
      <c r="B16" s="15" t="n">
        <v>13</v>
      </c>
      <c r="C16" s="16" t="s">
        <v>23</v>
      </c>
      <c r="D16" s="16" t="s">
        <v>23</v>
      </c>
      <c r="E16" s="16" t="s">
        <v>35</v>
      </c>
      <c r="F16" s="16" t="s">
        <v>32</v>
      </c>
      <c r="G16" s="16" t="s">
        <v>28</v>
      </c>
      <c r="H16" s="16" t="s">
        <v>28</v>
      </c>
      <c r="I16" s="16" t="s">
        <v>31</v>
      </c>
      <c r="J16" s="16" t="s">
        <v>31</v>
      </c>
      <c r="K16" s="16" t="s">
        <v>24</v>
      </c>
      <c r="L16" s="16"/>
      <c r="M16" s="16" t="s">
        <v>36</v>
      </c>
      <c r="N16" s="16" t="s">
        <v>25</v>
      </c>
      <c r="O16" s="16" t="s">
        <v>25</v>
      </c>
      <c r="P16" s="16" t="s">
        <v>29</v>
      </c>
      <c r="Q16" s="16"/>
      <c r="R16" s="16" t="str">
        <f aca="false">IF(SUMPRODUCT(($C$3:$P$3&lt;&gt;"")*($C16:$P16&lt;&gt;"")*(COUNTIFS($C16:$P16,$C16:$P16,$C$3:$P$3,$C$3:$P$3)&gt;1))&gt;0,"X","")</f>
        <v/>
      </c>
      <c r="S16" s="17" t="str">
        <f aca="false"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RUSSO, VERDI, HU, MARINI, CONTI A, CONTI S, FERRARI, GRECO, SANNA_m_n, LI</v>
      </c>
      <c r="T16" s="17" t="str">
        <f aca="false"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ROSSI M_p, RUSSO, MARINI, CONTI S_m, FERRARI, GRECO, LI_m</v>
      </c>
      <c r="Y16" s="15" t="str">
        <f aca="false">A16</f>
        <v>venerdì</v>
      </c>
      <c r="Z16" s="15" t="n">
        <f aca="false">B16</f>
        <v>13</v>
      </c>
      <c r="AA16" s="16"/>
      <c r="AB16" s="16"/>
      <c r="AC16" s="16"/>
      <c r="AD16" s="16" t="s">
        <v>44</v>
      </c>
      <c r="AE16" s="16"/>
      <c r="AF16" s="16"/>
      <c r="AG16" s="16"/>
      <c r="AH16" s="16"/>
      <c r="AI16" s="16"/>
      <c r="AJ16" s="16"/>
      <c r="AK16" s="16"/>
      <c r="AL16" s="16"/>
      <c r="AM16" s="16" t="s">
        <v>43</v>
      </c>
      <c r="AN16" s="16"/>
      <c r="AS16" s="13" t="str">
        <f aca="false">AM$3</f>
        <v>SANNA</v>
      </c>
      <c r="AT16" s="13" t="n">
        <f aca="false">COUNTIF($C$4:$D$33,$AS16)</f>
        <v>0</v>
      </c>
      <c r="AU16" s="13" t="n">
        <f aca="false">COUNTIF($E$4:$F$33,$AS16)</f>
        <v>2</v>
      </c>
      <c r="AV16" s="13" t="n">
        <f aca="false">COUNTIF($G$4:$H$33,$AS16)</f>
        <v>6</v>
      </c>
      <c r="AW16" s="13" t="n">
        <f aca="false">COUNTIF($I$4:$J$33,$AS16)</f>
        <v>0</v>
      </c>
      <c r="AX16" s="13" t="n">
        <f aca="false">COUNTIF($K$4:$K$33,$AS16)</f>
        <v>2</v>
      </c>
      <c r="AY16" s="13" t="n">
        <f aca="false">COUNTIF($L$4:$L$33,$AS16)</f>
        <v>0</v>
      </c>
      <c r="AZ16" s="13" t="n">
        <f aca="false">COUNTIF($M$4:$M$33,$AS16)</f>
        <v>9</v>
      </c>
      <c r="BA16" s="13" t="n">
        <f aca="false">COUNTIF($N$4:$P$33,$AS16)</f>
        <v>0</v>
      </c>
      <c r="BB16" s="13" t="n">
        <f aca="false">COUNTIF($C$4:$P$33,$AS16)</f>
        <v>19</v>
      </c>
      <c r="BD16" s="14" t="str">
        <f aca="false">AM$3</f>
        <v>SANNA</v>
      </c>
      <c r="BE16" s="14"/>
      <c r="BF16" s="14"/>
      <c r="BG16" s="14"/>
      <c r="BH16" s="14"/>
      <c r="BI16" s="14"/>
      <c r="BJ16" s="14"/>
      <c r="BK16" s="14"/>
      <c r="BL16" s="14"/>
      <c r="BM16" s="14"/>
      <c r="BO16" s="1" t="str">
        <f aca="false">IF((AA16="X")+(AA16="Gn")+(AA16="C")+(AA15="Gn")&gt;0,"",IF(((AA16&lt;&gt;"Xm"))+((AA16&lt;&gt;"Xp"))+((AA16&lt;&gt;"Xn"))=0,"",IF(((AA16&lt;&gt;"Xm"))+((AA16&lt;&gt;"Xp"))+((AA16&lt;&gt;"Xn"))=3,AA$3&amp;", ",AA$3&amp;IF((AA16&lt;&gt;"Xm"),"_m","")&amp;IF((AA16&lt;&gt;"Xp"),"_p","")&amp;IF((AA16&lt;&gt;"Xn"),"_n","")&amp;", ")))</f>
        <v>LEONI, </v>
      </c>
      <c r="BP16" s="1" t="str">
        <f aca="false">IF((AB16="X")+(AB16="Gn")+(AB16="C")+(AB15="Gn")&gt;0,"",IF(((AB16&lt;&gt;"Xm"))+((AB16&lt;&gt;"Xp"))+((AB16&lt;&gt;"Xn"))=0,"",IF(((AB16&lt;&gt;"Xm"))+((AB16&lt;&gt;"Xp"))+((AB16&lt;&gt;"Xn"))=3,AB$3&amp;", ",AB$3&amp;IF((AB16&lt;&gt;"Xm"),"_m","")&amp;IF((AB16&lt;&gt;"Xp"),"_p","")&amp;IF((AB16&lt;&gt;"Xn"),"_n","")&amp;", ")))</f>
        <v>ROSSI M, </v>
      </c>
      <c r="BQ16" s="1" t="str">
        <f aca="false">IF((AC16="X")+(AC16="Gn")+(AC16="C")+(AC15="Gn")&gt;0,"",IF(((AC16&lt;&gt;"Xm"))+((AC16&lt;&gt;"Xp"))+((AC16&lt;&gt;"Xn"))=0,"",IF(((AC16&lt;&gt;"Xm"))+((AC16&lt;&gt;"Xp"))+((AC16&lt;&gt;"Xn"))=3,AC$3&amp;", ",AC$3&amp;IF((AC16&lt;&gt;"Xm"),"_m","")&amp;IF((AC16&lt;&gt;"Xp"),"_p","")&amp;IF((AC16&lt;&gt;"Xn"),"_n","")&amp;", ")))</f>
        <v>ROSSI L, </v>
      </c>
      <c r="BR16" s="1" t="str">
        <f aca="false">IF((AD16="X")+(AD16="Gn")+(AD16="C")+(AD15="Gn")&gt;0,"",IF(((AD16&lt;&gt;"Xm"))+((AD16&lt;&gt;"Xp"))+((AD16&lt;&gt;"Xn"))=0,"",IF(((AD16&lt;&gt;"Xm"))+((AD16&lt;&gt;"Xp"))+((AD16&lt;&gt;"Xn"))=3,AD$3&amp;", ",AD$3&amp;IF((AD16&lt;&gt;"Xm"),"_m","")&amp;IF((AD16&lt;&gt;"Xp"),"_p","")&amp;IF((AD16&lt;&gt;"Xn"),"_n","")&amp;", ")))</f>
        <v/>
      </c>
      <c r="BS16" s="1" t="str">
        <f aca="false">IF((AE16="X")+(AE16="Gn")+(AE16="C")+(AE15="Gn")&gt;0,"",IF(((AE16&lt;&gt;"Xm"))+((AE16&lt;&gt;"Xp"))+((AE16&lt;&gt;"Xn"))=0,"",IF(((AE16&lt;&gt;"Xm"))+((AE16&lt;&gt;"Xp"))+((AE16&lt;&gt;"Xn"))=3,AE$3&amp;", ",AE$3&amp;IF((AE16&lt;&gt;"Xm"),"_m","")&amp;IF((AE16&lt;&gt;"Xp"),"_p","")&amp;IF((AE16&lt;&gt;"Xn"),"_n","")&amp;", ")))</f>
        <v>RUSSO, </v>
      </c>
      <c r="BT16" s="1" t="str">
        <f aca="false">IF((AF16="X")+(AF16="Gn")+(AF16="C")+(AF15="Gn")&gt;0,"",IF(((AF16&lt;&gt;"Xm"))+((AF16&lt;&gt;"Xp"))+((AF16&lt;&gt;"Xn"))=0,"",IF(((AF16&lt;&gt;"Xm"))+((AF16&lt;&gt;"Xp"))+((AF16&lt;&gt;"Xn"))=3,AF$3&amp;", ",AF$3&amp;IF((AF16&lt;&gt;"Xm"),"_m","")&amp;IF((AF16&lt;&gt;"Xp"),"_p","")&amp;IF((AF16&lt;&gt;"Xn"),"_n","")&amp;", ")))</f>
        <v>VERDI, </v>
      </c>
      <c r="BU16" s="1" t="str">
        <f aca="false">IF((AG16="X")+(AG16="Gn")+(AG16="C")+(AG15="Gn")&gt;0,"",IF(((AG16&lt;&gt;"Xm"))+((AG16&lt;&gt;"Xp"))+((AG16&lt;&gt;"Xn"))=0,"",IF(((AG16&lt;&gt;"Xm"))+((AG16&lt;&gt;"Xp"))+((AG16&lt;&gt;"Xn"))=3,AG$3&amp;", ",AG$3&amp;IF((AG16&lt;&gt;"Xm"),"_m","")&amp;IF((AG16&lt;&gt;"Xp"),"_p","")&amp;IF((AG16&lt;&gt;"Xn"),"_n","")&amp;", ")))</f>
        <v>HU, </v>
      </c>
      <c r="BV16" s="1" t="str">
        <f aca="false">IF((AH16="X")+(AH16="Gn")+(AH16="C")+(AH15="Gn")&gt;0,"",IF(((AH16&lt;&gt;"Xm"))+((AH16&lt;&gt;"Xp"))+((AH16&lt;&gt;"Xn"))=0,"",IF(((AH16&lt;&gt;"Xm"))+((AH16&lt;&gt;"Xp"))+((AH16&lt;&gt;"Xn"))=3,AH$3&amp;", ",AH$3&amp;IF((AH16&lt;&gt;"Xm"),"_m","")&amp;IF((AH16&lt;&gt;"Xp"),"_p","")&amp;IF((AH16&lt;&gt;"Xn"),"_n","")&amp;", ")))</f>
        <v>MARINI, </v>
      </c>
      <c r="BW16" s="1" t="str">
        <f aca="false">IF((AI16="X")+(AI16="Gn")+(AI16="C")+(AI15="Gn")&gt;0,"",IF(((AI16&lt;&gt;"Xm"))+((AI16&lt;&gt;"Xp"))+((AI16&lt;&gt;"Xn"))=0,"",IF(((AI16&lt;&gt;"Xm"))+((AI16&lt;&gt;"Xp"))+((AI16&lt;&gt;"Xn"))=3,AI$3&amp;", ",AI$3&amp;IF((AI16&lt;&gt;"Xm"),"_m","")&amp;IF((AI16&lt;&gt;"Xp"),"_p","")&amp;IF((AI16&lt;&gt;"Xn"),"_n","")&amp;", ")))</f>
        <v>CONTI A, </v>
      </c>
      <c r="BX16" s="1" t="str">
        <f aca="false">IF((AJ16="X")+(AJ16="Gn")+(AJ16="C")+(AJ15="Gn")&gt;0,"",IF(((AJ16&lt;&gt;"Xm"))+((AJ16&lt;&gt;"Xp"))+((AJ16&lt;&gt;"Xn"))=0,"",IF(((AJ16&lt;&gt;"Xm"))+((AJ16&lt;&gt;"Xp"))+((AJ16&lt;&gt;"Xn"))=3,AJ$3&amp;", ",AJ$3&amp;IF((AJ16&lt;&gt;"Xm"),"_m","")&amp;IF((AJ16&lt;&gt;"Xp"),"_p","")&amp;IF((AJ16&lt;&gt;"Xn"),"_n","")&amp;", ")))</f>
        <v>CONTI S, </v>
      </c>
      <c r="BY16" s="1" t="str">
        <f aca="false">IF((AK16="X")+(AK16="Gn")+(AK16="C")+(AK15="Gn")&gt;0,"",IF(((AK16&lt;&gt;"Xm"))+((AK16&lt;&gt;"Xp"))+((AK16&lt;&gt;"Xn"))=0,"",IF(((AK16&lt;&gt;"Xm"))+((AK16&lt;&gt;"Xp"))+((AK16&lt;&gt;"Xn"))=3,AK$3&amp;", ",AK$3&amp;IF((AK16&lt;&gt;"Xm"),"_m","")&amp;IF((AK16&lt;&gt;"Xp"),"_p","")&amp;IF((AK16&lt;&gt;"Xn"),"_n","")&amp;", ")))</f>
        <v>FERRARI, </v>
      </c>
      <c r="BZ16" s="1" t="str">
        <f aca="false">IF((AL16="X")+(AL16="Gn")+(AL16="C")+(AL15="Gn")&gt;0,"",IF(((AL16&lt;&gt;"Xm"))+((AL16&lt;&gt;"Xp"))+((AL16&lt;&gt;"Xn"))=0,"",IF(((AL16&lt;&gt;"Xm"))+((AL16&lt;&gt;"Xp"))+((AL16&lt;&gt;"Xn"))=3,AL$3&amp;", ",AL$3&amp;IF((AL16&lt;&gt;"Xm"),"_m","")&amp;IF((AL16&lt;&gt;"Xp"),"_p","")&amp;IF((AL16&lt;&gt;"Xn"),"_n","")&amp;", ")))</f>
        <v>GRECO, </v>
      </c>
      <c r="CA16" s="1" t="str">
        <f aca="false">IF((AM16="X")+(AM16="Gn")+(AM16="C")+(AM15="Gn")&gt;0,"",IF(((AM16&lt;&gt;"Xm"))+((AM16&lt;&gt;"Xp"))+((AM16&lt;&gt;"Xn"))=0,"",IF(((AM16&lt;&gt;"Xm"))+((AM16&lt;&gt;"Xp"))+((AM16&lt;&gt;"Xn"))=3,AM$3&amp;", ",AM$3&amp;IF((AM16&lt;&gt;"Xm"),"_m","")&amp;IF((AM16&lt;&gt;"Xp"),"_p","")&amp;IF((AM16&lt;&gt;"Xn"),"_n","")&amp;", ")))</f>
        <v>SANNA_m_n, </v>
      </c>
      <c r="CB16" s="1" t="str">
        <f aca="false">IF((AN16="X")+(AN16="Gn")+(AN16="C")+(AN15="Gn")&gt;0,"",IF(((AN16&lt;&gt;"Xm"))+((AN16&lt;&gt;"Xp"))+((AN16&lt;&gt;"Xn"))=0,"",IF(((AN16&lt;&gt;"Xm"))+((AN16&lt;&gt;"Xp"))+((AN16&lt;&gt;"Xn"))=3,AN$3&amp;", ",AN$3&amp;IF((AN16&lt;&gt;"Xm"),"_m","")&amp;IF((AN16&lt;&gt;"Xp"),"_p","")&amp;IF((AN16&lt;&gt;"Xn"),"_n","")&amp;", ")))</f>
        <v>LI, </v>
      </c>
      <c r="CD16" s="1" t="str">
        <f aca="false">IF((AA16="X")+(AA16="Gn")+(AA16="C")+(AA15="Gn")&gt;0,"",IF(((AA16&lt;&gt;"Xm")*(COUNTIFS($C$3:$P$3,"MAT",$C16:$P16,AA$3)=0)*(COUNTIFS($C$3:$P$3,"NOTTE",$C16:$P16,AA$3)=0))+((AA16&lt;&gt;"Xp")*(COUNTIFS($C$3:$P$3,"POM",$C16:$P16,AA$3)=0)*(COUNTIFS($C$3:$P$3,"NOTTE",$C16:$P16,AA$3)=0))+((AA16&lt;&gt;"Xn")*(COUNTIFS($C$3:$P$3,"MAT",$C16:$P16,AA$3)=0)*(COUNTIFS($C$3:$P$3,"POM",$C16:$P16,AA$3)=0)*(COUNTIFS($C$3:$P$3,"NOTTE",$C16:$P16,AA$3)=0))=0,"",IF(((AA16&lt;&gt;"Xm")*(COUNTIFS($C$3:$P$3,"MAT",$C16:$P16,AA$3)=0)*(COUNTIFS($C$3:$P$3,"NOTTE",$C16:$P16,AA$3)=0))+((AA16&lt;&gt;"Xp")*(COUNTIFS($C$3:$P$3,"POM",$C16:$P16,AA$3)=0)*(COUNTIFS($C$3:$P$3,"NOTTE",$C16:$P16,AA$3)=0))+((AA16&lt;&gt;"Xn")*(COUNTIFS($C$3:$P$3,"MAT",$C16:$P16,AA$3)=0)*(COUNTIFS($C$3:$P$3,"POM",$C16:$P16,AA$3)=0)*(COUNTIFS($C$3:$P$3,"NOTTE",$C16:$P16,AA$3)=0))=3,AA$3&amp;", ",AA$3&amp;IF((AA16&lt;&gt;"Xm")*(COUNTIFS($C$3:$P$3,"MAT",$C16:$P16,AA$3)=0)*(COUNTIFS($C$3:$P$3,"NOTTE",$C16:$P16,AA$3)=0),"_m","")&amp;IF((AA16&lt;&gt;"Xp")*(COUNTIFS($C$3:$P$3,"POM",$C16:$P16,AA$3)=0)*(COUNTIFS($C$3:$P$3,"NOTTE",$C16:$P16,AA$3)=0),"_p","")&amp;IF((AA16&lt;&gt;"Xn")*(COUNTIFS($C$3:$P$3,"MAT",$C16:$P16,AA$3)=0)*(COUNTIFS($C$3:$P$3,"POM",$C16:$P16,AA$3)=0)*(COUNTIFS($C$3:$P$3,"NOTTE",$C16:$P16,AA$3)=0),"_n","")&amp;", ")))</f>
        <v/>
      </c>
      <c r="CE16" s="1" t="str">
        <f aca="false">IF((AB16="X")+(AB16="Gn")+(AB16="C")+(AB15="Gn")&gt;0,"",IF(((AB16&lt;&gt;"Xm")*(COUNTIFS($C$3:$P$3,"MAT",$C16:$P16,AB$3)=0)*(COUNTIFS($C$3:$P$3,"NOTTE",$C16:$P16,AB$3)=0))+((AB16&lt;&gt;"Xp")*(COUNTIFS($C$3:$P$3,"POM",$C16:$P16,AB$3)=0)*(COUNTIFS($C$3:$P$3,"NOTTE",$C16:$P16,AB$3)=0))+((AB16&lt;&gt;"Xn")*(COUNTIFS($C$3:$P$3,"MAT",$C16:$P16,AB$3)=0)*(COUNTIFS($C$3:$P$3,"POM",$C16:$P16,AB$3)=0)*(COUNTIFS($C$3:$P$3,"NOTTE",$C16:$P16,AB$3)=0))=0,"",IF(((AB16&lt;&gt;"Xm")*(COUNTIFS($C$3:$P$3,"MAT",$C16:$P16,AB$3)=0)*(COUNTIFS($C$3:$P$3,"NOTTE",$C16:$P16,AB$3)=0))+((AB16&lt;&gt;"Xp")*(COUNTIFS($C$3:$P$3,"POM",$C16:$P16,AB$3)=0)*(COUNTIFS($C$3:$P$3,"NOTTE",$C16:$P16,AB$3)=0))+((AB16&lt;&gt;"Xn")*(COUNTIFS($C$3:$P$3,"MAT",$C16:$P16,AB$3)=0)*(COUNTIFS($C$3:$P$3,"POM",$C16:$P16,AB$3)=0)*(COUNTIFS($C$3:$P$3,"NOTTE",$C16:$P16,AB$3)=0))=3,AB$3&amp;", ",AB$3&amp;IF((AB16&lt;&gt;"Xm")*(COUNTIFS($C$3:$P$3,"MAT",$C16:$P16,AB$3)=0)*(COUNTIFS($C$3:$P$3,"NOTTE",$C16:$P16,AB$3)=0),"_m","")&amp;IF((AB16&lt;&gt;"Xp")*(COUNTIFS($C$3:$P$3,"POM",$C16:$P16,AB$3)=0)*(COUNTIFS($C$3:$P$3,"NOTTE",$C16:$P16,AB$3)=0),"_p","")&amp;IF((AB16&lt;&gt;"Xn")*(COUNTIFS($C$3:$P$3,"MAT",$C16:$P16,AB$3)=0)*(COUNTIFS($C$3:$P$3,"POM",$C16:$P16,AB$3)=0)*(COUNTIFS($C$3:$P$3,"NOTTE",$C16:$P16,AB$3)=0),"_n","")&amp;", ")))</f>
        <v>ROSSI M_p, </v>
      </c>
      <c r="CF16" s="1" t="str">
        <f aca="false">IF((AC16="X")+(AC16="Gn")+(AC16="C")+(AC15="Gn")&gt;0,"",IF(((AC16&lt;&gt;"Xm")*(COUNTIFS($C$3:$P$3,"MAT",$C16:$P16,AC$3)=0)*(COUNTIFS($C$3:$P$3,"NOTTE",$C16:$P16,AC$3)=0))+((AC16&lt;&gt;"Xp")*(COUNTIFS($C$3:$P$3,"POM",$C16:$P16,AC$3)=0)*(COUNTIFS($C$3:$P$3,"NOTTE",$C16:$P16,AC$3)=0))+((AC16&lt;&gt;"Xn")*(COUNTIFS($C$3:$P$3,"MAT",$C16:$P16,AC$3)=0)*(COUNTIFS($C$3:$P$3,"POM",$C16:$P16,AC$3)=0)*(COUNTIFS($C$3:$P$3,"NOTTE",$C16:$P16,AC$3)=0))=0,"",IF(((AC16&lt;&gt;"Xm")*(COUNTIFS($C$3:$P$3,"MAT",$C16:$P16,AC$3)=0)*(COUNTIFS($C$3:$P$3,"NOTTE",$C16:$P16,AC$3)=0))+((AC16&lt;&gt;"Xp")*(COUNTIFS($C$3:$P$3,"POM",$C16:$P16,AC$3)=0)*(COUNTIFS($C$3:$P$3,"NOTTE",$C16:$P16,AC$3)=0))+((AC16&lt;&gt;"Xn")*(COUNTIFS($C$3:$P$3,"MAT",$C16:$P16,AC$3)=0)*(COUNTIFS($C$3:$P$3,"POM",$C16:$P16,AC$3)=0)*(COUNTIFS($C$3:$P$3,"NOTTE",$C16:$P16,AC$3)=0))=3,AC$3&amp;", ",AC$3&amp;IF((AC16&lt;&gt;"Xm")*(COUNTIFS($C$3:$P$3,"MAT",$C16:$P16,AC$3)=0)*(COUNTIFS($C$3:$P$3,"NOTTE",$C16:$P16,AC$3)=0),"_m","")&amp;IF((AC16&lt;&gt;"Xp")*(COUNTIFS($C$3:$P$3,"POM",$C16:$P16,AC$3)=0)*(COUNTIFS($C$3:$P$3,"NOTTE",$C16:$P16,AC$3)=0),"_p","")&amp;IF((AC16&lt;&gt;"Xn")*(COUNTIFS($C$3:$P$3,"MAT",$C16:$P16,AC$3)=0)*(COUNTIFS($C$3:$P$3,"POM",$C16:$P16,AC$3)=0)*(COUNTIFS($C$3:$P$3,"NOTTE",$C16:$P16,AC$3)=0),"_n","")&amp;", ")))</f>
        <v/>
      </c>
      <c r="CG16" s="1" t="str">
        <f aca="false">IF((AD16="X")+(AD16="Gn")+(AD16="C")+(AD15="Gn")&gt;0,"",IF(((AD16&lt;&gt;"Xm")*(COUNTIFS($C$3:$P$3,"MAT",$C16:$P16,AD$3)=0)*(COUNTIFS($C$3:$P$3,"NOTTE",$C16:$P16,AD$3)=0))+((AD16&lt;&gt;"Xp")*(COUNTIFS($C$3:$P$3,"POM",$C16:$P16,AD$3)=0)*(COUNTIFS($C$3:$P$3,"NOTTE",$C16:$P16,AD$3)=0))+((AD16&lt;&gt;"Xn")*(COUNTIFS($C$3:$P$3,"MAT",$C16:$P16,AD$3)=0)*(COUNTIFS($C$3:$P$3,"POM",$C16:$P16,AD$3)=0)*(COUNTIFS($C$3:$P$3,"NOTTE",$C16:$P16,AD$3)=0))=0,"",IF(((AD16&lt;&gt;"Xm")*(COUNTIFS($C$3:$P$3,"MAT",$C16:$P16,AD$3)=0)*(COUNTIFS($C$3:$P$3,"NOTTE",$C16:$P16,AD$3)=0))+((AD16&lt;&gt;"Xp")*(COUNTIFS($C$3:$P$3,"POM",$C16:$P16,AD$3)=0)*(COUNTIFS($C$3:$P$3,"NOTTE",$C16:$P16,AD$3)=0))+((AD16&lt;&gt;"Xn")*(COUNTIFS($C$3:$P$3,"MAT",$C16:$P16,AD$3)=0)*(COUNTIFS($C$3:$P$3,"POM",$C16:$P16,AD$3)=0)*(COUNTIFS($C$3:$P$3,"NOTTE",$C16:$P16,AD$3)=0))=3,AD$3&amp;", ",AD$3&amp;IF((AD16&lt;&gt;"Xm")*(COUNTIFS($C$3:$P$3,"MAT",$C16:$P16,AD$3)=0)*(COUNTIFS($C$3:$P$3,"NOTTE",$C16:$P16,AD$3)=0),"_m","")&amp;IF((AD16&lt;&gt;"Xp")*(COUNTIFS($C$3:$P$3,"POM",$C16:$P16,AD$3)=0)*(COUNTIFS($C$3:$P$3,"NOTTE",$C16:$P16,AD$3)=0),"_p","")&amp;IF((AD16&lt;&gt;"Xn")*(COUNTIFS($C$3:$P$3,"MAT",$C16:$P16,AD$3)=0)*(COUNTIFS($C$3:$P$3,"POM",$C16:$P16,AD$3)=0)*(COUNTIFS($C$3:$P$3,"NOTTE",$C16:$P16,AD$3)=0),"_n","")&amp;", ")))</f>
        <v/>
      </c>
      <c r="CH16" s="1" t="str">
        <f aca="false">IF((AE16="X")+(AE16="Gn")+(AE16="C")+(AE15="Gn")&gt;0,"",IF(((AE16&lt;&gt;"Xm")*(COUNTIFS($C$3:$P$3,"MAT",$C16:$P16,AE$3)=0)*(COUNTIFS($C$3:$P$3,"NOTTE",$C16:$P16,AE$3)=0))+((AE16&lt;&gt;"Xp")*(COUNTIFS($C$3:$P$3,"POM",$C16:$P16,AE$3)=0)*(COUNTIFS($C$3:$P$3,"NOTTE",$C16:$P16,AE$3)=0))+((AE16&lt;&gt;"Xn")*(COUNTIFS($C$3:$P$3,"MAT",$C16:$P16,AE$3)=0)*(COUNTIFS($C$3:$P$3,"POM",$C16:$P16,AE$3)=0)*(COUNTIFS($C$3:$P$3,"NOTTE",$C16:$P16,AE$3)=0))=0,"",IF(((AE16&lt;&gt;"Xm")*(COUNTIFS($C$3:$P$3,"MAT",$C16:$P16,AE$3)=0)*(COUNTIFS($C$3:$P$3,"NOTTE",$C16:$P16,AE$3)=0))+((AE16&lt;&gt;"Xp")*(COUNTIFS($C$3:$P$3,"POM",$C16:$P16,AE$3)=0)*(COUNTIFS($C$3:$P$3,"NOTTE",$C16:$P16,AE$3)=0))+((AE16&lt;&gt;"Xn")*(COUNTIFS($C$3:$P$3,"MAT",$C16:$P16,AE$3)=0)*(COUNTIFS($C$3:$P$3,"POM",$C16:$P16,AE$3)=0)*(COUNTIFS($C$3:$P$3,"NOTTE",$C16:$P16,AE$3)=0))=3,AE$3&amp;", ",AE$3&amp;IF((AE16&lt;&gt;"Xm")*(COUNTIFS($C$3:$P$3,"MAT",$C16:$P16,AE$3)=0)*(COUNTIFS($C$3:$P$3,"NOTTE",$C16:$P16,AE$3)=0),"_m","")&amp;IF((AE16&lt;&gt;"Xp")*(COUNTIFS($C$3:$P$3,"POM",$C16:$P16,AE$3)=0)*(COUNTIFS($C$3:$P$3,"NOTTE",$C16:$P16,AE$3)=0),"_p","")&amp;IF((AE16&lt;&gt;"Xn")*(COUNTIFS($C$3:$P$3,"MAT",$C16:$P16,AE$3)=0)*(COUNTIFS($C$3:$P$3,"POM",$C16:$P16,AE$3)=0)*(COUNTIFS($C$3:$P$3,"NOTTE",$C16:$P16,AE$3)=0),"_n","")&amp;", ")))</f>
        <v>RUSSO, </v>
      </c>
      <c r="CI16" s="1" t="str">
        <f aca="false">IF((AF16="X")+(AF16="Gn")+(AF16="C")+(AF15="Gn")&gt;0,"",IF(((AF16&lt;&gt;"Xm")*(COUNTIFS($C$3:$P$3,"MAT",$C16:$P16,AF$3)=0)*(COUNTIFS($C$3:$P$3,"NOTTE",$C16:$P16,AF$3)=0))+((AF16&lt;&gt;"Xp")*(COUNTIFS($C$3:$P$3,"POM",$C16:$P16,AF$3)=0)*(COUNTIFS($C$3:$P$3,"NOTTE",$C16:$P16,AF$3)=0))+((AF16&lt;&gt;"Xn")*(COUNTIFS($C$3:$P$3,"MAT",$C16:$P16,AF$3)=0)*(COUNTIFS($C$3:$P$3,"POM",$C16:$P16,AF$3)=0)*(COUNTIFS($C$3:$P$3,"NOTTE",$C16:$P16,AF$3)=0))=0,"",IF(((AF16&lt;&gt;"Xm")*(COUNTIFS($C$3:$P$3,"MAT",$C16:$P16,AF$3)=0)*(COUNTIFS($C$3:$P$3,"NOTTE",$C16:$P16,AF$3)=0))+((AF16&lt;&gt;"Xp")*(COUNTIFS($C$3:$P$3,"POM",$C16:$P16,AF$3)=0)*(COUNTIFS($C$3:$P$3,"NOTTE",$C16:$P16,AF$3)=0))+((AF16&lt;&gt;"Xn")*(COUNTIFS($C$3:$P$3,"MAT",$C16:$P16,AF$3)=0)*(COUNTIFS($C$3:$P$3,"POM",$C16:$P16,AF$3)=0)*(COUNTIFS($C$3:$P$3,"NOTTE",$C16:$P16,AF$3)=0))=3,AF$3&amp;", ",AF$3&amp;IF((AF16&lt;&gt;"Xm")*(COUNTIFS($C$3:$P$3,"MAT",$C16:$P16,AF$3)=0)*(COUNTIFS($C$3:$P$3,"NOTTE",$C16:$P16,AF$3)=0),"_m","")&amp;IF((AF16&lt;&gt;"Xp")*(COUNTIFS($C$3:$P$3,"POM",$C16:$P16,AF$3)=0)*(COUNTIFS($C$3:$P$3,"NOTTE",$C16:$P16,AF$3)=0),"_p","")&amp;IF((AF16&lt;&gt;"Xn")*(COUNTIFS($C$3:$P$3,"MAT",$C16:$P16,AF$3)=0)*(COUNTIFS($C$3:$P$3,"POM",$C16:$P16,AF$3)=0)*(COUNTIFS($C$3:$P$3,"NOTTE",$C16:$P16,AF$3)=0),"_n","")&amp;", ")))</f>
        <v/>
      </c>
      <c r="CJ16" s="1" t="str">
        <f aca="false">IF((AG16="X")+(AG16="Gn")+(AG16="C")+(AG15="Gn")&gt;0,"",IF(((AG16&lt;&gt;"Xm")*(COUNTIFS($C$3:$P$3,"MAT",$C16:$P16,AG$3)=0)*(COUNTIFS($C$3:$P$3,"NOTTE",$C16:$P16,AG$3)=0))+((AG16&lt;&gt;"Xp")*(COUNTIFS($C$3:$P$3,"POM",$C16:$P16,AG$3)=0)*(COUNTIFS($C$3:$P$3,"NOTTE",$C16:$P16,AG$3)=0))+((AG16&lt;&gt;"Xn")*(COUNTIFS($C$3:$P$3,"MAT",$C16:$P16,AG$3)=0)*(COUNTIFS($C$3:$P$3,"POM",$C16:$P16,AG$3)=0)*(COUNTIFS($C$3:$P$3,"NOTTE",$C16:$P16,AG$3)=0))=0,"",IF(((AG16&lt;&gt;"Xm")*(COUNTIFS($C$3:$P$3,"MAT",$C16:$P16,AG$3)=0)*(COUNTIFS($C$3:$P$3,"NOTTE",$C16:$P16,AG$3)=0))+((AG16&lt;&gt;"Xp")*(COUNTIFS($C$3:$P$3,"POM",$C16:$P16,AG$3)=0)*(COUNTIFS($C$3:$P$3,"NOTTE",$C16:$P16,AG$3)=0))+((AG16&lt;&gt;"Xn")*(COUNTIFS($C$3:$P$3,"MAT",$C16:$P16,AG$3)=0)*(COUNTIFS($C$3:$P$3,"POM",$C16:$P16,AG$3)=0)*(COUNTIFS($C$3:$P$3,"NOTTE",$C16:$P16,AG$3)=0))=3,AG$3&amp;", ",AG$3&amp;IF((AG16&lt;&gt;"Xm")*(COUNTIFS($C$3:$P$3,"MAT",$C16:$P16,AG$3)=0)*(COUNTIFS($C$3:$P$3,"NOTTE",$C16:$P16,AG$3)=0),"_m","")&amp;IF((AG16&lt;&gt;"Xp")*(COUNTIFS($C$3:$P$3,"POM",$C16:$P16,AG$3)=0)*(COUNTIFS($C$3:$P$3,"NOTTE",$C16:$P16,AG$3)=0),"_p","")&amp;IF((AG16&lt;&gt;"Xn")*(COUNTIFS($C$3:$P$3,"MAT",$C16:$P16,AG$3)=0)*(COUNTIFS($C$3:$P$3,"POM",$C16:$P16,AG$3)=0)*(COUNTIFS($C$3:$P$3,"NOTTE",$C16:$P16,AG$3)=0),"_n","")&amp;", ")))</f>
        <v/>
      </c>
      <c r="CK16" s="1" t="str">
        <f aca="false">IF((AH16="X")+(AH16="Gn")+(AH16="C")+(AH15="Gn")&gt;0,"",IF(((AH16&lt;&gt;"Xm")*(COUNTIFS($C$3:$P$3,"MAT",$C16:$P16,AH$3)=0)*(COUNTIFS($C$3:$P$3,"NOTTE",$C16:$P16,AH$3)=0))+((AH16&lt;&gt;"Xp")*(COUNTIFS($C$3:$P$3,"POM",$C16:$P16,AH$3)=0)*(COUNTIFS($C$3:$P$3,"NOTTE",$C16:$P16,AH$3)=0))+((AH16&lt;&gt;"Xn")*(COUNTIFS($C$3:$P$3,"MAT",$C16:$P16,AH$3)=0)*(COUNTIFS($C$3:$P$3,"POM",$C16:$P16,AH$3)=0)*(COUNTIFS($C$3:$P$3,"NOTTE",$C16:$P16,AH$3)=0))=0,"",IF(((AH16&lt;&gt;"Xm")*(COUNTIFS($C$3:$P$3,"MAT",$C16:$P16,AH$3)=0)*(COUNTIFS($C$3:$P$3,"NOTTE",$C16:$P16,AH$3)=0))+((AH16&lt;&gt;"Xp")*(COUNTIFS($C$3:$P$3,"POM",$C16:$P16,AH$3)=0)*(COUNTIFS($C$3:$P$3,"NOTTE",$C16:$P16,AH$3)=0))+((AH16&lt;&gt;"Xn")*(COUNTIFS($C$3:$P$3,"MAT",$C16:$P16,AH$3)=0)*(COUNTIFS($C$3:$P$3,"POM",$C16:$P16,AH$3)=0)*(COUNTIFS($C$3:$P$3,"NOTTE",$C16:$P16,AH$3)=0))=3,AH$3&amp;", ",AH$3&amp;IF((AH16&lt;&gt;"Xm")*(COUNTIFS($C$3:$P$3,"MAT",$C16:$P16,AH$3)=0)*(COUNTIFS($C$3:$P$3,"NOTTE",$C16:$P16,AH$3)=0),"_m","")&amp;IF((AH16&lt;&gt;"Xp")*(COUNTIFS($C$3:$P$3,"POM",$C16:$P16,AH$3)=0)*(COUNTIFS($C$3:$P$3,"NOTTE",$C16:$P16,AH$3)=0),"_p","")&amp;IF((AH16&lt;&gt;"Xn")*(COUNTIFS($C$3:$P$3,"MAT",$C16:$P16,AH$3)=0)*(COUNTIFS($C$3:$P$3,"POM",$C16:$P16,AH$3)=0)*(COUNTIFS($C$3:$P$3,"NOTTE",$C16:$P16,AH$3)=0),"_n","")&amp;", ")))</f>
        <v>MARINI, </v>
      </c>
      <c r="CL16" s="1" t="str">
        <f aca="false">IF((AI16="X")+(AI16="Gn")+(AI16="C")+(AI15="Gn")&gt;0,"",IF(((AI16&lt;&gt;"Xm")*(COUNTIFS($C$3:$P$3,"MAT",$C16:$P16,AI$3)=0)*(COUNTIFS($C$3:$P$3,"NOTTE",$C16:$P16,AI$3)=0))+((AI16&lt;&gt;"Xp")*(COUNTIFS($C$3:$P$3,"POM",$C16:$P16,AI$3)=0)*(COUNTIFS($C$3:$P$3,"NOTTE",$C16:$P16,AI$3)=0))+((AI16&lt;&gt;"Xn")*(COUNTIFS($C$3:$P$3,"MAT",$C16:$P16,AI$3)=0)*(COUNTIFS($C$3:$P$3,"POM",$C16:$P16,AI$3)=0)*(COUNTIFS($C$3:$P$3,"NOTTE",$C16:$P16,AI$3)=0))=0,"",IF(((AI16&lt;&gt;"Xm")*(COUNTIFS($C$3:$P$3,"MAT",$C16:$P16,AI$3)=0)*(COUNTIFS($C$3:$P$3,"NOTTE",$C16:$P16,AI$3)=0))+((AI16&lt;&gt;"Xp")*(COUNTIFS($C$3:$P$3,"POM",$C16:$P16,AI$3)=0)*(COUNTIFS($C$3:$P$3,"NOTTE",$C16:$P16,AI$3)=0))+((AI16&lt;&gt;"Xn")*(COUNTIFS($C$3:$P$3,"MAT",$C16:$P16,AI$3)=0)*(COUNTIFS($C$3:$P$3,"POM",$C16:$P16,AI$3)=0)*(COUNTIFS($C$3:$P$3,"NOTTE",$C16:$P16,AI$3)=0))=3,AI$3&amp;", ",AI$3&amp;IF((AI16&lt;&gt;"Xm")*(COUNTIFS($C$3:$P$3,"MAT",$C16:$P16,AI$3)=0)*(COUNTIFS($C$3:$P$3,"NOTTE",$C16:$P16,AI$3)=0),"_m","")&amp;IF((AI16&lt;&gt;"Xp")*(COUNTIFS($C$3:$P$3,"POM",$C16:$P16,AI$3)=0)*(COUNTIFS($C$3:$P$3,"NOTTE",$C16:$P16,AI$3)=0),"_p","")&amp;IF((AI16&lt;&gt;"Xn")*(COUNTIFS($C$3:$P$3,"MAT",$C16:$P16,AI$3)=0)*(COUNTIFS($C$3:$P$3,"POM",$C16:$P16,AI$3)=0)*(COUNTIFS($C$3:$P$3,"NOTTE",$C16:$P16,AI$3)=0),"_n","")&amp;", ")))</f>
        <v/>
      </c>
      <c r="CM16" s="1" t="str">
        <f aca="false">IF((AJ16="X")+(AJ16="Gn")+(AJ16="C")+(AJ15="Gn")&gt;0,"",IF(((AJ16&lt;&gt;"Xm")*(COUNTIFS($C$3:$P$3,"MAT",$C16:$P16,AJ$3)=0)*(COUNTIFS($C$3:$P$3,"NOTTE",$C16:$P16,AJ$3)=0))+((AJ16&lt;&gt;"Xp")*(COUNTIFS($C$3:$P$3,"POM",$C16:$P16,AJ$3)=0)*(COUNTIFS($C$3:$P$3,"NOTTE",$C16:$P16,AJ$3)=0))+((AJ16&lt;&gt;"Xn")*(COUNTIFS($C$3:$P$3,"MAT",$C16:$P16,AJ$3)=0)*(COUNTIFS($C$3:$P$3,"POM",$C16:$P16,AJ$3)=0)*(COUNTIFS($C$3:$P$3,"NOTTE",$C16:$P16,AJ$3)=0))=0,"",IF(((AJ16&lt;&gt;"Xm")*(COUNTIFS($C$3:$P$3,"MAT",$C16:$P16,AJ$3)=0)*(COUNTIFS($C$3:$P$3,"NOTTE",$C16:$P16,AJ$3)=0))+((AJ16&lt;&gt;"Xp")*(COUNTIFS($C$3:$P$3,"POM",$C16:$P16,AJ$3)=0)*(COUNTIFS($C$3:$P$3,"NOTTE",$C16:$P16,AJ$3)=0))+((AJ16&lt;&gt;"Xn")*(COUNTIFS($C$3:$P$3,"MAT",$C16:$P16,AJ$3)=0)*(COUNTIFS($C$3:$P$3,"POM",$C16:$P16,AJ$3)=0)*(COUNTIFS($C$3:$P$3,"NOTTE",$C16:$P16,AJ$3)=0))=3,AJ$3&amp;", ",AJ$3&amp;IF((AJ16&lt;&gt;"Xm")*(COUNTIFS($C$3:$P$3,"MAT",$C16:$P16,AJ$3)=0)*(COUNTIFS($C$3:$P$3,"NOTTE",$C16:$P16,AJ$3)=0),"_m","")&amp;IF((AJ16&lt;&gt;"Xp")*(COUNTIFS($C$3:$P$3,"POM",$C16:$P16,AJ$3)=0)*(COUNTIFS($C$3:$P$3,"NOTTE",$C16:$P16,AJ$3)=0),"_p","")&amp;IF((AJ16&lt;&gt;"Xn")*(COUNTIFS($C$3:$P$3,"MAT",$C16:$P16,AJ$3)=0)*(COUNTIFS($C$3:$P$3,"POM",$C16:$P16,AJ$3)=0)*(COUNTIFS($C$3:$P$3,"NOTTE",$C16:$P16,AJ$3)=0),"_n","")&amp;", ")))</f>
        <v>CONTI S_m, </v>
      </c>
      <c r="CN16" s="1" t="str">
        <f aca="false">IF((AK16="X")+(AK16="Gn")+(AK16="C")+(AK15="Gn")&gt;0,"",IF(((AK16&lt;&gt;"Xm")*(COUNTIFS($C$3:$P$3,"MAT",$C16:$P16,AK$3)=0)*(COUNTIFS($C$3:$P$3,"NOTTE",$C16:$P16,AK$3)=0))+((AK16&lt;&gt;"Xp")*(COUNTIFS($C$3:$P$3,"POM",$C16:$P16,AK$3)=0)*(COUNTIFS($C$3:$P$3,"NOTTE",$C16:$P16,AK$3)=0))+((AK16&lt;&gt;"Xn")*(COUNTIFS($C$3:$P$3,"MAT",$C16:$P16,AK$3)=0)*(COUNTIFS($C$3:$P$3,"POM",$C16:$P16,AK$3)=0)*(COUNTIFS($C$3:$P$3,"NOTTE",$C16:$P16,AK$3)=0))=0,"",IF(((AK16&lt;&gt;"Xm")*(COUNTIFS($C$3:$P$3,"MAT",$C16:$P16,AK$3)=0)*(COUNTIFS($C$3:$P$3,"NOTTE",$C16:$P16,AK$3)=0))+((AK16&lt;&gt;"Xp")*(COUNTIFS($C$3:$P$3,"POM",$C16:$P16,AK$3)=0)*(COUNTIFS($C$3:$P$3,"NOTTE",$C16:$P16,AK$3)=0))+((AK16&lt;&gt;"Xn")*(COUNTIFS($C$3:$P$3,"MAT",$C16:$P16,AK$3)=0)*(COUNTIFS($C$3:$P$3,"POM",$C16:$P16,AK$3)=0)*(COUNTIFS($C$3:$P$3,"NOTTE",$C16:$P16,AK$3)=0))=3,AK$3&amp;", ",AK$3&amp;IF((AK16&lt;&gt;"Xm")*(COUNTIFS($C$3:$P$3,"MAT",$C16:$P16,AK$3)=0)*(COUNTIFS($C$3:$P$3,"NOTTE",$C16:$P16,AK$3)=0),"_m","")&amp;IF((AK16&lt;&gt;"Xp")*(COUNTIFS($C$3:$P$3,"POM",$C16:$P16,AK$3)=0)*(COUNTIFS($C$3:$P$3,"NOTTE",$C16:$P16,AK$3)=0),"_p","")&amp;IF((AK16&lt;&gt;"Xn")*(COUNTIFS($C$3:$P$3,"MAT",$C16:$P16,AK$3)=0)*(COUNTIFS($C$3:$P$3,"POM",$C16:$P16,AK$3)=0)*(COUNTIFS($C$3:$P$3,"NOTTE",$C16:$P16,AK$3)=0),"_n","")&amp;", ")))</f>
        <v>FERRARI, </v>
      </c>
      <c r="CO16" s="1" t="str">
        <f aca="false">IF((AL16="X")+(AL16="Gn")+(AL16="C")+(AL15="Gn")&gt;0,"",IF(((AL16&lt;&gt;"Xm")*(COUNTIFS($C$3:$P$3,"MAT",$C16:$P16,AL$3)=0)*(COUNTIFS($C$3:$P$3,"NOTTE",$C16:$P16,AL$3)=0))+((AL16&lt;&gt;"Xp")*(COUNTIFS($C$3:$P$3,"POM",$C16:$P16,AL$3)=0)*(COUNTIFS($C$3:$P$3,"NOTTE",$C16:$P16,AL$3)=0))+((AL16&lt;&gt;"Xn")*(COUNTIFS($C$3:$P$3,"MAT",$C16:$P16,AL$3)=0)*(COUNTIFS($C$3:$P$3,"POM",$C16:$P16,AL$3)=0)*(COUNTIFS($C$3:$P$3,"NOTTE",$C16:$P16,AL$3)=0))=0,"",IF(((AL16&lt;&gt;"Xm")*(COUNTIFS($C$3:$P$3,"MAT",$C16:$P16,AL$3)=0)*(COUNTIFS($C$3:$P$3,"NOTTE",$C16:$P16,AL$3)=0))+((AL16&lt;&gt;"Xp")*(COUNTIFS($C$3:$P$3,"POM",$C16:$P16,AL$3)=0)*(COUNTIFS($C$3:$P$3,"NOTTE",$C16:$P16,AL$3)=0))+((AL16&lt;&gt;"Xn")*(COUNTIFS($C$3:$P$3,"MAT",$C16:$P16,AL$3)=0)*(COUNTIFS($C$3:$P$3,"POM",$C16:$P16,AL$3)=0)*(COUNTIFS($C$3:$P$3,"NOTTE",$C16:$P16,AL$3)=0))=3,AL$3&amp;", ",AL$3&amp;IF((AL16&lt;&gt;"Xm")*(COUNTIFS($C$3:$P$3,"MAT",$C16:$P16,AL$3)=0)*(COUNTIFS($C$3:$P$3,"NOTTE",$C16:$P16,AL$3)=0),"_m","")&amp;IF((AL16&lt;&gt;"Xp")*(COUNTIFS($C$3:$P$3,"POM",$C16:$P16,AL$3)=0)*(COUNTIFS($C$3:$P$3,"NOTTE",$C16:$P16,AL$3)=0),"_p","")&amp;IF((AL16&lt;&gt;"Xn")*(COUNTIFS($C$3:$P$3,"MAT",$C16:$P16,AL$3)=0)*(COUNTIFS($C$3:$P$3,"POM",$C16:$P16,AL$3)=0)*(COUNTIFS($C$3:$P$3,"NOTTE",$C16:$P16,AL$3)=0),"_n","")&amp;", ")))</f>
        <v>GRECO, </v>
      </c>
      <c r="CP16" s="1" t="str">
        <f aca="false">IF((AM16="X")+(AM16="Gn")+(AM16="C")+(AM15="Gn")&gt;0,"",IF(((AM16&lt;&gt;"Xm")*(COUNTIFS($C$3:$P$3,"MAT",$C16:$P16,AM$3)=0)*(COUNTIFS($C$3:$P$3,"NOTTE",$C16:$P16,AM$3)=0))+((AM16&lt;&gt;"Xp")*(COUNTIFS($C$3:$P$3,"POM",$C16:$P16,AM$3)=0)*(COUNTIFS($C$3:$P$3,"NOTTE",$C16:$P16,AM$3)=0))+((AM16&lt;&gt;"Xn")*(COUNTIFS($C$3:$P$3,"MAT",$C16:$P16,AM$3)=0)*(COUNTIFS($C$3:$P$3,"POM",$C16:$P16,AM$3)=0)*(COUNTIFS($C$3:$P$3,"NOTTE",$C16:$P16,AM$3)=0))=0,"",IF(((AM16&lt;&gt;"Xm")*(COUNTIFS($C$3:$P$3,"MAT",$C16:$P16,AM$3)=0)*(COUNTIFS($C$3:$P$3,"NOTTE",$C16:$P16,AM$3)=0))+((AM16&lt;&gt;"Xp")*(COUNTIFS($C$3:$P$3,"POM",$C16:$P16,AM$3)=0)*(COUNTIFS($C$3:$P$3,"NOTTE",$C16:$P16,AM$3)=0))+((AM16&lt;&gt;"Xn")*(COUNTIFS($C$3:$P$3,"MAT",$C16:$P16,AM$3)=0)*(COUNTIFS($C$3:$P$3,"POM",$C16:$P16,AM$3)=0)*(COUNTIFS($C$3:$P$3,"NOTTE",$C16:$P16,AM$3)=0))=3,AM$3&amp;", ",AM$3&amp;IF((AM16&lt;&gt;"Xm")*(COUNTIFS($C$3:$P$3,"MAT",$C16:$P16,AM$3)=0)*(COUNTIFS($C$3:$P$3,"NOTTE",$C16:$P16,AM$3)=0),"_m","")&amp;IF((AM16&lt;&gt;"Xp")*(COUNTIFS($C$3:$P$3,"POM",$C16:$P16,AM$3)=0)*(COUNTIFS($C$3:$P$3,"NOTTE",$C16:$P16,AM$3)=0),"_p","")&amp;IF((AM16&lt;&gt;"Xn")*(COUNTIFS($C$3:$P$3,"MAT",$C16:$P16,AM$3)=0)*(COUNTIFS($C$3:$P$3,"POM",$C16:$P16,AM$3)=0)*(COUNTIFS($C$3:$P$3,"NOTTE",$C16:$P16,AM$3)=0),"_n","")&amp;", ")))</f>
        <v/>
      </c>
      <c r="CQ16" s="1" t="str">
        <f aca="false">IF((AN16="X")+(AN16="Gn")+(AN16="C")+(AN15="Gn")&gt;0,"",IF(((AN16&lt;&gt;"Xm")*(COUNTIFS($C$3:$P$3,"MAT",$C16:$P16,AN$3)=0)*(COUNTIFS($C$3:$P$3,"NOTTE",$C16:$P16,AN$3)=0))+((AN16&lt;&gt;"Xp")*(COUNTIFS($C$3:$P$3,"POM",$C16:$P16,AN$3)=0)*(COUNTIFS($C$3:$P$3,"NOTTE",$C16:$P16,AN$3)=0))+((AN16&lt;&gt;"Xn")*(COUNTIFS($C$3:$P$3,"MAT",$C16:$P16,AN$3)=0)*(COUNTIFS($C$3:$P$3,"POM",$C16:$P16,AN$3)=0)*(COUNTIFS($C$3:$P$3,"NOTTE",$C16:$P16,AN$3)=0))=0,"",IF(((AN16&lt;&gt;"Xm")*(COUNTIFS($C$3:$P$3,"MAT",$C16:$P16,AN$3)=0)*(COUNTIFS($C$3:$P$3,"NOTTE",$C16:$P16,AN$3)=0))+((AN16&lt;&gt;"Xp")*(COUNTIFS($C$3:$P$3,"POM",$C16:$P16,AN$3)=0)*(COUNTIFS($C$3:$P$3,"NOTTE",$C16:$P16,AN$3)=0))+((AN16&lt;&gt;"Xn")*(COUNTIFS($C$3:$P$3,"MAT",$C16:$P16,AN$3)=0)*(COUNTIFS($C$3:$P$3,"POM",$C16:$P16,AN$3)=0)*(COUNTIFS($C$3:$P$3,"NOTTE",$C16:$P16,AN$3)=0))=3,AN$3&amp;", ",AN$3&amp;IF((AN16&lt;&gt;"Xm")*(COUNTIFS($C$3:$P$3,"MAT",$C16:$P16,AN$3)=0)*(COUNTIFS($C$3:$P$3,"NOTTE",$C16:$P16,AN$3)=0),"_m","")&amp;IF((AN16&lt;&gt;"Xp")*(COUNTIFS($C$3:$P$3,"POM",$C16:$P16,AN$3)=0)*(COUNTIFS($C$3:$P$3,"NOTTE",$C16:$P16,AN$3)=0),"_p","")&amp;IF((AN16&lt;&gt;"Xn")*(COUNTIFS($C$3:$P$3,"MAT",$C16:$P16,AN$3)=0)*(COUNTIFS($C$3:$P$3,"POM",$C16:$P16,AN$3)=0)*(COUNTIFS($C$3:$P$3,"NOTTE",$C16:$P16,AN$3)=0),"_n","")&amp;", ")))</f>
        <v>LI_m, </v>
      </c>
    </row>
    <row r="17" customFormat="false" ht="15" hidden="false" customHeight="true" outlineLevel="0" collapsed="false">
      <c r="A17" s="8" t="str">
        <f aca="false">CHOOSE(WEEKDAY(DATE($B$1,$A$2,B17),2),"lunedì","martedì","mercoledì","giovedì","venerdì","sabato","domenica")</f>
        <v>sabato</v>
      </c>
      <c r="B17" s="8" t="n">
        <v>14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 t="s">
        <v>25</v>
      </c>
      <c r="O17" s="8" t="s">
        <v>25</v>
      </c>
      <c r="P17" s="8" t="s">
        <v>27</v>
      </c>
      <c r="Q17" s="8"/>
      <c r="R17" s="8" t="str">
        <f aca="false">IF(SUMPRODUCT(($C$3:$P$3&lt;&gt;"")*($C17:$P17&lt;&gt;"")*(COUNTIFS($C17:$P17,$C17:$P17,$C$3:$P$3,$C$3:$P$3)&gt;1))&gt;0,"X","")</f>
        <v/>
      </c>
      <c r="S17" s="9" t="str">
        <f aca="false"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L, RUSSO, VERDI, HU, MARINI, CONTI A, CONTI S, FERRARI, GRECO, SANNA, LI</v>
      </c>
      <c r="T17" s="9" t="str">
        <f aca="false"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VERDI, HU, MARINI, CONTI A, CONTI S, FERRARI, GRECO, SANNA, LI</v>
      </c>
      <c r="Y17" s="8" t="str">
        <f aca="false">A17</f>
        <v>sabato</v>
      </c>
      <c r="Z17" s="8" t="n">
        <f aca="false">B17</f>
        <v>14</v>
      </c>
      <c r="AA17" s="10"/>
      <c r="AB17" s="10" t="s">
        <v>44</v>
      </c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S17" s="13" t="str">
        <f aca="false">AN$3</f>
        <v>LI</v>
      </c>
      <c r="AT17" s="13" t="n">
        <f aca="false">COUNTIF($C$4:$D$33,$AS17)</f>
        <v>0</v>
      </c>
      <c r="AU17" s="13" t="n">
        <f aca="false">COUNTIF($E$4:$F$33,$AS17)</f>
        <v>6</v>
      </c>
      <c r="AV17" s="13" t="n">
        <f aca="false">COUNTIF($G$4:$H$33,$AS17)</f>
        <v>8</v>
      </c>
      <c r="AW17" s="13" t="n">
        <f aca="false">COUNTIF($I$4:$J$33,$AS17)</f>
        <v>0</v>
      </c>
      <c r="AX17" s="13" t="n">
        <f aca="false">COUNTIF($K$4:$K$33,$AS17)</f>
        <v>5</v>
      </c>
      <c r="AY17" s="13" t="n">
        <f aca="false">COUNTIF($L$4:$L$33,$AS17)</f>
        <v>0</v>
      </c>
      <c r="AZ17" s="13" t="n">
        <f aca="false">COUNTIF($M$4:$M$33,$AS17)</f>
        <v>1</v>
      </c>
      <c r="BA17" s="13" t="n">
        <f aca="false">COUNTIF($N$4:$P$33,$AS17)</f>
        <v>0</v>
      </c>
      <c r="BB17" s="13" t="n">
        <f aca="false">COUNTIF($C$4:$P$33,$AS17)</f>
        <v>20</v>
      </c>
      <c r="BD17" s="14" t="str">
        <f aca="false">AN$3</f>
        <v>LI</v>
      </c>
      <c r="BE17" s="14"/>
      <c r="BF17" s="14"/>
      <c r="BG17" s="14"/>
      <c r="BH17" s="14"/>
      <c r="BI17" s="14"/>
      <c r="BJ17" s="14"/>
      <c r="BK17" s="14"/>
      <c r="BL17" s="14"/>
      <c r="BM17" s="14"/>
      <c r="BO17" s="1" t="str">
        <f aca="false">IF((AA17="X")+(AA17="Gn")+(AA17="C")+(AA16="Gn")&gt;0,"",IF(((AA17&lt;&gt;"Xm"))+((AA17&lt;&gt;"Xp"))+((AA17&lt;&gt;"Xn"))=0,"",IF(((AA17&lt;&gt;"Xm"))+((AA17&lt;&gt;"Xp"))+((AA17&lt;&gt;"Xn"))=3,AA$3&amp;", ",AA$3&amp;IF((AA17&lt;&gt;"Xm"),"_m","")&amp;IF((AA17&lt;&gt;"Xp"),"_p","")&amp;IF((AA17&lt;&gt;"Xn"),"_n","")&amp;", ")))</f>
        <v>LEONI, </v>
      </c>
      <c r="BP17" s="1" t="str">
        <f aca="false">IF((AB17="X")+(AB17="Gn")+(AB17="C")+(AB16="Gn")&gt;0,"",IF(((AB17&lt;&gt;"Xm"))+((AB17&lt;&gt;"Xp"))+((AB17&lt;&gt;"Xn"))=0,"",IF(((AB17&lt;&gt;"Xm"))+((AB17&lt;&gt;"Xp"))+((AB17&lt;&gt;"Xn"))=3,AB$3&amp;", ",AB$3&amp;IF((AB17&lt;&gt;"Xm"),"_m","")&amp;IF((AB17&lt;&gt;"Xp"),"_p","")&amp;IF((AB17&lt;&gt;"Xn"),"_n","")&amp;", ")))</f>
        <v/>
      </c>
      <c r="BQ17" s="1" t="str">
        <f aca="false">IF((AC17="X")+(AC17="Gn")+(AC17="C")+(AC16="Gn")&gt;0,"",IF(((AC17&lt;&gt;"Xm"))+((AC17&lt;&gt;"Xp"))+((AC17&lt;&gt;"Xn"))=0,"",IF(((AC17&lt;&gt;"Xm"))+((AC17&lt;&gt;"Xp"))+((AC17&lt;&gt;"Xn"))=3,AC$3&amp;", ",AC$3&amp;IF((AC17&lt;&gt;"Xm"),"_m","")&amp;IF((AC17&lt;&gt;"Xp"),"_p","")&amp;IF((AC17&lt;&gt;"Xn"),"_n","")&amp;", ")))</f>
        <v>ROSSI L, </v>
      </c>
      <c r="BR17" s="1" t="str">
        <f aca="false">IF((AD17="X")+(AD17="Gn")+(AD17="C")+(AD16="Gn")&gt;0,"",IF(((AD17&lt;&gt;"Xm"))+((AD17&lt;&gt;"Xp"))+((AD17&lt;&gt;"Xn"))=0,"",IF(((AD17&lt;&gt;"Xm"))+((AD17&lt;&gt;"Xp"))+((AD17&lt;&gt;"Xn"))=3,AD$3&amp;", ",AD$3&amp;IF((AD17&lt;&gt;"Xm"),"_m","")&amp;IF((AD17&lt;&gt;"Xp"),"_p","")&amp;IF((AD17&lt;&gt;"Xn"),"_n","")&amp;", ")))</f>
        <v/>
      </c>
      <c r="BS17" s="1" t="str">
        <f aca="false">IF((AE17="X")+(AE17="Gn")+(AE17="C")+(AE16="Gn")&gt;0,"",IF(((AE17&lt;&gt;"Xm"))+((AE17&lt;&gt;"Xp"))+((AE17&lt;&gt;"Xn"))=0,"",IF(((AE17&lt;&gt;"Xm"))+((AE17&lt;&gt;"Xp"))+((AE17&lt;&gt;"Xn"))=3,AE$3&amp;", ",AE$3&amp;IF((AE17&lt;&gt;"Xm"),"_m","")&amp;IF((AE17&lt;&gt;"Xp"),"_p","")&amp;IF((AE17&lt;&gt;"Xn"),"_n","")&amp;", ")))</f>
        <v>RUSSO, </v>
      </c>
      <c r="BT17" s="1" t="str">
        <f aca="false">IF((AF17="X")+(AF17="Gn")+(AF17="C")+(AF16="Gn")&gt;0,"",IF(((AF17&lt;&gt;"Xm"))+((AF17&lt;&gt;"Xp"))+((AF17&lt;&gt;"Xn"))=0,"",IF(((AF17&lt;&gt;"Xm"))+((AF17&lt;&gt;"Xp"))+((AF17&lt;&gt;"Xn"))=3,AF$3&amp;", ",AF$3&amp;IF((AF17&lt;&gt;"Xm"),"_m","")&amp;IF((AF17&lt;&gt;"Xp"),"_p","")&amp;IF((AF17&lt;&gt;"Xn"),"_n","")&amp;", ")))</f>
        <v>VERDI, </v>
      </c>
      <c r="BU17" s="1" t="str">
        <f aca="false">IF((AG17="X")+(AG17="Gn")+(AG17="C")+(AG16="Gn")&gt;0,"",IF(((AG17&lt;&gt;"Xm"))+((AG17&lt;&gt;"Xp"))+((AG17&lt;&gt;"Xn"))=0,"",IF(((AG17&lt;&gt;"Xm"))+((AG17&lt;&gt;"Xp"))+((AG17&lt;&gt;"Xn"))=3,AG$3&amp;", ",AG$3&amp;IF((AG17&lt;&gt;"Xm"),"_m","")&amp;IF((AG17&lt;&gt;"Xp"),"_p","")&amp;IF((AG17&lt;&gt;"Xn"),"_n","")&amp;", ")))</f>
        <v>HU, </v>
      </c>
      <c r="BV17" s="1" t="str">
        <f aca="false">IF((AH17="X")+(AH17="Gn")+(AH17="C")+(AH16="Gn")&gt;0,"",IF(((AH17&lt;&gt;"Xm"))+((AH17&lt;&gt;"Xp"))+((AH17&lt;&gt;"Xn"))=0,"",IF(((AH17&lt;&gt;"Xm"))+((AH17&lt;&gt;"Xp"))+((AH17&lt;&gt;"Xn"))=3,AH$3&amp;", ",AH$3&amp;IF((AH17&lt;&gt;"Xm"),"_m","")&amp;IF((AH17&lt;&gt;"Xp"),"_p","")&amp;IF((AH17&lt;&gt;"Xn"),"_n","")&amp;", ")))</f>
        <v>MARINI, </v>
      </c>
      <c r="BW17" s="1" t="str">
        <f aca="false">IF((AI17="X")+(AI17="Gn")+(AI17="C")+(AI16="Gn")&gt;0,"",IF(((AI17&lt;&gt;"Xm"))+((AI17&lt;&gt;"Xp"))+((AI17&lt;&gt;"Xn"))=0,"",IF(((AI17&lt;&gt;"Xm"))+((AI17&lt;&gt;"Xp"))+((AI17&lt;&gt;"Xn"))=3,AI$3&amp;", ",AI$3&amp;IF((AI17&lt;&gt;"Xm"),"_m","")&amp;IF((AI17&lt;&gt;"Xp"),"_p","")&amp;IF((AI17&lt;&gt;"Xn"),"_n","")&amp;", ")))</f>
        <v>CONTI A, </v>
      </c>
      <c r="BX17" s="1" t="str">
        <f aca="false">IF((AJ17="X")+(AJ17="Gn")+(AJ17="C")+(AJ16="Gn")&gt;0,"",IF(((AJ17&lt;&gt;"Xm"))+((AJ17&lt;&gt;"Xp"))+((AJ17&lt;&gt;"Xn"))=0,"",IF(((AJ17&lt;&gt;"Xm"))+((AJ17&lt;&gt;"Xp"))+((AJ17&lt;&gt;"Xn"))=3,AJ$3&amp;", ",AJ$3&amp;IF((AJ17&lt;&gt;"Xm"),"_m","")&amp;IF((AJ17&lt;&gt;"Xp"),"_p","")&amp;IF((AJ17&lt;&gt;"Xn"),"_n","")&amp;", ")))</f>
        <v>CONTI S, </v>
      </c>
      <c r="BY17" s="1" t="str">
        <f aca="false">IF((AK17="X")+(AK17="Gn")+(AK17="C")+(AK16="Gn")&gt;0,"",IF(((AK17&lt;&gt;"Xm"))+((AK17&lt;&gt;"Xp"))+((AK17&lt;&gt;"Xn"))=0,"",IF(((AK17&lt;&gt;"Xm"))+((AK17&lt;&gt;"Xp"))+((AK17&lt;&gt;"Xn"))=3,AK$3&amp;", ",AK$3&amp;IF((AK17&lt;&gt;"Xm"),"_m","")&amp;IF((AK17&lt;&gt;"Xp"),"_p","")&amp;IF((AK17&lt;&gt;"Xn"),"_n","")&amp;", ")))</f>
        <v>FERRARI, </v>
      </c>
      <c r="BZ17" s="1" t="str">
        <f aca="false">IF((AL17="X")+(AL17="Gn")+(AL17="C")+(AL16="Gn")&gt;0,"",IF(((AL17&lt;&gt;"Xm"))+((AL17&lt;&gt;"Xp"))+((AL17&lt;&gt;"Xn"))=0,"",IF(((AL17&lt;&gt;"Xm"))+((AL17&lt;&gt;"Xp"))+((AL17&lt;&gt;"Xn"))=3,AL$3&amp;", ",AL$3&amp;IF((AL17&lt;&gt;"Xm"),"_m","")&amp;IF((AL17&lt;&gt;"Xp"),"_p","")&amp;IF((AL17&lt;&gt;"Xn"),"_n","")&amp;", ")))</f>
        <v>GRECO, </v>
      </c>
      <c r="CA17" s="1" t="str">
        <f aca="false">IF((AM17="X")+(AM17="Gn")+(AM17="C")+(AM16="Gn")&gt;0,"",IF(((AM17&lt;&gt;"Xm"))+((AM17&lt;&gt;"Xp"))+((AM17&lt;&gt;"Xn"))=0,"",IF(((AM17&lt;&gt;"Xm"))+((AM17&lt;&gt;"Xp"))+((AM17&lt;&gt;"Xn"))=3,AM$3&amp;", ",AM$3&amp;IF((AM17&lt;&gt;"Xm"),"_m","")&amp;IF((AM17&lt;&gt;"Xp"),"_p","")&amp;IF((AM17&lt;&gt;"Xn"),"_n","")&amp;", ")))</f>
        <v>SANNA, </v>
      </c>
      <c r="CB17" s="1" t="str">
        <f aca="false">IF((AN17="X")+(AN17="Gn")+(AN17="C")+(AN16="Gn")&gt;0,"",IF(((AN17&lt;&gt;"Xm"))+((AN17&lt;&gt;"Xp"))+((AN17&lt;&gt;"Xn"))=0,"",IF(((AN17&lt;&gt;"Xm"))+((AN17&lt;&gt;"Xp"))+((AN17&lt;&gt;"Xn"))=3,AN$3&amp;", ",AN$3&amp;IF((AN17&lt;&gt;"Xm"),"_m","")&amp;IF((AN17&lt;&gt;"Xp"),"_p","")&amp;IF((AN17&lt;&gt;"Xn"),"_n","")&amp;", ")))</f>
        <v>LI, </v>
      </c>
      <c r="CD17" s="1" t="str">
        <f aca="false">IF((AA17="X")+(AA17="Gn")+(AA17="C")+(AA16="Gn")&gt;0,"",IF(((AA17&lt;&gt;"Xm")*(COUNTIFS($C$3:$P$3,"MAT",$C17:$P17,AA$3)=0)*(COUNTIFS($C$3:$P$3,"NOTTE",$C17:$P17,AA$3)=0))+((AA17&lt;&gt;"Xp")*(COUNTIFS($C$3:$P$3,"POM",$C17:$P17,AA$3)=0)*(COUNTIFS($C$3:$P$3,"NOTTE",$C17:$P17,AA$3)=0))+((AA17&lt;&gt;"Xn")*(COUNTIFS($C$3:$P$3,"MAT",$C17:$P17,AA$3)=0)*(COUNTIFS($C$3:$P$3,"POM",$C17:$P17,AA$3)=0)*(COUNTIFS($C$3:$P$3,"NOTTE",$C17:$P17,AA$3)=0))=0,"",IF(((AA17&lt;&gt;"Xm")*(COUNTIFS($C$3:$P$3,"MAT",$C17:$P17,AA$3)=0)*(COUNTIFS($C$3:$P$3,"NOTTE",$C17:$P17,AA$3)=0))+((AA17&lt;&gt;"Xp")*(COUNTIFS($C$3:$P$3,"POM",$C17:$P17,AA$3)=0)*(COUNTIFS($C$3:$P$3,"NOTTE",$C17:$P17,AA$3)=0))+((AA17&lt;&gt;"Xn")*(COUNTIFS($C$3:$P$3,"MAT",$C17:$P17,AA$3)=0)*(COUNTIFS($C$3:$P$3,"POM",$C17:$P17,AA$3)=0)*(COUNTIFS($C$3:$P$3,"NOTTE",$C17:$P17,AA$3)=0))=3,AA$3&amp;", ",AA$3&amp;IF((AA17&lt;&gt;"Xm")*(COUNTIFS($C$3:$P$3,"MAT",$C17:$P17,AA$3)=0)*(COUNTIFS($C$3:$P$3,"NOTTE",$C17:$P17,AA$3)=0),"_m","")&amp;IF((AA17&lt;&gt;"Xp")*(COUNTIFS($C$3:$P$3,"POM",$C17:$P17,AA$3)=0)*(COUNTIFS($C$3:$P$3,"NOTTE",$C17:$P17,AA$3)=0),"_p","")&amp;IF((AA17&lt;&gt;"Xn")*(COUNTIFS($C$3:$P$3,"MAT",$C17:$P17,AA$3)=0)*(COUNTIFS($C$3:$P$3,"POM",$C17:$P17,AA$3)=0)*(COUNTIFS($C$3:$P$3,"NOTTE",$C17:$P17,AA$3)=0),"_n","")&amp;", ")))</f>
        <v>LEONI, </v>
      </c>
      <c r="CE17" s="1" t="str">
        <f aca="false">IF((AB17="X")+(AB17="Gn")+(AB17="C")+(AB16="Gn")&gt;0,"",IF(((AB17&lt;&gt;"Xm")*(COUNTIFS($C$3:$P$3,"MAT",$C17:$P17,AB$3)=0)*(COUNTIFS($C$3:$P$3,"NOTTE",$C17:$P17,AB$3)=0))+((AB17&lt;&gt;"Xp")*(COUNTIFS($C$3:$P$3,"POM",$C17:$P17,AB$3)=0)*(COUNTIFS($C$3:$P$3,"NOTTE",$C17:$P17,AB$3)=0))+((AB17&lt;&gt;"Xn")*(COUNTIFS($C$3:$P$3,"MAT",$C17:$P17,AB$3)=0)*(COUNTIFS($C$3:$P$3,"POM",$C17:$P17,AB$3)=0)*(COUNTIFS($C$3:$P$3,"NOTTE",$C17:$P17,AB$3)=0))=0,"",IF(((AB17&lt;&gt;"Xm")*(COUNTIFS($C$3:$P$3,"MAT",$C17:$P17,AB$3)=0)*(COUNTIFS($C$3:$P$3,"NOTTE",$C17:$P17,AB$3)=0))+((AB17&lt;&gt;"Xp")*(COUNTIFS($C$3:$P$3,"POM",$C17:$P17,AB$3)=0)*(COUNTIFS($C$3:$P$3,"NOTTE",$C17:$P17,AB$3)=0))+((AB17&lt;&gt;"Xn")*(COUNTIFS($C$3:$P$3,"MAT",$C17:$P17,AB$3)=0)*(COUNTIFS($C$3:$P$3,"POM",$C17:$P17,AB$3)=0)*(COUNTIFS($C$3:$P$3,"NOTTE",$C17:$P17,AB$3)=0))=3,AB$3&amp;", ",AB$3&amp;IF((AB17&lt;&gt;"Xm")*(COUNTIFS($C$3:$P$3,"MAT",$C17:$P17,AB$3)=0)*(COUNTIFS($C$3:$P$3,"NOTTE",$C17:$P17,AB$3)=0),"_m","")&amp;IF((AB17&lt;&gt;"Xp")*(COUNTIFS($C$3:$P$3,"POM",$C17:$P17,AB$3)=0)*(COUNTIFS($C$3:$P$3,"NOTTE",$C17:$P17,AB$3)=0),"_p","")&amp;IF((AB17&lt;&gt;"Xn")*(COUNTIFS($C$3:$P$3,"MAT",$C17:$P17,AB$3)=0)*(COUNTIFS($C$3:$P$3,"POM",$C17:$P17,AB$3)=0)*(COUNTIFS($C$3:$P$3,"NOTTE",$C17:$P17,AB$3)=0),"_n","")&amp;", ")))</f>
        <v/>
      </c>
      <c r="CF17" s="1" t="str">
        <f aca="false">IF((AC17="X")+(AC17="Gn")+(AC17="C")+(AC16="Gn")&gt;0,"",IF(((AC17&lt;&gt;"Xm")*(COUNTIFS($C$3:$P$3,"MAT",$C17:$P17,AC$3)=0)*(COUNTIFS($C$3:$P$3,"NOTTE",$C17:$P17,AC$3)=0))+((AC17&lt;&gt;"Xp")*(COUNTIFS($C$3:$P$3,"POM",$C17:$P17,AC$3)=0)*(COUNTIFS($C$3:$P$3,"NOTTE",$C17:$P17,AC$3)=0))+((AC17&lt;&gt;"Xn")*(COUNTIFS($C$3:$P$3,"MAT",$C17:$P17,AC$3)=0)*(COUNTIFS($C$3:$P$3,"POM",$C17:$P17,AC$3)=0)*(COUNTIFS($C$3:$P$3,"NOTTE",$C17:$P17,AC$3)=0))=0,"",IF(((AC17&lt;&gt;"Xm")*(COUNTIFS($C$3:$P$3,"MAT",$C17:$P17,AC$3)=0)*(COUNTIFS($C$3:$P$3,"NOTTE",$C17:$P17,AC$3)=0))+((AC17&lt;&gt;"Xp")*(COUNTIFS($C$3:$P$3,"POM",$C17:$P17,AC$3)=0)*(COUNTIFS($C$3:$P$3,"NOTTE",$C17:$P17,AC$3)=0))+((AC17&lt;&gt;"Xn")*(COUNTIFS($C$3:$P$3,"MAT",$C17:$P17,AC$3)=0)*(COUNTIFS($C$3:$P$3,"POM",$C17:$P17,AC$3)=0)*(COUNTIFS($C$3:$P$3,"NOTTE",$C17:$P17,AC$3)=0))=3,AC$3&amp;", ",AC$3&amp;IF((AC17&lt;&gt;"Xm")*(COUNTIFS($C$3:$P$3,"MAT",$C17:$P17,AC$3)=0)*(COUNTIFS($C$3:$P$3,"NOTTE",$C17:$P17,AC$3)=0),"_m","")&amp;IF((AC17&lt;&gt;"Xp")*(COUNTIFS($C$3:$P$3,"POM",$C17:$P17,AC$3)=0)*(COUNTIFS($C$3:$P$3,"NOTTE",$C17:$P17,AC$3)=0),"_p","")&amp;IF((AC17&lt;&gt;"Xn")*(COUNTIFS($C$3:$P$3,"MAT",$C17:$P17,AC$3)=0)*(COUNTIFS($C$3:$P$3,"POM",$C17:$P17,AC$3)=0)*(COUNTIFS($C$3:$P$3,"NOTTE",$C17:$P17,AC$3)=0),"_n","")&amp;", ")))</f>
        <v/>
      </c>
      <c r="CG17" s="1" t="str">
        <f aca="false">IF((AD17="X")+(AD17="Gn")+(AD17="C")+(AD16="Gn")&gt;0,"",IF(((AD17&lt;&gt;"Xm")*(COUNTIFS($C$3:$P$3,"MAT",$C17:$P17,AD$3)=0)*(COUNTIFS($C$3:$P$3,"NOTTE",$C17:$P17,AD$3)=0))+((AD17&lt;&gt;"Xp")*(COUNTIFS($C$3:$P$3,"POM",$C17:$P17,AD$3)=0)*(COUNTIFS($C$3:$P$3,"NOTTE",$C17:$P17,AD$3)=0))+((AD17&lt;&gt;"Xn")*(COUNTIFS($C$3:$P$3,"MAT",$C17:$P17,AD$3)=0)*(COUNTIFS($C$3:$P$3,"POM",$C17:$P17,AD$3)=0)*(COUNTIFS($C$3:$P$3,"NOTTE",$C17:$P17,AD$3)=0))=0,"",IF(((AD17&lt;&gt;"Xm")*(COUNTIFS($C$3:$P$3,"MAT",$C17:$P17,AD$3)=0)*(COUNTIFS($C$3:$P$3,"NOTTE",$C17:$P17,AD$3)=0))+((AD17&lt;&gt;"Xp")*(COUNTIFS($C$3:$P$3,"POM",$C17:$P17,AD$3)=0)*(COUNTIFS($C$3:$P$3,"NOTTE",$C17:$P17,AD$3)=0))+((AD17&lt;&gt;"Xn")*(COUNTIFS($C$3:$P$3,"MAT",$C17:$P17,AD$3)=0)*(COUNTIFS($C$3:$P$3,"POM",$C17:$P17,AD$3)=0)*(COUNTIFS($C$3:$P$3,"NOTTE",$C17:$P17,AD$3)=0))=3,AD$3&amp;", ",AD$3&amp;IF((AD17&lt;&gt;"Xm")*(COUNTIFS($C$3:$P$3,"MAT",$C17:$P17,AD$3)=0)*(COUNTIFS($C$3:$P$3,"NOTTE",$C17:$P17,AD$3)=0),"_m","")&amp;IF((AD17&lt;&gt;"Xp")*(COUNTIFS($C$3:$P$3,"POM",$C17:$P17,AD$3)=0)*(COUNTIFS($C$3:$P$3,"NOTTE",$C17:$P17,AD$3)=0),"_p","")&amp;IF((AD17&lt;&gt;"Xn")*(COUNTIFS($C$3:$P$3,"MAT",$C17:$P17,AD$3)=0)*(COUNTIFS($C$3:$P$3,"POM",$C17:$P17,AD$3)=0)*(COUNTIFS($C$3:$P$3,"NOTTE",$C17:$P17,AD$3)=0),"_n","")&amp;", ")))</f>
        <v/>
      </c>
      <c r="CH17" s="1" t="str">
        <f aca="false">IF((AE17="X")+(AE17="Gn")+(AE17="C")+(AE16="Gn")&gt;0,"",IF(((AE17&lt;&gt;"Xm")*(COUNTIFS($C$3:$P$3,"MAT",$C17:$P17,AE$3)=0)*(COUNTIFS($C$3:$P$3,"NOTTE",$C17:$P17,AE$3)=0))+((AE17&lt;&gt;"Xp")*(COUNTIFS($C$3:$P$3,"POM",$C17:$P17,AE$3)=0)*(COUNTIFS($C$3:$P$3,"NOTTE",$C17:$P17,AE$3)=0))+((AE17&lt;&gt;"Xn")*(COUNTIFS($C$3:$P$3,"MAT",$C17:$P17,AE$3)=0)*(COUNTIFS($C$3:$P$3,"POM",$C17:$P17,AE$3)=0)*(COUNTIFS($C$3:$P$3,"NOTTE",$C17:$P17,AE$3)=0))=0,"",IF(((AE17&lt;&gt;"Xm")*(COUNTIFS($C$3:$P$3,"MAT",$C17:$P17,AE$3)=0)*(COUNTIFS($C$3:$P$3,"NOTTE",$C17:$P17,AE$3)=0))+((AE17&lt;&gt;"Xp")*(COUNTIFS($C$3:$P$3,"POM",$C17:$P17,AE$3)=0)*(COUNTIFS($C$3:$P$3,"NOTTE",$C17:$P17,AE$3)=0))+((AE17&lt;&gt;"Xn")*(COUNTIFS($C$3:$P$3,"MAT",$C17:$P17,AE$3)=0)*(COUNTIFS($C$3:$P$3,"POM",$C17:$P17,AE$3)=0)*(COUNTIFS($C$3:$P$3,"NOTTE",$C17:$P17,AE$3)=0))=3,AE$3&amp;", ",AE$3&amp;IF((AE17&lt;&gt;"Xm")*(COUNTIFS($C$3:$P$3,"MAT",$C17:$P17,AE$3)=0)*(COUNTIFS($C$3:$P$3,"NOTTE",$C17:$P17,AE$3)=0),"_m","")&amp;IF((AE17&lt;&gt;"Xp")*(COUNTIFS($C$3:$P$3,"POM",$C17:$P17,AE$3)=0)*(COUNTIFS($C$3:$P$3,"NOTTE",$C17:$P17,AE$3)=0),"_p","")&amp;IF((AE17&lt;&gt;"Xn")*(COUNTIFS($C$3:$P$3,"MAT",$C17:$P17,AE$3)=0)*(COUNTIFS($C$3:$P$3,"POM",$C17:$P17,AE$3)=0)*(COUNTIFS($C$3:$P$3,"NOTTE",$C17:$P17,AE$3)=0),"_n","")&amp;", ")))</f>
        <v/>
      </c>
      <c r="CI17" s="1" t="str">
        <f aca="false">IF((AF17="X")+(AF17="Gn")+(AF17="C")+(AF16="Gn")&gt;0,"",IF(((AF17&lt;&gt;"Xm")*(COUNTIFS($C$3:$P$3,"MAT",$C17:$P17,AF$3)=0)*(COUNTIFS($C$3:$P$3,"NOTTE",$C17:$P17,AF$3)=0))+((AF17&lt;&gt;"Xp")*(COUNTIFS($C$3:$P$3,"POM",$C17:$P17,AF$3)=0)*(COUNTIFS($C$3:$P$3,"NOTTE",$C17:$P17,AF$3)=0))+((AF17&lt;&gt;"Xn")*(COUNTIFS($C$3:$P$3,"MAT",$C17:$P17,AF$3)=0)*(COUNTIFS($C$3:$P$3,"POM",$C17:$P17,AF$3)=0)*(COUNTIFS($C$3:$P$3,"NOTTE",$C17:$P17,AF$3)=0))=0,"",IF(((AF17&lt;&gt;"Xm")*(COUNTIFS($C$3:$P$3,"MAT",$C17:$P17,AF$3)=0)*(COUNTIFS($C$3:$P$3,"NOTTE",$C17:$P17,AF$3)=0))+((AF17&lt;&gt;"Xp")*(COUNTIFS($C$3:$P$3,"POM",$C17:$P17,AF$3)=0)*(COUNTIFS($C$3:$P$3,"NOTTE",$C17:$P17,AF$3)=0))+((AF17&lt;&gt;"Xn")*(COUNTIFS($C$3:$P$3,"MAT",$C17:$P17,AF$3)=0)*(COUNTIFS($C$3:$P$3,"POM",$C17:$P17,AF$3)=0)*(COUNTIFS($C$3:$P$3,"NOTTE",$C17:$P17,AF$3)=0))=3,AF$3&amp;", ",AF$3&amp;IF((AF17&lt;&gt;"Xm")*(COUNTIFS($C$3:$P$3,"MAT",$C17:$P17,AF$3)=0)*(COUNTIFS($C$3:$P$3,"NOTTE",$C17:$P17,AF$3)=0),"_m","")&amp;IF((AF17&lt;&gt;"Xp")*(COUNTIFS($C$3:$P$3,"POM",$C17:$P17,AF$3)=0)*(COUNTIFS($C$3:$P$3,"NOTTE",$C17:$P17,AF$3)=0),"_p","")&amp;IF((AF17&lt;&gt;"Xn")*(COUNTIFS($C$3:$P$3,"MAT",$C17:$P17,AF$3)=0)*(COUNTIFS($C$3:$P$3,"POM",$C17:$P17,AF$3)=0)*(COUNTIFS($C$3:$P$3,"NOTTE",$C17:$P17,AF$3)=0),"_n","")&amp;", ")))</f>
        <v>VERDI, </v>
      </c>
      <c r="CJ17" s="1" t="str">
        <f aca="false">IF((AG17="X")+(AG17="Gn")+(AG17="C")+(AG16="Gn")&gt;0,"",IF(((AG17&lt;&gt;"Xm")*(COUNTIFS($C$3:$P$3,"MAT",$C17:$P17,AG$3)=0)*(COUNTIFS($C$3:$P$3,"NOTTE",$C17:$P17,AG$3)=0))+((AG17&lt;&gt;"Xp")*(COUNTIFS($C$3:$P$3,"POM",$C17:$P17,AG$3)=0)*(COUNTIFS($C$3:$P$3,"NOTTE",$C17:$P17,AG$3)=0))+((AG17&lt;&gt;"Xn")*(COUNTIFS($C$3:$P$3,"MAT",$C17:$P17,AG$3)=0)*(COUNTIFS($C$3:$P$3,"POM",$C17:$P17,AG$3)=0)*(COUNTIFS($C$3:$P$3,"NOTTE",$C17:$P17,AG$3)=0))=0,"",IF(((AG17&lt;&gt;"Xm")*(COUNTIFS($C$3:$P$3,"MAT",$C17:$P17,AG$3)=0)*(COUNTIFS($C$3:$P$3,"NOTTE",$C17:$P17,AG$3)=0))+((AG17&lt;&gt;"Xp")*(COUNTIFS($C$3:$P$3,"POM",$C17:$P17,AG$3)=0)*(COUNTIFS($C$3:$P$3,"NOTTE",$C17:$P17,AG$3)=0))+((AG17&lt;&gt;"Xn")*(COUNTIFS($C$3:$P$3,"MAT",$C17:$P17,AG$3)=0)*(COUNTIFS($C$3:$P$3,"POM",$C17:$P17,AG$3)=0)*(COUNTIFS($C$3:$P$3,"NOTTE",$C17:$P17,AG$3)=0))=3,AG$3&amp;", ",AG$3&amp;IF((AG17&lt;&gt;"Xm")*(COUNTIFS($C$3:$P$3,"MAT",$C17:$P17,AG$3)=0)*(COUNTIFS($C$3:$P$3,"NOTTE",$C17:$P17,AG$3)=0),"_m","")&amp;IF((AG17&lt;&gt;"Xp")*(COUNTIFS($C$3:$P$3,"POM",$C17:$P17,AG$3)=0)*(COUNTIFS($C$3:$P$3,"NOTTE",$C17:$P17,AG$3)=0),"_p","")&amp;IF((AG17&lt;&gt;"Xn")*(COUNTIFS($C$3:$P$3,"MAT",$C17:$P17,AG$3)=0)*(COUNTIFS($C$3:$P$3,"POM",$C17:$P17,AG$3)=0)*(COUNTIFS($C$3:$P$3,"NOTTE",$C17:$P17,AG$3)=0),"_n","")&amp;", ")))</f>
        <v>HU, </v>
      </c>
      <c r="CK17" s="1" t="str">
        <f aca="false">IF((AH17="X")+(AH17="Gn")+(AH17="C")+(AH16="Gn")&gt;0,"",IF(((AH17&lt;&gt;"Xm")*(COUNTIFS($C$3:$P$3,"MAT",$C17:$P17,AH$3)=0)*(COUNTIFS($C$3:$P$3,"NOTTE",$C17:$P17,AH$3)=0))+((AH17&lt;&gt;"Xp")*(COUNTIFS($C$3:$P$3,"POM",$C17:$P17,AH$3)=0)*(COUNTIFS($C$3:$P$3,"NOTTE",$C17:$P17,AH$3)=0))+((AH17&lt;&gt;"Xn")*(COUNTIFS($C$3:$P$3,"MAT",$C17:$P17,AH$3)=0)*(COUNTIFS($C$3:$P$3,"POM",$C17:$P17,AH$3)=0)*(COUNTIFS($C$3:$P$3,"NOTTE",$C17:$P17,AH$3)=0))=0,"",IF(((AH17&lt;&gt;"Xm")*(COUNTIFS($C$3:$P$3,"MAT",$C17:$P17,AH$3)=0)*(COUNTIFS($C$3:$P$3,"NOTTE",$C17:$P17,AH$3)=0))+((AH17&lt;&gt;"Xp")*(COUNTIFS($C$3:$P$3,"POM",$C17:$P17,AH$3)=0)*(COUNTIFS($C$3:$P$3,"NOTTE",$C17:$P17,AH$3)=0))+((AH17&lt;&gt;"Xn")*(COUNTIFS($C$3:$P$3,"MAT",$C17:$P17,AH$3)=0)*(COUNTIFS($C$3:$P$3,"POM",$C17:$P17,AH$3)=0)*(COUNTIFS($C$3:$P$3,"NOTTE",$C17:$P17,AH$3)=0))=3,AH$3&amp;", ",AH$3&amp;IF((AH17&lt;&gt;"Xm")*(COUNTIFS($C$3:$P$3,"MAT",$C17:$P17,AH$3)=0)*(COUNTIFS($C$3:$P$3,"NOTTE",$C17:$P17,AH$3)=0),"_m","")&amp;IF((AH17&lt;&gt;"Xp")*(COUNTIFS($C$3:$P$3,"POM",$C17:$P17,AH$3)=0)*(COUNTIFS($C$3:$P$3,"NOTTE",$C17:$P17,AH$3)=0),"_p","")&amp;IF((AH17&lt;&gt;"Xn")*(COUNTIFS($C$3:$P$3,"MAT",$C17:$P17,AH$3)=0)*(COUNTIFS($C$3:$P$3,"POM",$C17:$P17,AH$3)=0)*(COUNTIFS($C$3:$P$3,"NOTTE",$C17:$P17,AH$3)=0),"_n","")&amp;", ")))</f>
        <v>MARINI, </v>
      </c>
      <c r="CL17" s="1" t="str">
        <f aca="false">IF((AI17="X")+(AI17="Gn")+(AI17="C")+(AI16="Gn")&gt;0,"",IF(((AI17&lt;&gt;"Xm")*(COUNTIFS($C$3:$P$3,"MAT",$C17:$P17,AI$3)=0)*(COUNTIFS($C$3:$P$3,"NOTTE",$C17:$P17,AI$3)=0))+((AI17&lt;&gt;"Xp")*(COUNTIFS($C$3:$P$3,"POM",$C17:$P17,AI$3)=0)*(COUNTIFS($C$3:$P$3,"NOTTE",$C17:$P17,AI$3)=0))+((AI17&lt;&gt;"Xn")*(COUNTIFS($C$3:$P$3,"MAT",$C17:$P17,AI$3)=0)*(COUNTIFS($C$3:$P$3,"POM",$C17:$P17,AI$3)=0)*(COUNTIFS($C$3:$P$3,"NOTTE",$C17:$P17,AI$3)=0))=0,"",IF(((AI17&lt;&gt;"Xm")*(COUNTIFS($C$3:$P$3,"MAT",$C17:$P17,AI$3)=0)*(COUNTIFS($C$3:$P$3,"NOTTE",$C17:$P17,AI$3)=0))+((AI17&lt;&gt;"Xp")*(COUNTIFS($C$3:$P$3,"POM",$C17:$P17,AI$3)=0)*(COUNTIFS($C$3:$P$3,"NOTTE",$C17:$P17,AI$3)=0))+((AI17&lt;&gt;"Xn")*(COUNTIFS($C$3:$P$3,"MAT",$C17:$P17,AI$3)=0)*(COUNTIFS($C$3:$P$3,"POM",$C17:$P17,AI$3)=0)*(COUNTIFS($C$3:$P$3,"NOTTE",$C17:$P17,AI$3)=0))=3,AI$3&amp;", ",AI$3&amp;IF((AI17&lt;&gt;"Xm")*(COUNTIFS($C$3:$P$3,"MAT",$C17:$P17,AI$3)=0)*(COUNTIFS($C$3:$P$3,"NOTTE",$C17:$P17,AI$3)=0),"_m","")&amp;IF((AI17&lt;&gt;"Xp")*(COUNTIFS($C$3:$P$3,"POM",$C17:$P17,AI$3)=0)*(COUNTIFS($C$3:$P$3,"NOTTE",$C17:$P17,AI$3)=0),"_p","")&amp;IF((AI17&lt;&gt;"Xn")*(COUNTIFS($C$3:$P$3,"MAT",$C17:$P17,AI$3)=0)*(COUNTIFS($C$3:$P$3,"POM",$C17:$P17,AI$3)=0)*(COUNTIFS($C$3:$P$3,"NOTTE",$C17:$P17,AI$3)=0),"_n","")&amp;", ")))</f>
        <v>CONTI A, </v>
      </c>
      <c r="CM17" s="1" t="str">
        <f aca="false">IF((AJ17="X")+(AJ17="Gn")+(AJ17="C")+(AJ16="Gn")&gt;0,"",IF(((AJ17&lt;&gt;"Xm")*(COUNTIFS($C$3:$P$3,"MAT",$C17:$P17,AJ$3)=0)*(COUNTIFS($C$3:$P$3,"NOTTE",$C17:$P17,AJ$3)=0))+((AJ17&lt;&gt;"Xp")*(COUNTIFS($C$3:$P$3,"POM",$C17:$P17,AJ$3)=0)*(COUNTIFS($C$3:$P$3,"NOTTE",$C17:$P17,AJ$3)=0))+((AJ17&lt;&gt;"Xn")*(COUNTIFS($C$3:$P$3,"MAT",$C17:$P17,AJ$3)=0)*(COUNTIFS($C$3:$P$3,"POM",$C17:$P17,AJ$3)=0)*(COUNTIFS($C$3:$P$3,"NOTTE",$C17:$P17,AJ$3)=0))=0,"",IF(((AJ17&lt;&gt;"Xm")*(COUNTIFS($C$3:$P$3,"MAT",$C17:$P17,AJ$3)=0)*(COUNTIFS($C$3:$P$3,"NOTTE",$C17:$P17,AJ$3)=0))+((AJ17&lt;&gt;"Xp")*(COUNTIFS($C$3:$P$3,"POM",$C17:$P17,AJ$3)=0)*(COUNTIFS($C$3:$P$3,"NOTTE",$C17:$P17,AJ$3)=0))+((AJ17&lt;&gt;"Xn")*(COUNTIFS($C$3:$P$3,"MAT",$C17:$P17,AJ$3)=0)*(COUNTIFS($C$3:$P$3,"POM",$C17:$P17,AJ$3)=0)*(COUNTIFS($C$3:$P$3,"NOTTE",$C17:$P17,AJ$3)=0))=3,AJ$3&amp;", ",AJ$3&amp;IF((AJ17&lt;&gt;"Xm")*(COUNTIFS($C$3:$P$3,"MAT",$C17:$P17,AJ$3)=0)*(COUNTIFS($C$3:$P$3,"NOTTE",$C17:$P17,AJ$3)=0),"_m","")&amp;IF((AJ17&lt;&gt;"Xp")*(COUNTIFS($C$3:$P$3,"POM",$C17:$P17,AJ$3)=0)*(COUNTIFS($C$3:$P$3,"NOTTE",$C17:$P17,AJ$3)=0),"_p","")&amp;IF((AJ17&lt;&gt;"Xn")*(COUNTIFS($C$3:$P$3,"MAT",$C17:$P17,AJ$3)=0)*(COUNTIFS($C$3:$P$3,"POM",$C17:$P17,AJ$3)=0)*(COUNTIFS($C$3:$P$3,"NOTTE",$C17:$P17,AJ$3)=0),"_n","")&amp;", ")))</f>
        <v>CONTI S, </v>
      </c>
      <c r="CN17" s="1" t="str">
        <f aca="false">IF((AK17="X")+(AK17="Gn")+(AK17="C")+(AK16="Gn")&gt;0,"",IF(((AK17&lt;&gt;"Xm")*(COUNTIFS($C$3:$P$3,"MAT",$C17:$P17,AK$3)=0)*(COUNTIFS($C$3:$P$3,"NOTTE",$C17:$P17,AK$3)=0))+((AK17&lt;&gt;"Xp")*(COUNTIFS($C$3:$P$3,"POM",$C17:$P17,AK$3)=0)*(COUNTIFS($C$3:$P$3,"NOTTE",$C17:$P17,AK$3)=0))+((AK17&lt;&gt;"Xn")*(COUNTIFS($C$3:$P$3,"MAT",$C17:$P17,AK$3)=0)*(COUNTIFS($C$3:$P$3,"POM",$C17:$P17,AK$3)=0)*(COUNTIFS($C$3:$P$3,"NOTTE",$C17:$P17,AK$3)=0))=0,"",IF(((AK17&lt;&gt;"Xm")*(COUNTIFS($C$3:$P$3,"MAT",$C17:$P17,AK$3)=0)*(COUNTIFS($C$3:$P$3,"NOTTE",$C17:$P17,AK$3)=0))+((AK17&lt;&gt;"Xp")*(COUNTIFS($C$3:$P$3,"POM",$C17:$P17,AK$3)=0)*(COUNTIFS($C$3:$P$3,"NOTTE",$C17:$P17,AK$3)=0))+((AK17&lt;&gt;"Xn")*(COUNTIFS($C$3:$P$3,"MAT",$C17:$P17,AK$3)=0)*(COUNTIFS($C$3:$P$3,"POM",$C17:$P17,AK$3)=0)*(COUNTIFS($C$3:$P$3,"NOTTE",$C17:$P17,AK$3)=0))=3,AK$3&amp;", ",AK$3&amp;IF((AK17&lt;&gt;"Xm")*(COUNTIFS($C$3:$P$3,"MAT",$C17:$P17,AK$3)=0)*(COUNTIFS($C$3:$P$3,"NOTTE",$C17:$P17,AK$3)=0),"_m","")&amp;IF((AK17&lt;&gt;"Xp")*(COUNTIFS($C$3:$P$3,"POM",$C17:$P17,AK$3)=0)*(COUNTIFS($C$3:$P$3,"NOTTE",$C17:$P17,AK$3)=0),"_p","")&amp;IF((AK17&lt;&gt;"Xn")*(COUNTIFS($C$3:$P$3,"MAT",$C17:$P17,AK$3)=0)*(COUNTIFS($C$3:$P$3,"POM",$C17:$P17,AK$3)=0)*(COUNTIFS($C$3:$P$3,"NOTTE",$C17:$P17,AK$3)=0),"_n","")&amp;", ")))</f>
        <v>FERRARI, </v>
      </c>
      <c r="CO17" s="1" t="str">
        <f aca="false">IF((AL17="X")+(AL17="Gn")+(AL17="C")+(AL16="Gn")&gt;0,"",IF(((AL17&lt;&gt;"Xm")*(COUNTIFS($C$3:$P$3,"MAT",$C17:$P17,AL$3)=0)*(COUNTIFS($C$3:$P$3,"NOTTE",$C17:$P17,AL$3)=0))+((AL17&lt;&gt;"Xp")*(COUNTIFS($C$3:$P$3,"POM",$C17:$P17,AL$3)=0)*(COUNTIFS($C$3:$P$3,"NOTTE",$C17:$P17,AL$3)=0))+((AL17&lt;&gt;"Xn")*(COUNTIFS($C$3:$P$3,"MAT",$C17:$P17,AL$3)=0)*(COUNTIFS($C$3:$P$3,"POM",$C17:$P17,AL$3)=0)*(COUNTIFS($C$3:$P$3,"NOTTE",$C17:$P17,AL$3)=0))=0,"",IF(((AL17&lt;&gt;"Xm")*(COUNTIFS($C$3:$P$3,"MAT",$C17:$P17,AL$3)=0)*(COUNTIFS($C$3:$P$3,"NOTTE",$C17:$P17,AL$3)=0))+((AL17&lt;&gt;"Xp")*(COUNTIFS($C$3:$P$3,"POM",$C17:$P17,AL$3)=0)*(COUNTIFS($C$3:$P$3,"NOTTE",$C17:$P17,AL$3)=0))+((AL17&lt;&gt;"Xn")*(COUNTIFS($C$3:$P$3,"MAT",$C17:$P17,AL$3)=0)*(COUNTIFS($C$3:$P$3,"POM",$C17:$P17,AL$3)=0)*(COUNTIFS($C$3:$P$3,"NOTTE",$C17:$P17,AL$3)=0))=3,AL$3&amp;", ",AL$3&amp;IF((AL17&lt;&gt;"Xm")*(COUNTIFS($C$3:$P$3,"MAT",$C17:$P17,AL$3)=0)*(COUNTIFS($C$3:$P$3,"NOTTE",$C17:$P17,AL$3)=0),"_m","")&amp;IF((AL17&lt;&gt;"Xp")*(COUNTIFS($C$3:$P$3,"POM",$C17:$P17,AL$3)=0)*(COUNTIFS($C$3:$P$3,"NOTTE",$C17:$P17,AL$3)=0),"_p","")&amp;IF((AL17&lt;&gt;"Xn")*(COUNTIFS($C$3:$P$3,"MAT",$C17:$P17,AL$3)=0)*(COUNTIFS($C$3:$P$3,"POM",$C17:$P17,AL$3)=0)*(COUNTIFS($C$3:$P$3,"NOTTE",$C17:$P17,AL$3)=0),"_n","")&amp;", ")))</f>
        <v>GRECO, </v>
      </c>
      <c r="CP17" s="1" t="str">
        <f aca="false">IF((AM17="X")+(AM17="Gn")+(AM17="C")+(AM16="Gn")&gt;0,"",IF(((AM17&lt;&gt;"Xm")*(COUNTIFS($C$3:$P$3,"MAT",$C17:$P17,AM$3)=0)*(COUNTIFS($C$3:$P$3,"NOTTE",$C17:$P17,AM$3)=0))+((AM17&lt;&gt;"Xp")*(COUNTIFS($C$3:$P$3,"POM",$C17:$P17,AM$3)=0)*(COUNTIFS($C$3:$P$3,"NOTTE",$C17:$P17,AM$3)=0))+((AM17&lt;&gt;"Xn")*(COUNTIFS($C$3:$P$3,"MAT",$C17:$P17,AM$3)=0)*(COUNTIFS($C$3:$P$3,"POM",$C17:$P17,AM$3)=0)*(COUNTIFS($C$3:$P$3,"NOTTE",$C17:$P17,AM$3)=0))=0,"",IF(((AM17&lt;&gt;"Xm")*(COUNTIFS($C$3:$P$3,"MAT",$C17:$P17,AM$3)=0)*(COUNTIFS($C$3:$P$3,"NOTTE",$C17:$P17,AM$3)=0))+((AM17&lt;&gt;"Xp")*(COUNTIFS($C$3:$P$3,"POM",$C17:$P17,AM$3)=0)*(COUNTIFS($C$3:$P$3,"NOTTE",$C17:$P17,AM$3)=0))+((AM17&lt;&gt;"Xn")*(COUNTIFS($C$3:$P$3,"MAT",$C17:$P17,AM$3)=0)*(COUNTIFS($C$3:$P$3,"POM",$C17:$P17,AM$3)=0)*(COUNTIFS($C$3:$P$3,"NOTTE",$C17:$P17,AM$3)=0))=3,AM$3&amp;", ",AM$3&amp;IF((AM17&lt;&gt;"Xm")*(COUNTIFS($C$3:$P$3,"MAT",$C17:$P17,AM$3)=0)*(COUNTIFS($C$3:$P$3,"NOTTE",$C17:$P17,AM$3)=0),"_m","")&amp;IF((AM17&lt;&gt;"Xp")*(COUNTIFS($C$3:$P$3,"POM",$C17:$P17,AM$3)=0)*(COUNTIFS($C$3:$P$3,"NOTTE",$C17:$P17,AM$3)=0),"_p","")&amp;IF((AM17&lt;&gt;"Xn")*(COUNTIFS($C$3:$P$3,"MAT",$C17:$P17,AM$3)=0)*(COUNTIFS($C$3:$P$3,"POM",$C17:$P17,AM$3)=0)*(COUNTIFS($C$3:$P$3,"NOTTE",$C17:$P17,AM$3)=0),"_n","")&amp;", ")))</f>
        <v>SANNA, </v>
      </c>
      <c r="CQ17" s="1" t="str">
        <f aca="false">IF((AN17="X")+(AN17="Gn")+(AN17="C")+(AN16="Gn")&gt;0,"",IF(((AN17&lt;&gt;"Xm")*(COUNTIFS($C$3:$P$3,"MAT",$C17:$P17,AN$3)=0)*(COUNTIFS($C$3:$P$3,"NOTTE",$C17:$P17,AN$3)=0))+((AN17&lt;&gt;"Xp")*(COUNTIFS($C$3:$P$3,"POM",$C17:$P17,AN$3)=0)*(COUNTIFS($C$3:$P$3,"NOTTE",$C17:$P17,AN$3)=0))+((AN17&lt;&gt;"Xn")*(COUNTIFS($C$3:$P$3,"MAT",$C17:$P17,AN$3)=0)*(COUNTIFS($C$3:$P$3,"POM",$C17:$P17,AN$3)=0)*(COUNTIFS($C$3:$P$3,"NOTTE",$C17:$P17,AN$3)=0))=0,"",IF(((AN17&lt;&gt;"Xm")*(COUNTIFS($C$3:$P$3,"MAT",$C17:$P17,AN$3)=0)*(COUNTIFS($C$3:$P$3,"NOTTE",$C17:$P17,AN$3)=0))+((AN17&lt;&gt;"Xp")*(COUNTIFS($C$3:$P$3,"POM",$C17:$P17,AN$3)=0)*(COUNTIFS($C$3:$P$3,"NOTTE",$C17:$P17,AN$3)=0))+((AN17&lt;&gt;"Xn")*(COUNTIFS($C$3:$P$3,"MAT",$C17:$P17,AN$3)=0)*(COUNTIFS($C$3:$P$3,"POM",$C17:$P17,AN$3)=0)*(COUNTIFS($C$3:$P$3,"NOTTE",$C17:$P17,AN$3)=0))=3,AN$3&amp;", ",AN$3&amp;IF((AN17&lt;&gt;"Xm")*(COUNTIFS($C$3:$P$3,"MAT",$C17:$P17,AN$3)=0)*(COUNTIFS($C$3:$P$3,"NOTTE",$C17:$P17,AN$3)=0),"_m","")&amp;IF((AN17&lt;&gt;"Xp")*(COUNTIFS($C$3:$P$3,"POM",$C17:$P17,AN$3)=0)*(COUNTIFS($C$3:$P$3,"NOTTE",$C17:$P17,AN$3)=0),"_p","")&amp;IF((AN17&lt;&gt;"Xn")*(COUNTIFS($C$3:$P$3,"MAT",$C17:$P17,AN$3)=0)*(COUNTIFS($C$3:$P$3,"POM",$C17:$P17,AN$3)=0)*(COUNTIFS($C$3:$P$3,"NOTTE",$C17:$P17,AN$3)=0),"_n","")&amp;", ")))</f>
        <v>LI, </v>
      </c>
    </row>
    <row r="18" customFormat="false" ht="15" hidden="false" customHeight="true" outlineLevel="0" collapsed="false">
      <c r="A18" s="8" t="str">
        <f aca="false">CHOOSE(WEEKDAY(DATE($B$1,$A$2,B18),2),"lunedì","martedì","mercoledì","giovedì","venerdì","sabato","domenica")</f>
        <v>domenica</v>
      </c>
      <c r="B18" s="8" t="n">
        <v>15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 t="s">
        <v>25</v>
      </c>
      <c r="O18" s="8" t="s">
        <v>25</v>
      </c>
      <c r="P18" s="8" t="s">
        <v>29</v>
      </c>
      <c r="Q18" s="8"/>
      <c r="R18" s="8" t="str">
        <f aca="false">IF(SUMPRODUCT(($C$3:$P$3&lt;&gt;"")*($C18:$P18&lt;&gt;"")*(COUNTIFS($C18:$P18,$C18:$P18,$C$3:$P$3,$C$3:$P$3)&gt;1))&gt;0,"X","")</f>
        <v/>
      </c>
      <c r="S18" s="9" t="str">
        <f aca="false"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L, GALLINA, RUSSO, VERDI, HU, MARINI, CONTI A, CONTI S, GRECO_p_n, SANNA, LI</v>
      </c>
      <c r="T18" s="9" t="str">
        <f aca="false"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GALLINA, RUSSO, VERDI, MARINI, CONTI A, CONTI S, GRECO_p_n, SANNA, LI</v>
      </c>
      <c r="Y18" s="8" t="str">
        <f aca="false">A18</f>
        <v>domenica</v>
      </c>
      <c r="Z18" s="8" t="n">
        <f aca="false">B18</f>
        <v>15</v>
      </c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s">
        <v>42</v>
      </c>
      <c r="AL18" s="10" t="s">
        <v>46</v>
      </c>
      <c r="AM18" s="10"/>
      <c r="AN18" s="10"/>
      <c r="AS18" s="5" t="s">
        <v>53</v>
      </c>
      <c r="AT18" s="5" t="n">
        <f aca="false">SUM(AT4:AT17)</f>
        <v>42</v>
      </c>
      <c r="AU18" s="5" t="n">
        <f aca="false">SUM(AU4:AU17)</f>
        <v>42</v>
      </c>
      <c r="AV18" s="5" t="n">
        <f aca="false">SUM(AV4:AV17)</f>
        <v>42</v>
      </c>
      <c r="AW18" s="5" t="n">
        <f aca="false">SUM(AW4:AW17)</f>
        <v>40</v>
      </c>
      <c r="AX18" s="5" t="n">
        <f aca="false">SUM(AX4:AX17)</f>
        <v>20</v>
      </c>
      <c r="AY18" s="5" t="n">
        <f aca="false">SUM(AY4:AY17)</f>
        <v>0</v>
      </c>
      <c r="AZ18" s="5" t="n">
        <f aca="false">SUM(AZ4:AZ17)</f>
        <v>21</v>
      </c>
      <c r="BA18" s="5" t="n">
        <f aca="false">SUM(BA4:BA17)</f>
        <v>90</v>
      </c>
      <c r="BB18" s="5" t="n">
        <f aca="false">SUM(BB4:BB17)</f>
        <v>297</v>
      </c>
      <c r="BD18" s="5" t="s">
        <v>53</v>
      </c>
      <c r="BE18" s="5" t="n">
        <f aca="false">SUM(BE4:BE17)</f>
        <v>0</v>
      </c>
      <c r="BF18" s="5" t="n">
        <f aca="false">SUM(BF4:BF17)</f>
        <v>0</v>
      </c>
      <c r="BG18" s="5" t="n">
        <f aca="false">SUM(BG4:BG17)</f>
        <v>0</v>
      </c>
      <c r="BH18" s="5" t="n">
        <f aca="false">SUM(BH4:BH17)</f>
        <v>0</v>
      </c>
      <c r="BI18" s="5" t="n">
        <f aca="false">SUM(BI4:BI17)</f>
        <v>0</v>
      </c>
      <c r="BJ18" s="5" t="n">
        <f aca="false">SUM(BJ4:BJ17)</f>
        <v>0</v>
      </c>
      <c r="BK18" s="5" t="n">
        <f aca="false">SUM(BK4:BK17)</f>
        <v>0</v>
      </c>
      <c r="BL18" s="5" t="n">
        <f aca="false">SUM(BL4:BL17)</f>
        <v>0</v>
      </c>
      <c r="BM18" s="5" t="n">
        <f aca="false">SUM(BM4:BM17)</f>
        <v>0</v>
      </c>
      <c r="BO18" s="1" t="str">
        <f aca="false">IF((AA18="X")+(AA18="Gn")+(AA18="C")+(AA17="Gn")&gt;0,"",IF(((AA18&lt;&gt;"Xm"))+((AA18&lt;&gt;"Xp"))+((AA18&lt;&gt;"Xn"))=0,"",IF(((AA18&lt;&gt;"Xm"))+((AA18&lt;&gt;"Xp"))+((AA18&lt;&gt;"Xn"))=3,AA$3&amp;", ",AA$3&amp;IF((AA18&lt;&gt;"Xm"),"_m","")&amp;IF((AA18&lt;&gt;"Xp"),"_p","")&amp;IF((AA18&lt;&gt;"Xn"),"_n","")&amp;", ")))</f>
        <v>LEONI, </v>
      </c>
      <c r="BP18" s="1" t="str">
        <f aca="false">IF((AB18="X")+(AB18="Gn")+(AB18="C")+(AB17="Gn")&gt;0,"",IF(((AB18&lt;&gt;"Xm"))+((AB18&lt;&gt;"Xp"))+((AB18&lt;&gt;"Xn"))=0,"",IF(((AB18&lt;&gt;"Xm"))+((AB18&lt;&gt;"Xp"))+((AB18&lt;&gt;"Xn"))=3,AB$3&amp;", ",AB$3&amp;IF((AB18&lt;&gt;"Xm"),"_m","")&amp;IF((AB18&lt;&gt;"Xp"),"_p","")&amp;IF((AB18&lt;&gt;"Xn"),"_n","")&amp;", ")))</f>
        <v/>
      </c>
      <c r="BQ18" s="1" t="str">
        <f aca="false">IF((AC18="X")+(AC18="Gn")+(AC18="C")+(AC17="Gn")&gt;0,"",IF(((AC18&lt;&gt;"Xm"))+((AC18&lt;&gt;"Xp"))+((AC18&lt;&gt;"Xn"))=0,"",IF(((AC18&lt;&gt;"Xm"))+((AC18&lt;&gt;"Xp"))+((AC18&lt;&gt;"Xn"))=3,AC$3&amp;", ",AC$3&amp;IF((AC18&lt;&gt;"Xm"),"_m","")&amp;IF((AC18&lt;&gt;"Xp"),"_p","")&amp;IF((AC18&lt;&gt;"Xn"),"_n","")&amp;", ")))</f>
        <v>ROSSI L, </v>
      </c>
      <c r="BR18" s="1" t="str">
        <f aca="false">IF((AD18="X")+(AD18="Gn")+(AD18="C")+(AD17="Gn")&gt;0,"",IF(((AD18&lt;&gt;"Xm"))+((AD18&lt;&gt;"Xp"))+((AD18&lt;&gt;"Xn"))=0,"",IF(((AD18&lt;&gt;"Xm"))+((AD18&lt;&gt;"Xp"))+((AD18&lt;&gt;"Xn"))=3,AD$3&amp;", ",AD$3&amp;IF((AD18&lt;&gt;"Xm"),"_m","")&amp;IF((AD18&lt;&gt;"Xp"),"_p","")&amp;IF((AD18&lt;&gt;"Xn"),"_n","")&amp;", ")))</f>
        <v>GALLINA, </v>
      </c>
      <c r="BS18" s="1" t="str">
        <f aca="false">IF((AE18="X")+(AE18="Gn")+(AE18="C")+(AE17="Gn")&gt;0,"",IF(((AE18&lt;&gt;"Xm"))+((AE18&lt;&gt;"Xp"))+((AE18&lt;&gt;"Xn"))=0,"",IF(((AE18&lt;&gt;"Xm"))+((AE18&lt;&gt;"Xp"))+((AE18&lt;&gt;"Xn"))=3,AE$3&amp;", ",AE$3&amp;IF((AE18&lt;&gt;"Xm"),"_m","")&amp;IF((AE18&lt;&gt;"Xp"),"_p","")&amp;IF((AE18&lt;&gt;"Xn"),"_n","")&amp;", ")))</f>
        <v>RUSSO, </v>
      </c>
      <c r="BT18" s="1" t="str">
        <f aca="false">IF((AF18="X")+(AF18="Gn")+(AF18="C")+(AF17="Gn")&gt;0,"",IF(((AF18&lt;&gt;"Xm"))+((AF18&lt;&gt;"Xp"))+((AF18&lt;&gt;"Xn"))=0,"",IF(((AF18&lt;&gt;"Xm"))+((AF18&lt;&gt;"Xp"))+((AF18&lt;&gt;"Xn"))=3,AF$3&amp;", ",AF$3&amp;IF((AF18&lt;&gt;"Xm"),"_m","")&amp;IF((AF18&lt;&gt;"Xp"),"_p","")&amp;IF((AF18&lt;&gt;"Xn"),"_n","")&amp;", ")))</f>
        <v>VERDI, </v>
      </c>
      <c r="BU18" s="1" t="str">
        <f aca="false">IF((AG18="X")+(AG18="Gn")+(AG18="C")+(AG17="Gn")&gt;0,"",IF(((AG18&lt;&gt;"Xm"))+((AG18&lt;&gt;"Xp"))+((AG18&lt;&gt;"Xn"))=0,"",IF(((AG18&lt;&gt;"Xm"))+((AG18&lt;&gt;"Xp"))+((AG18&lt;&gt;"Xn"))=3,AG$3&amp;", ",AG$3&amp;IF((AG18&lt;&gt;"Xm"),"_m","")&amp;IF((AG18&lt;&gt;"Xp"),"_p","")&amp;IF((AG18&lt;&gt;"Xn"),"_n","")&amp;", ")))</f>
        <v>HU, </v>
      </c>
      <c r="BV18" s="1" t="str">
        <f aca="false">IF((AH18="X")+(AH18="Gn")+(AH18="C")+(AH17="Gn")&gt;0,"",IF(((AH18&lt;&gt;"Xm"))+((AH18&lt;&gt;"Xp"))+((AH18&lt;&gt;"Xn"))=0,"",IF(((AH18&lt;&gt;"Xm"))+((AH18&lt;&gt;"Xp"))+((AH18&lt;&gt;"Xn"))=3,AH$3&amp;", ",AH$3&amp;IF((AH18&lt;&gt;"Xm"),"_m","")&amp;IF((AH18&lt;&gt;"Xp"),"_p","")&amp;IF((AH18&lt;&gt;"Xn"),"_n","")&amp;", ")))</f>
        <v>MARINI, </v>
      </c>
      <c r="BW18" s="1" t="str">
        <f aca="false">IF((AI18="X")+(AI18="Gn")+(AI18="C")+(AI17="Gn")&gt;0,"",IF(((AI18&lt;&gt;"Xm"))+((AI18&lt;&gt;"Xp"))+((AI18&lt;&gt;"Xn"))=0,"",IF(((AI18&lt;&gt;"Xm"))+((AI18&lt;&gt;"Xp"))+((AI18&lt;&gt;"Xn"))=3,AI$3&amp;", ",AI$3&amp;IF((AI18&lt;&gt;"Xm"),"_m","")&amp;IF((AI18&lt;&gt;"Xp"),"_p","")&amp;IF((AI18&lt;&gt;"Xn"),"_n","")&amp;", ")))</f>
        <v>CONTI A, </v>
      </c>
      <c r="BX18" s="1" t="str">
        <f aca="false">IF((AJ18="X")+(AJ18="Gn")+(AJ18="C")+(AJ17="Gn")&gt;0,"",IF(((AJ18&lt;&gt;"Xm"))+((AJ18&lt;&gt;"Xp"))+((AJ18&lt;&gt;"Xn"))=0,"",IF(((AJ18&lt;&gt;"Xm"))+((AJ18&lt;&gt;"Xp"))+((AJ18&lt;&gt;"Xn"))=3,AJ$3&amp;", ",AJ$3&amp;IF((AJ18&lt;&gt;"Xm"),"_m","")&amp;IF((AJ18&lt;&gt;"Xp"),"_p","")&amp;IF((AJ18&lt;&gt;"Xn"),"_n","")&amp;", ")))</f>
        <v>CONTI S, </v>
      </c>
      <c r="BY18" s="1" t="str">
        <f aca="false">IF((AK18="X")+(AK18="Gn")+(AK18="C")+(AK17="Gn")&gt;0,"",IF(((AK18&lt;&gt;"Xm"))+((AK18&lt;&gt;"Xp"))+((AK18&lt;&gt;"Xn"))=0,"",IF(((AK18&lt;&gt;"Xm"))+((AK18&lt;&gt;"Xp"))+((AK18&lt;&gt;"Xn"))=3,AK$3&amp;", ",AK$3&amp;IF((AK18&lt;&gt;"Xm"),"_m","")&amp;IF((AK18&lt;&gt;"Xp"),"_p","")&amp;IF((AK18&lt;&gt;"Xn"),"_n","")&amp;", ")))</f>
        <v/>
      </c>
      <c r="BZ18" s="1" t="str">
        <f aca="false">IF((AL18="X")+(AL18="Gn")+(AL18="C")+(AL17="Gn")&gt;0,"",IF(((AL18&lt;&gt;"Xm"))+((AL18&lt;&gt;"Xp"))+((AL18&lt;&gt;"Xn"))=0,"",IF(((AL18&lt;&gt;"Xm"))+((AL18&lt;&gt;"Xp"))+((AL18&lt;&gt;"Xn"))=3,AL$3&amp;", ",AL$3&amp;IF((AL18&lt;&gt;"Xm"),"_m","")&amp;IF((AL18&lt;&gt;"Xp"),"_p","")&amp;IF((AL18&lt;&gt;"Xn"),"_n","")&amp;", ")))</f>
        <v>GRECO_p_n, </v>
      </c>
      <c r="CA18" s="1" t="str">
        <f aca="false">IF((AM18="X")+(AM18="Gn")+(AM18="C")+(AM17="Gn")&gt;0,"",IF(((AM18&lt;&gt;"Xm"))+((AM18&lt;&gt;"Xp"))+((AM18&lt;&gt;"Xn"))=0,"",IF(((AM18&lt;&gt;"Xm"))+((AM18&lt;&gt;"Xp"))+((AM18&lt;&gt;"Xn"))=3,AM$3&amp;", ",AM$3&amp;IF((AM18&lt;&gt;"Xm"),"_m","")&amp;IF((AM18&lt;&gt;"Xp"),"_p","")&amp;IF((AM18&lt;&gt;"Xn"),"_n","")&amp;", ")))</f>
        <v>SANNA, </v>
      </c>
      <c r="CB18" s="1" t="str">
        <f aca="false">IF((AN18="X")+(AN18="Gn")+(AN18="C")+(AN17="Gn")&gt;0,"",IF(((AN18&lt;&gt;"Xm"))+((AN18&lt;&gt;"Xp"))+((AN18&lt;&gt;"Xn"))=0,"",IF(((AN18&lt;&gt;"Xm"))+((AN18&lt;&gt;"Xp"))+((AN18&lt;&gt;"Xn"))=3,AN$3&amp;", ",AN$3&amp;IF((AN18&lt;&gt;"Xm"),"_m","")&amp;IF((AN18&lt;&gt;"Xp"),"_p","")&amp;IF((AN18&lt;&gt;"Xn"),"_n","")&amp;", ")))</f>
        <v>LI, </v>
      </c>
      <c r="CD18" s="1" t="str">
        <f aca="false">IF((AA18="X")+(AA18="Gn")+(AA18="C")+(AA17="Gn")&gt;0,"",IF(((AA18&lt;&gt;"Xm")*(COUNTIFS($C$3:$P$3,"MAT",$C18:$P18,AA$3)=0)*(COUNTIFS($C$3:$P$3,"NOTTE",$C18:$P18,AA$3)=0))+((AA18&lt;&gt;"Xp")*(COUNTIFS($C$3:$P$3,"POM",$C18:$P18,AA$3)=0)*(COUNTIFS($C$3:$P$3,"NOTTE",$C18:$P18,AA$3)=0))+((AA18&lt;&gt;"Xn")*(COUNTIFS($C$3:$P$3,"MAT",$C18:$P18,AA$3)=0)*(COUNTIFS($C$3:$P$3,"POM",$C18:$P18,AA$3)=0)*(COUNTIFS($C$3:$P$3,"NOTTE",$C18:$P18,AA$3)=0))=0,"",IF(((AA18&lt;&gt;"Xm")*(COUNTIFS($C$3:$P$3,"MAT",$C18:$P18,AA$3)=0)*(COUNTIFS($C$3:$P$3,"NOTTE",$C18:$P18,AA$3)=0))+((AA18&lt;&gt;"Xp")*(COUNTIFS($C$3:$P$3,"POM",$C18:$P18,AA$3)=0)*(COUNTIFS($C$3:$P$3,"NOTTE",$C18:$P18,AA$3)=0))+((AA18&lt;&gt;"Xn")*(COUNTIFS($C$3:$P$3,"MAT",$C18:$P18,AA$3)=0)*(COUNTIFS($C$3:$P$3,"POM",$C18:$P18,AA$3)=0)*(COUNTIFS($C$3:$P$3,"NOTTE",$C18:$P18,AA$3)=0))=3,AA$3&amp;", ",AA$3&amp;IF((AA18&lt;&gt;"Xm")*(COUNTIFS($C$3:$P$3,"MAT",$C18:$P18,AA$3)=0)*(COUNTIFS($C$3:$P$3,"NOTTE",$C18:$P18,AA$3)=0),"_m","")&amp;IF((AA18&lt;&gt;"Xp")*(COUNTIFS($C$3:$P$3,"POM",$C18:$P18,AA$3)=0)*(COUNTIFS($C$3:$P$3,"NOTTE",$C18:$P18,AA$3)=0),"_p","")&amp;IF((AA18&lt;&gt;"Xn")*(COUNTIFS($C$3:$P$3,"MAT",$C18:$P18,AA$3)=0)*(COUNTIFS($C$3:$P$3,"POM",$C18:$P18,AA$3)=0)*(COUNTIFS($C$3:$P$3,"NOTTE",$C18:$P18,AA$3)=0),"_n","")&amp;", ")))</f>
        <v>LEONI, </v>
      </c>
      <c r="CE18" s="1" t="str">
        <f aca="false">IF((AB18="X")+(AB18="Gn")+(AB18="C")+(AB17="Gn")&gt;0,"",IF(((AB18&lt;&gt;"Xm")*(COUNTIFS($C$3:$P$3,"MAT",$C18:$P18,AB$3)=0)*(COUNTIFS($C$3:$P$3,"NOTTE",$C18:$P18,AB$3)=0))+((AB18&lt;&gt;"Xp")*(COUNTIFS($C$3:$P$3,"POM",$C18:$P18,AB$3)=0)*(COUNTIFS($C$3:$P$3,"NOTTE",$C18:$P18,AB$3)=0))+((AB18&lt;&gt;"Xn")*(COUNTIFS($C$3:$P$3,"MAT",$C18:$P18,AB$3)=0)*(COUNTIFS($C$3:$P$3,"POM",$C18:$P18,AB$3)=0)*(COUNTIFS($C$3:$P$3,"NOTTE",$C18:$P18,AB$3)=0))=0,"",IF(((AB18&lt;&gt;"Xm")*(COUNTIFS($C$3:$P$3,"MAT",$C18:$P18,AB$3)=0)*(COUNTIFS($C$3:$P$3,"NOTTE",$C18:$P18,AB$3)=0))+((AB18&lt;&gt;"Xp")*(COUNTIFS($C$3:$P$3,"POM",$C18:$P18,AB$3)=0)*(COUNTIFS($C$3:$P$3,"NOTTE",$C18:$P18,AB$3)=0))+((AB18&lt;&gt;"Xn")*(COUNTIFS($C$3:$P$3,"MAT",$C18:$P18,AB$3)=0)*(COUNTIFS($C$3:$P$3,"POM",$C18:$P18,AB$3)=0)*(COUNTIFS($C$3:$P$3,"NOTTE",$C18:$P18,AB$3)=0))=3,AB$3&amp;", ",AB$3&amp;IF((AB18&lt;&gt;"Xm")*(COUNTIFS($C$3:$P$3,"MAT",$C18:$P18,AB$3)=0)*(COUNTIFS($C$3:$P$3,"NOTTE",$C18:$P18,AB$3)=0),"_m","")&amp;IF((AB18&lt;&gt;"Xp")*(COUNTIFS($C$3:$P$3,"POM",$C18:$P18,AB$3)=0)*(COUNTIFS($C$3:$P$3,"NOTTE",$C18:$P18,AB$3)=0),"_p","")&amp;IF((AB18&lt;&gt;"Xn")*(COUNTIFS($C$3:$P$3,"MAT",$C18:$P18,AB$3)=0)*(COUNTIFS($C$3:$P$3,"POM",$C18:$P18,AB$3)=0)*(COUNTIFS($C$3:$P$3,"NOTTE",$C18:$P18,AB$3)=0),"_n","")&amp;", ")))</f>
        <v/>
      </c>
      <c r="CF18" s="1" t="str">
        <f aca="false">IF((AC18="X")+(AC18="Gn")+(AC18="C")+(AC17="Gn")&gt;0,"",IF(((AC18&lt;&gt;"Xm")*(COUNTIFS($C$3:$P$3,"MAT",$C18:$P18,AC$3)=0)*(COUNTIFS($C$3:$P$3,"NOTTE",$C18:$P18,AC$3)=0))+((AC18&lt;&gt;"Xp")*(COUNTIFS($C$3:$P$3,"POM",$C18:$P18,AC$3)=0)*(COUNTIFS($C$3:$P$3,"NOTTE",$C18:$P18,AC$3)=0))+((AC18&lt;&gt;"Xn")*(COUNTIFS($C$3:$P$3,"MAT",$C18:$P18,AC$3)=0)*(COUNTIFS($C$3:$P$3,"POM",$C18:$P18,AC$3)=0)*(COUNTIFS($C$3:$P$3,"NOTTE",$C18:$P18,AC$3)=0))=0,"",IF(((AC18&lt;&gt;"Xm")*(COUNTIFS($C$3:$P$3,"MAT",$C18:$P18,AC$3)=0)*(COUNTIFS($C$3:$P$3,"NOTTE",$C18:$P18,AC$3)=0))+((AC18&lt;&gt;"Xp")*(COUNTIFS($C$3:$P$3,"POM",$C18:$P18,AC$3)=0)*(COUNTIFS($C$3:$P$3,"NOTTE",$C18:$P18,AC$3)=0))+((AC18&lt;&gt;"Xn")*(COUNTIFS($C$3:$P$3,"MAT",$C18:$P18,AC$3)=0)*(COUNTIFS($C$3:$P$3,"POM",$C18:$P18,AC$3)=0)*(COUNTIFS($C$3:$P$3,"NOTTE",$C18:$P18,AC$3)=0))=3,AC$3&amp;", ",AC$3&amp;IF((AC18&lt;&gt;"Xm")*(COUNTIFS($C$3:$P$3,"MAT",$C18:$P18,AC$3)=0)*(COUNTIFS($C$3:$P$3,"NOTTE",$C18:$P18,AC$3)=0),"_m","")&amp;IF((AC18&lt;&gt;"Xp")*(COUNTIFS($C$3:$P$3,"POM",$C18:$P18,AC$3)=0)*(COUNTIFS($C$3:$P$3,"NOTTE",$C18:$P18,AC$3)=0),"_p","")&amp;IF((AC18&lt;&gt;"Xn")*(COUNTIFS($C$3:$P$3,"MAT",$C18:$P18,AC$3)=0)*(COUNTIFS($C$3:$P$3,"POM",$C18:$P18,AC$3)=0)*(COUNTIFS($C$3:$P$3,"NOTTE",$C18:$P18,AC$3)=0),"_n","")&amp;", ")))</f>
        <v/>
      </c>
      <c r="CG18" s="1" t="str">
        <f aca="false">IF((AD18="X")+(AD18="Gn")+(AD18="C")+(AD17="Gn")&gt;0,"",IF(((AD18&lt;&gt;"Xm")*(COUNTIFS($C$3:$P$3,"MAT",$C18:$P18,AD$3)=0)*(COUNTIFS($C$3:$P$3,"NOTTE",$C18:$P18,AD$3)=0))+((AD18&lt;&gt;"Xp")*(COUNTIFS($C$3:$P$3,"POM",$C18:$P18,AD$3)=0)*(COUNTIFS($C$3:$P$3,"NOTTE",$C18:$P18,AD$3)=0))+((AD18&lt;&gt;"Xn")*(COUNTIFS($C$3:$P$3,"MAT",$C18:$P18,AD$3)=0)*(COUNTIFS($C$3:$P$3,"POM",$C18:$P18,AD$3)=0)*(COUNTIFS($C$3:$P$3,"NOTTE",$C18:$P18,AD$3)=0))=0,"",IF(((AD18&lt;&gt;"Xm")*(COUNTIFS($C$3:$P$3,"MAT",$C18:$P18,AD$3)=0)*(COUNTIFS($C$3:$P$3,"NOTTE",$C18:$P18,AD$3)=0))+((AD18&lt;&gt;"Xp")*(COUNTIFS($C$3:$P$3,"POM",$C18:$P18,AD$3)=0)*(COUNTIFS($C$3:$P$3,"NOTTE",$C18:$P18,AD$3)=0))+((AD18&lt;&gt;"Xn")*(COUNTIFS($C$3:$P$3,"MAT",$C18:$P18,AD$3)=0)*(COUNTIFS($C$3:$P$3,"POM",$C18:$P18,AD$3)=0)*(COUNTIFS($C$3:$P$3,"NOTTE",$C18:$P18,AD$3)=0))=3,AD$3&amp;", ",AD$3&amp;IF((AD18&lt;&gt;"Xm")*(COUNTIFS($C$3:$P$3,"MAT",$C18:$P18,AD$3)=0)*(COUNTIFS($C$3:$P$3,"NOTTE",$C18:$P18,AD$3)=0),"_m","")&amp;IF((AD18&lt;&gt;"Xp")*(COUNTIFS($C$3:$P$3,"POM",$C18:$P18,AD$3)=0)*(COUNTIFS($C$3:$P$3,"NOTTE",$C18:$P18,AD$3)=0),"_p","")&amp;IF((AD18&lt;&gt;"Xn")*(COUNTIFS($C$3:$P$3,"MAT",$C18:$P18,AD$3)=0)*(COUNTIFS($C$3:$P$3,"POM",$C18:$P18,AD$3)=0)*(COUNTIFS($C$3:$P$3,"NOTTE",$C18:$P18,AD$3)=0),"_n","")&amp;", ")))</f>
        <v>GALLINA, </v>
      </c>
      <c r="CH18" s="1" t="str">
        <f aca="false">IF((AE18="X")+(AE18="Gn")+(AE18="C")+(AE17="Gn")&gt;0,"",IF(((AE18&lt;&gt;"Xm")*(COUNTIFS($C$3:$P$3,"MAT",$C18:$P18,AE$3)=0)*(COUNTIFS($C$3:$P$3,"NOTTE",$C18:$P18,AE$3)=0))+((AE18&lt;&gt;"Xp")*(COUNTIFS($C$3:$P$3,"POM",$C18:$P18,AE$3)=0)*(COUNTIFS($C$3:$P$3,"NOTTE",$C18:$P18,AE$3)=0))+((AE18&lt;&gt;"Xn")*(COUNTIFS($C$3:$P$3,"MAT",$C18:$P18,AE$3)=0)*(COUNTIFS($C$3:$P$3,"POM",$C18:$P18,AE$3)=0)*(COUNTIFS($C$3:$P$3,"NOTTE",$C18:$P18,AE$3)=0))=0,"",IF(((AE18&lt;&gt;"Xm")*(COUNTIFS($C$3:$P$3,"MAT",$C18:$P18,AE$3)=0)*(COUNTIFS($C$3:$P$3,"NOTTE",$C18:$P18,AE$3)=0))+((AE18&lt;&gt;"Xp")*(COUNTIFS($C$3:$P$3,"POM",$C18:$P18,AE$3)=0)*(COUNTIFS($C$3:$P$3,"NOTTE",$C18:$P18,AE$3)=0))+((AE18&lt;&gt;"Xn")*(COUNTIFS($C$3:$P$3,"MAT",$C18:$P18,AE$3)=0)*(COUNTIFS($C$3:$P$3,"POM",$C18:$P18,AE$3)=0)*(COUNTIFS($C$3:$P$3,"NOTTE",$C18:$P18,AE$3)=0))=3,AE$3&amp;", ",AE$3&amp;IF((AE18&lt;&gt;"Xm")*(COUNTIFS($C$3:$P$3,"MAT",$C18:$P18,AE$3)=0)*(COUNTIFS($C$3:$P$3,"NOTTE",$C18:$P18,AE$3)=0),"_m","")&amp;IF((AE18&lt;&gt;"Xp")*(COUNTIFS($C$3:$P$3,"POM",$C18:$P18,AE$3)=0)*(COUNTIFS($C$3:$P$3,"NOTTE",$C18:$P18,AE$3)=0),"_p","")&amp;IF((AE18&lt;&gt;"Xn")*(COUNTIFS($C$3:$P$3,"MAT",$C18:$P18,AE$3)=0)*(COUNTIFS($C$3:$P$3,"POM",$C18:$P18,AE$3)=0)*(COUNTIFS($C$3:$P$3,"NOTTE",$C18:$P18,AE$3)=0),"_n","")&amp;", ")))</f>
        <v>RUSSO, </v>
      </c>
      <c r="CI18" s="1" t="str">
        <f aca="false">IF((AF18="X")+(AF18="Gn")+(AF18="C")+(AF17="Gn")&gt;0,"",IF(((AF18&lt;&gt;"Xm")*(COUNTIFS($C$3:$P$3,"MAT",$C18:$P18,AF$3)=0)*(COUNTIFS($C$3:$P$3,"NOTTE",$C18:$P18,AF$3)=0))+((AF18&lt;&gt;"Xp")*(COUNTIFS($C$3:$P$3,"POM",$C18:$P18,AF$3)=0)*(COUNTIFS($C$3:$P$3,"NOTTE",$C18:$P18,AF$3)=0))+((AF18&lt;&gt;"Xn")*(COUNTIFS($C$3:$P$3,"MAT",$C18:$P18,AF$3)=0)*(COUNTIFS($C$3:$P$3,"POM",$C18:$P18,AF$3)=0)*(COUNTIFS($C$3:$P$3,"NOTTE",$C18:$P18,AF$3)=0))=0,"",IF(((AF18&lt;&gt;"Xm")*(COUNTIFS($C$3:$P$3,"MAT",$C18:$P18,AF$3)=0)*(COUNTIFS($C$3:$P$3,"NOTTE",$C18:$P18,AF$3)=0))+((AF18&lt;&gt;"Xp")*(COUNTIFS($C$3:$P$3,"POM",$C18:$P18,AF$3)=0)*(COUNTIFS($C$3:$P$3,"NOTTE",$C18:$P18,AF$3)=0))+((AF18&lt;&gt;"Xn")*(COUNTIFS($C$3:$P$3,"MAT",$C18:$P18,AF$3)=0)*(COUNTIFS($C$3:$P$3,"POM",$C18:$P18,AF$3)=0)*(COUNTIFS($C$3:$P$3,"NOTTE",$C18:$P18,AF$3)=0))=3,AF$3&amp;", ",AF$3&amp;IF((AF18&lt;&gt;"Xm")*(COUNTIFS($C$3:$P$3,"MAT",$C18:$P18,AF$3)=0)*(COUNTIFS($C$3:$P$3,"NOTTE",$C18:$P18,AF$3)=0),"_m","")&amp;IF((AF18&lt;&gt;"Xp")*(COUNTIFS($C$3:$P$3,"POM",$C18:$P18,AF$3)=0)*(COUNTIFS($C$3:$P$3,"NOTTE",$C18:$P18,AF$3)=0),"_p","")&amp;IF((AF18&lt;&gt;"Xn")*(COUNTIFS($C$3:$P$3,"MAT",$C18:$P18,AF$3)=0)*(COUNTIFS($C$3:$P$3,"POM",$C18:$P18,AF$3)=0)*(COUNTIFS($C$3:$P$3,"NOTTE",$C18:$P18,AF$3)=0),"_n","")&amp;", ")))</f>
        <v>VERDI, </v>
      </c>
      <c r="CJ18" s="1" t="str">
        <f aca="false">IF((AG18="X")+(AG18="Gn")+(AG18="C")+(AG17="Gn")&gt;0,"",IF(((AG18&lt;&gt;"Xm")*(COUNTIFS($C$3:$P$3,"MAT",$C18:$P18,AG$3)=0)*(COUNTIFS($C$3:$P$3,"NOTTE",$C18:$P18,AG$3)=0))+((AG18&lt;&gt;"Xp")*(COUNTIFS($C$3:$P$3,"POM",$C18:$P18,AG$3)=0)*(COUNTIFS($C$3:$P$3,"NOTTE",$C18:$P18,AG$3)=0))+((AG18&lt;&gt;"Xn")*(COUNTIFS($C$3:$P$3,"MAT",$C18:$P18,AG$3)=0)*(COUNTIFS($C$3:$P$3,"POM",$C18:$P18,AG$3)=0)*(COUNTIFS($C$3:$P$3,"NOTTE",$C18:$P18,AG$3)=0))=0,"",IF(((AG18&lt;&gt;"Xm")*(COUNTIFS($C$3:$P$3,"MAT",$C18:$P18,AG$3)=0)*(COUNTIFS($C$3:$P$3,"NOTTE",$C18:$P18,AG$3)=0))+((AG18&lt;&gt;"Xp")*(COUNTIFS($C$3:$P$3,"POM",$C18:$P18,AG$3)=0)*(COUNTIFS($C$3:$P$3,"NOTTE",$C18:$P18,AG$3)=0))+((AG18&lt;&gt;"Xn")*(COUNTIFS($C$3:$P$3,"MAT",$C18:$P18,AG$3)=0)*(COUNTIFS($C$3:$P$3,"POM",$C18:$P18,AG$3)=0)*(COUNTIFS($C$3:$P$3,"NOTTE",$C18:$P18,AG$3)=0))=3,AG$3&amp;", ",AG$3&amp;IF((AG18&lt;&gt;"Xm")*(COUNTIFS($C$3:$P$3,"MAT",$C18:$P18,AG$3)=0)*(COUNTIFS($C$3:$P$3,"NOTTE",$C18:$P18,AG$3)=0),"_m","")&amp;IF((AG18&lt;&gt;"Xp")*(COUNTIFS($C$3:$P$3,"POM",$C18:$P18,AG$3)=0)*(COUNTIFS($C$3:$P$3,"NOTTE",$C18:$P18,AG$3)=0),"_p","")&amp;IF((AG18&lt;&gt;"Xn")*(COUNTIFS($C$3:$P$3,"MAT",$C18:$P18,AG$3)=0)*(COUNTIFS($C$3:$P$3,"POM",$C18:$P18,AG$3)=0)*(COUNTIFS($C$3:$P$3,"NOTTE",$C18:$P18,AG$3)=0),"_n","")&amp;", ")))</f>
        <v/>
      </c>
      <c r="CK18" s="1" t="str">
        <f aca="false">IF((AH18="X")+(AH18="Gn")+(AH18="C")+(AH17="Gn")&gt;0,"",IF(((AH18&lt;&gt;"Xm")*(COUNTIFS($C$3:$P$3,"MAT",$C18:$P18,AH$3)=0)*(COUNTIFS($C$3:$P$3,"NOTTE",$C18:$P18,AH$3)=0))+((AH18&lt;&gt;"Xp")*(COUNTIFS($C$3:$P$3,"POM",$C18:$P18,AH$3)=0)*(COUNTIFS($C$3:$P$3,"NOTTE",$C18:$P18,AH$3)=0))+((AH18&lt;&gt;"Xn")*(COUNTIFS($C$3:$P$3,"MAT",$C18:$P18,AH$3)=0)*(COUNTIFS($C$3:$P$3,"POM",$C18:$P18,AH$3)=0)*(COUNTIFS($C$3:$P$3,"NOTTE",$C18:$P18,AH$3)=0))=0,"",IF(((AH18&lt;&gt;"Xm")*(COUNTIFS($C$3:$P$3,"MAT",$C18:$P18,AH$3)=0)*(COUNTIFS($C$3:$P$3,"NOTTE",$C18:$P18,AH$3)=0))+((AH18&lt;&gt;"Xp")*(COUNTIFS($C$3:$P$3,"POM",$C18:$P18,AH$3)=0)*(COUNTIFS($C$3:$P$3,"NOTTE",$C18:$P18,AH$3)=0))+((AH18&lt;&gt;"Xn")*(COUNTIFS($C$3:$P$3,"MAT",$C18:$P18,AH$3)=0)*(COUNTIFS($C$3:$P$3,"POM",$C18:$P18,AH$3)=0)*(COUNTIFS($C$3:$P$3,"NOTTE",$C18:$P18,AH$3)=0))=3,AH$3&amp;", ",AH$3&amp;IF((AH18&lt;&gt;"Xm")*(COUNTIFS($C$3:$P$3,"MAT",$C18:$P18,AH$3)=0)*(COUNTIFS($C$3:$P$3,"NOTTE",$C18:$P18,AH$3)=0),"_m","")&amp;IF((AH18&lt;&gt;"Xp")*(COUNTIFS($C$3:$P$3,"POM",$C18:$P18,AH$3)=0)*(COUNTIFS($C$3:$P$3,"NOTTE",$C18:$P18,AH$3)=0),"_p","")&amp;IF((AH18&lt;&gt;"Xn")*(COUNTIFS($C$3:$P$3,"MAT",$C18:$P18,AH$3)=0)*(COUNTIFS($C$3:$P$3,"POM",$C18:$P18,AH$3)=0)*(COUNTIFS($C$3:$P$3,"NOTTE",$C18:$P18,AH$3)=0),"_n","")&amp;", ")))</f>
        <v>MARINI, </v>
      </c>
      <c r="CL18" s="1" t="str">
        <f aca="false">IF((AI18="X")+(AI18="Gn")+(AI18="C")+(AI17="Gn")&gt;0,"",IF(((AI18&lt;&gt;"Xm")*(COUNTIFS($C$3:$P$3,"MAT",$C18:$P18,AI$3)=0)*(COUNTIFS($C$3:$P$3,"NOTTE",$C18:$P18,AI$3)=0))+((AI18&lt;&gt;"Xp")*(COUNTIFS($C$3:$P$3,"POM",$C18:$P18,AI$3)=0)*(COUNTIFS($C$3:$P$3,"NOTTE",$C18:$P18,AI$3)=0))+((AI18&lt;&gt;"Xn")*(COUNTIFS($C$3:$P$3,"MAT",$C18:$P18,AI$3)=0)*(COUNTIFS($C$3:$P$3,"POM",$C18:$P18,AI$3)=0)*(COUNTIFS($C$3:$P$3,"NOTTE",$C18:$P18,AI$3)=0))=0,"",IF(((AI18&lt;&gt;"Xm")*(COUNTIFS($C$3:$P$3,"MAT",$C18:$P18,AI$3)=0)*(COUNTIFS($C$3:$P$3,"NOTTE",$C18:$P18,AI$3)=0))+((AI18&lt;&gt;"Xp")*(COUNTIFS($C$3:$P$3,"POM",$C18:$P18,AI$3)=0)*(COUNTIFS($C$3:$P$3,"NOTTE",$C18:$P18,AI$3)=0))+((AI18&lt;&gt;"Xn")*(COUNTIFS($C$3:$P$3,"MAT",$C18:$P18,AI$3)=0)*(COUNTIFS($C$3:$P$3,"POM",$C18:$P18,AI$3)=0)*(COUNTIFS($C$3:$P$3,"NOTTE",$C18:$P18,AI$3)=0))=3,AI$3&amp;", ",AI$3&amp;IF((AI18&lt;&gt;"Xm")*(COUNTIFS($C$3:$P$3,"MAT",$C18:$P18,AI$3)=0)*(COUNTIFS($C$3:$P$3,"NOTTE",$C18:$P18,AI$3)=0),"_m","")&amp;IF((AI18&lt;&gt;"Xp")*(COUNTIFS($C$3:$P$3,"POM",$C18:$P18,AI$3)=0)*(COUNTIFS($C$3:$P$3,"NOTTE",$C18:$P18,AI$3)=0),"_p","")&amp;IF((AI18&lt;&gt;"Xn")*(COUNTIFS($C$3:$P$3,"MAT",$C18:$P18,AI$3)=0)*(COUNTIFS($C$3:$P$3,"POM",$C18:$P18,AI$3)=0)*(COUNTIFS($C$3:$P$3,"NOTTE",$C18:$P18,AI$3)=0),"_n","")&amp;", ")))</f>
        <v>CONTI A, </v>
      </c>
      <c r="CM18" s="1" t="str">
        <f aca="false">IF((AJ18="X")+(AJ18="Gn")+(AJ18="C")+(AJ17="Gn")&gt;0,"",IF(((AJ18&lt;&gt;"Xm")*(COUNTIFS($C$3:$P$3,"MAT",$C18:$P18,AJ$3)=0)*(COUNTIFS($C$3:$P$3,"NOTTE",$C18:$P18,AJ$3)=0))+((AJ18&lt;&gt;"Xp")*(COUNTIFS($C$3:$P$3,"POM",$C18:$P18,AJ$3)=0)*(COUNTIFS($C$3:$P$3,"NOTTE",$C18:$P18,AJ$3)=0))+((AJ18&lt;&gt;"Xn")*(COUNTIFS($C$3:$P$3,"MAT",$C18:$P18,AJ$3)=0)*(COUNTIFS($C$3:$P$3,"POM",$C18:$P18,AJ$3)=0)*(COUNTIFS($C$3:$P$3,"NOTTE",$C18:$P18,AJ$3)=0))=0,"",IF(((AJ18&lt;&gt;"Xm")*(COUNTIFS($C$3:$P$3,"MAT",$C18:$P18,AJ$3)=0)*(COUNTIFS($C$3:$P$3,"NOTTE",$C18:$P18,AJ$3)=0))+((AJ18&lt;&gt;"Xp")*(COUNTIFS($C$3:$P$3,"POM",$C18:$P18,AJ$3)=0)*(COUNTIFS($C$3:$P$3,"NOTTE",$C18:$P18,AJ$3)=0))+((AJ18&lt;&gt;"Xn")*(COUNTIFS($C$3:$P$3,"MAT",$C18:$P18,AJ$3)=0)*(COUNTIFS($C$3:$P$3,"POM",$C18:$P18,AJ$3)=0)*(COUNTIFS($C$3:$P$3,"NOTTE",$C18:$P18,AJ$3)=0))=3,AJ$3&amp;", ",AJ$3&amp;IF((AJ18&lt;&gt;"Xm")*(COUNTIFS($C$3:$P$3,"MAT",$C18:$P18,AJ$3)=0)*(COUNTIFS($C$3:$P$3,"NOTTE",$C18:$P18,AJ$3)=0),"_m","")&amp;IF((AJ18&lt;&gt;"Xp")*(COUNTIFS($C$3:$P$3,"POM",$C18:$P18,AJ$3)=0)*(COUNTIFS($C$3:$P$3,"NOTTE",$C18:$P18,AJ$3)=0),"_p","")&amp;IF((AJ18&lt;&gt;"Xn")*(COUNTIFS($C$3:$P$3,"MAT",$C18:$P18,AJ$3)=0)*(COUNTIFS($C$3:$P$3,"POM",$C18:$P18,AJ$3)=0)*(COUNTIFS($C$3:$P$3,"NOTTE",$C18:$P18,AJ$3)=0),"_n","")&amp;", ")))</f>
        <v>CONTI S, </v>
      </c>
      <c r="CN18" s="1" t="str">
        <f aca="false">IF((AK18="X")+(AK18="Gn")+(AK18="C")+(AK17="Gn")&gt;0,"",IF(((AK18&lt;&gt;"Xm")*(COUNTIFS($C$3:$P$3,"MAT",$C18:$P18,AK$3)=0)*(COUNTIFS($C$3:$P$3,"NOTTE",$C18:$P18,AK$3)=0))+((AK18&lt;&gt;"Xp")*(COUNTIFS($C$3:$P$3,"POM",$C18:$P18,AK$3)=0)*(COUNTIFS($C$3:$P$3,"NOTTE",$C18:$P18,AK$3)=0))+((AK18&lt;&gt;"Xn")*(COUNTIFS($C$3:$P$3,"MAT",$C18:$P18,AK$3)=0)*(COUNTIFS($C$3:$P$3,"POM",$C18:$P18,AK$3)=0)*(COUNTIFS($C$3:$P$3,"NOTTE",$C18:$P18,AK$3)=0))=0,"",IF(((AK18&lt;&gt;"Xm")*(COUNTIFS($C$3:$P$3,"MAT",$C18:$P18,AK$3)=0)*(COUNTIFS($C$3:$P$3,"NOTTE",$C18:$P18,AK$3)=0))+((AK18&lt;&gt;"Xp")*(COUNTIFS($C$3:$P$3,"POM",$C18:$P18,AK$3)=0)*(COUNTIFS($C$3:$P$3,"NOTTE",$C18:$P18,AK$3)=0))+((AK18&lt;&gt;"Xn")*(COUNTIFS($C$3:$P$3,"MAT",$C18:$P18,AK$3)=0)*(COUNTIFS($C$3:$P$3,"POM",$C18:$P18,AK$3)=0)*(COUNTIFS($C$3:$P$3,"NOTTE",$C18:$P18,AK$3)=0))=3,AK$3&amp;", ",AK$3&amp;IF((AK18&lt;&gt;"Xm")*(COUNTIFS($C$3:$P$3,"MAT",$C18:$P18,AK$3)=0)*(COUNTIFS($C$3:$P$3,"NOTTE",$C18:$P18,AK$3)=0),"_m","")&amp;IF((AK18&lt;&gt;"Xp")*(COUNTIFS($C$3:$P$3,"POM",$C18:$P18,AK$3)=0)*(COUNTIFS($C$3:$P$3,"NOTTE",$C18:$P18,AK$3)=0),"_p","")&amp;IF((AK18&lt;&gt;"Xn")*(COUNTIFS($C$3:$P$3,"MAT",$C18:$P18,AK$3)=0)*(COUNTIFS($C$3:$P$3,"POM",$C18:$P18,AK$3)=0)*(COUNTIFS($C$3:$P$3,"NOTTE",$C18:$P18,AK$3)=0),"_n","")&amp;", ")))</f>
        <v/>
      </c>
      <c r="CO18" s="1" t="str">
        <f aca="false">IF((AL18="X")+(AL18="Gn")+(AL18="C")+(AL17="Gn")&gt;0,"",IF(((AL18&lt;&gt;"Xm")*(COUNTIFS($C$3:$P$3,"MAT",$C18:$P18,AL$3)=0)*(COUNTIFS($C$3:$P$3,"NOTTE",$C18:$P18,AL$3)=0))+((AL18&lt;&gt;"Xp")*(COUNTIFS($C$3:$P$3,"POM",$C18:$P18,AL$3)=0)*(COUNTIFS($C$3:$P$3,"NOTTE",$C18:$P18,AL$3)=0))+((AL18&lt;&gt;"Xn")*(COUNTIFS($C$3:$P$3,"MAT",$C18:$P18,AL$3)=0)*(COUNTIFS($C$3:$P$3,"POM",$C18:$P18,AL$3)=0)*(COUNTIFS($C$3:$P$3,"NOTTE",$C18:$P18,AL$3)=0))=0,"",IF(((AL18&lt;&gt;"Xm")*(COUNTIFS($C$3:$P$3,"MAT",$C18:$P18,AL$3)=0)*(COUNTIFS($C$3:$P$3,"NOTTE",$C18:$P18,AL$3)=0))+((AL18&lt;&gt;"Xp")*(COUNTIFS($C$3:$P$3,"POM",$C18:$P18,AL$3)=0)*(COUNTIFS($C$3:$P$3,"NOTTE",$C18:$P18,AL$3)=0))+((AL18&lt;&gt;"Xn")*(COUNTIFS($C$3:$P$3,"MAT",$C18:$P18,AL$3)=0)*(COUNTIFS($C$3:$P$3,"POM",$C18:$P18,AL$3)=0)*(COUNTIFS($C$3:$P$3,"NOTTE",$C18:$P18,AL$3)=0))=3,AL$3&amp;", ",AL$3&amp;IF((AL18&lt;&gt;"Xm")*(COUNTIFS($C$3:$P$3,"MAT",$C18:$P18,AL$3)=0)*(COUNTIFS($C$3:$P$3,"NOTTE",$C18:$P18,AL$3)=0),"_m","")&amp;IF((AL18&lt;&gt;"Xp")*(COUNTIFS($C$3:$P$3,"POM",$C18:$P18,AL$3)=0)*(COUNTIFS($C$3:$P$3,"NOTTE",$C18:$P18,AL$3)=0),"_p","")&amp;IF((AL18&lt;&gt;"Xn")*(COUNTIFS($C$3:$P$3,"MAT",$C18:$P18,AL$3)=0)*(COUNTIFS($C$3:$P$3,"POM",$C18:$P18,AL$3)=0)*(COUNTIFS($C$3:$P$3,"NOTTE",$C18:$P18,AL$3)=0),"_n","")&amp;", ")))</f>
        <v>GRECO_p_n, </v>
      </c>
      <c r="CP18" s="1" t="str">
        <f aca="false">IF((AM18="X")+(AM18="Gn")+(AM18="C")+(AM17="Gn")&gt;0,"",IF(((AM18&lt;&gt;"Xm")*(COUNTIFS($C$3:$P$3,"MAT",$C18:$P18,AM$3)=0)*(COUNTIFS($C$3:$P$3,"NOTTE",$C18:$P18,AM$3)=0))+((AM18&lt;&gt;"Xp")*(COUNTIFS($C$3:$P$3,"POM",$C18:$P18,AM$3)=0)*(COUNTIFS($C$3:$P$3,"NOTTE",$C18:$P18,AM$3)=0))+((AM18&lt;&gt;"Xn")*(COUNTIFS($C$3:$P$3,"MAT",$C18:$P18,AM$3)=0)*(COUNTIFS($C$3:$P$3,"POM",$C18:$P18,AM$3)=0)*(COUNTIFS($C$3:$P$3,"NOTTE",$C18:$P18,AM$3)=0))=0,"",IF(((AM18&lt;&gt;"Xm")*(COUNTIFS($C$3:$P$3,"MAT",$C18:$P18,AM$3)=0)*(COUNTIFS($C$3:$P$3,"NOTTE",$C18:$P18,AM$3)=0))+((AM18&lt;&gt;"Xp")*(COUNTIFS($C$3:$P$3,"POM",$C18:$P18,AM$3)=0)*(COUNTIFS($C$3:$P$3,"NOTTE",$C18:$P18,AM$3)=0))+((AM18&lt;&gt;"Xn")*(COUNTIFS($C$3:$P$3,"MAT",$C18:$P18,AM$3)=0)*(COUNTIFS($C$3:$P$3,"POM",$C18:$P18,AM$3)=0)*(COUNTIFS($C$3:$P$3,"NOTTE",$C18:$P18,AM$3)=0))=3,AM$3&amp;", ",AM$3&amp;IF((AM18&lt;&gt;"Xm")*(COUNTIFS($C$3:$P$3,"MAT",$C18:$P18,AM$3)=0)*(COUNTIFS($C$3:$P$3,"NOTTE",$C18:$P18,AM$3)=0),"_m","")&amp;IF((AM18&lt;&gt;"Xp")*(COUNTIFS($C$3:$P$3,"POM",$C18:$P18,AM$3)=0)*(COUNTIFS($C$3:$P$3,"NOTTE",$C18:$P18,AM$3)=0),"_p","")&amp;IF((AM18&lt;&gt;"Xn")*(COUNTIFS($C$3:$P$3,"MAT",$C18:$P18,AM$3)=0)*(COUNTIFS($C$3:$P$3,"POM",$C18:$P18,AM$3)=0)*(COUNTIFS($C$3:$P$3,"NOTTE",$C18:$P18,AM$3)=0),"_n","")&amp;", ")))</f>
        <v>SANNA, </v>
      </c>
      <c r="CQ18" s="1" t="str">
        <f aca="false">IF((AN18="X")+(AN18="Gn")+(AN18="C")+(AN17="Gn")&gt;0,"",IF(((AN18&lt;&gt;"Xm")*(COUNTIFS($C$3:$P$3,"MAT",$C18:$P18,AN$3)=0)*(COUNTIFS($C$3:$P$3,"NOTTE",$C18:$P18,AN$3)=0))+((AN18&lt;&gt;"Xp")*(COUNTIFS($C$3:$P$3,"POM",$C18:$P18,AN$3)=0)*(COUNTIFS($C$3:$P$3,"NOTTE",$C18:$P18,AN$3)=0))+((AN18&lt;&gt;"Xn")*(COUNTIFS($C$3:$P$3,"MAT",$C18:$P18,AN$3)=0)*(COUNTIFS($C$3:$P$3,"POM",$C18:$P18,AN$3)=0)*(COUNTIFS($C$3:$P$3,"NOTTE",$C18:$P18,AN$3)=0))=0,"",IF(((AN18&lt;&gt;"Xm")*(COUNTIFS($C$3:$P$3,"MAT",$C18:$P18,AN$3)=0)*(COUNTIFS($C$3:$P$3,"NOTTE",$C18:$P18,AN$3)=0))+((AN18&lt;&gt;"Xp")*(COUNTIFS($C$3:$P$3,"POM",$C18:$P18,AN$3)=0)*(COUNTIFS($C$3:$P$3,"NOTTE",$C18:$P18,AN$3)=0))+((AN18&lt;&gt;"Xn")*(COUNTIFS($C$3:$P$3,"MAT",$C18:$P18,AN$3)=0)*(COUNTIFS($C$3:$P$3,"POM",$C18:$P18,AN$3)=0)*(COUNTIFS($C$3:$P$3,"NOTTE",$C18:$P18,AN$3)=0))=3,AN$3&amp;", ",AN$3&amp;IF((AN18&lt;&gt;"Xm")*(COUNTIFS($C$3:$P$3,"MAT",$C18:$P18,AN$3)=0)*(COUNTIFS($C$3:$P$3,"NOTTE",$C18:$P18,AN$3)=0),"_m","")&amp;IF((AN18&lt;&gt;"Xp")*(COUNTIFS($C$3:$P$3,"POM",$C18:$P18,AN$3)=0)*(COUNTIFS($C$3:$P$3,"NOTTE",$C18:$P18,AN$3)=0),"_p","")&amp;IF((AN18&lt;&gt;"Xn")*(COUNTIFS($C$3:$P$3,"MAT",$C18:$P18,AN$3)=0)*(COUNTIFS($C$3:$P$3,"POM",$C18:$P18,AN$3)=0)*(COUNTIFS($C$3:$P$3,"NOTTE",$C18:$P18,AN$3)=0),"_n","")&amp;", ")))</f>
        <v>LI, </v>
      </c>
    </row>
    <row r="19" customFormat="false" ht="15" hidden="false" customHeight="true" outlineLevel="0" collapsed="false">
      <c r="A19" s="15" t="str">
        <f aca="false">CHOOSE(WEEKDAY(DATE($B$1,$A$2,B19),2),"lunedì","martedì","mercoledì","giovedì","venerdì","sabato","domenica")</f>
        <v>lunedì</v>
      </c>
      <c r="B19" s="15" t="n">
        <v>16</v>
      </c>
      <c r="C19" s="16" t="s">
        <v>33</v>
      </c>
      <c r="D19" s="16" t="s">
        <v>33</v>
      </c>
      <c r="E19" s="16" t="s">
        <v>30</v>
      </c>
      <c r="F19" s="16" t="s">
        <v>30</v>
      </c>
      <c r="G19" s="16" t="s">
        <v>26</v>
      </c>
      <c r="H19" s="16" t="s">
        <v>26</v>
      </c>
      <c r="I19" s="16" t="s">
        <v>31</v>
      </c>
      <c r="J19" s="16" t="s">
        <v>31</v>
      </c>
      <c r="K19" s="16" t="s">
        <v>35</v>
      </c>
      <c r="L19" s="16"/>
      <c r="M19" s="16" t="s">
        <v>28</v>
      </c>
      <c r="N19" s="16" t="s">
        <v>24</v>
      </c>
      <c r="O19" s="16" t="s">
        <v>24</v>
      </c>
      <c r="P19" s="16" t="s">
        <v>27</v>
      </c>
      <c r="Q19" s="16"/>
      <c r="R19" s="16" t="str">
        <f aca="false">IF(SUMPRODUCT(($C$3:$P$3&lt;&gt;"")*($C19:$P19&lt;&gt;"")*(COUNTIFS($C19:$P19,$C19:$P19,$C$3:$P$3,$C$3:$P$3)&gt;1))&gt;0,"X","")</f>
        <v/>
      </c>
      <c r="S19" s="17" t="str">
        <f aca="false"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ROSSI M, GALLINA, RUSSO, VERDI, HU, MARINI, CONTI A, FERRARI, GRECO, SANNA</v>
      </c>
      <c r="T19" s="17" t="str">
        <f aca="false"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VERDI_m, HU, GRECO, SANNA_p</v>
      </c>
      <c r="Y19" s="15" t="str">
        <f aca="false">A19</f>
        <v>lunedì</v>
      </c>
      <c r="Z19" s="15" t="n">
        <f aca="false">B19</f>
        <v>16</v>
      </c>
      <c r="AA19" s="16" t="s">
        <v>44</v>
      </c>
      <c r="AB19" s="16"/>
      <c r="AC19" s="16" t="s">
        <v>42</v>
      </c>
      <c r="AD19" s="16"/>
      <c r="AE19" s="16"/>
      <c r="AF19" s="16"/>
      <c r="AG19" s="16"/>
      <c r="AH19" s="16"/>
      <c r="AI19" s="16"/>
      <c r="AJ19" s="16" t="s">
        <v>44</v>
      </c>
      <c r="AK19" s="16"/>
      <c r="AL19" s="16"/>
      <c r="AM19" s="16"/>
      <c r="AN19" s="16" t="s">
        <v>51</v>
      </c>
      <c r="BO19" s="1" t="str">
        <f aca="false">IF((AA19="X")+(AA19="Gn")+(AA19="C")+(AA18="Gn")&gt;0,"",IF(((AA19&lt;&gt;"Xm"))+((AA19&lt;&gt;"Xp"))+((AA19&lt;&gt;"Xn"))=0,"",IF(((AA19&lt;&gt;"Xm"))+((AA19&lt;&gt;"Xp"))+((AA19&lt;&gt;"Xn"))=3,AA$3&amp;", ",AA$3&amp;IF((AA19&lt;&gt;"Xm"),"_m","")&amp;IF((AA19&lt;&gt;"Xp"),"_p","")&amp;IF((AA19&lt;&gt;"Xn"),"_n","")&amp;", ")))</f>
        <v/>
      </c>
      <c r="BP19" s="1" t="str">
        <f aca="false">IF((AB19="X")+(AB19="Gn")+(AB19="C")+(AB18="Gn")&gt;0,"",IF(((AB19&lt;&gt;"Xm"))+((AB19&lt;&gt;"Xp"))+((AB19&lt;&gt;"Xn"))=0,"",IF(((AB19&lt;&gt;"Xm"))+((AB19&lt;&gt;"Xp"))+((AB19&lt;&gt;"Xn"))=3,AB$3&amp;", ",AB$3&amp;IF((AB19&lt;&gt;"Xm"),"_m","")&amp;IF((AB19&lt;&gt;"Xp"),"_p","")&amp;IF((AB19&lt;&gt;"Xn"),"_n","")&amp;", ")))</f>
        <v>ROSSI M, </v>
      </c>
      <c r="BQ19" s="1" t="str">
        <f aca="false">IF((AC19="X")+(AC19="Gn")+(AC19="C")+(AC18="Gn")&gt;0,"",IF(((AC19&lt;&gt;"Xm"))+((AC19&lt;&gt;"Xp"))+((AC19&lt;&gt;"Xn"))=0,"",IF(((AC19&lt;&gt;"Xm"))+((AC19&lt;&gt;"Xp"))+((AC19&lt;&gt;"Xn"))=3,AC$3&amp;", ",AC$3&amp;IF((AC19&lt;&gt;"Xm"),"_m","")&amp;IF((AC19&lt;&gt;"Xp"),"_p","")&amp;IF((AC19&lt;&gt;"Xn"),"_n","")&amp;", ")))</f>
        <v/>
      </c>
      <c r="BR19" s="1" t="str">
        <f aca="false">IF((AD19="X")+(AD19="Gn")+(AD19="C")+(AD18="Gn")&gt;0,"",IF(((AD19&lt;&gt;"Xm"))+((AD19&lt;&gt;"Xp"))+((AD19&lt;&gt;"Xn"))=0,"",IF(((AD19&lt;&gt;"Xm"))+((AD19&lt;&gt;"Xp"))+((AD19&lt;&gt;"Xn"))=3,AD$3&amp;", ",AD$3&amp;IF((AD19&lt;&gt;"Xm"),"_m","")&amp;IF((AD19&lt;&gt;"Xp"),"_p","")&amp;IF((AD19&lt;&gt;"Xn"),"_n","")&amp;", ")))</f>
        <v>GALLINA, </v>
      </c>
      <c r="BS19" s="1" t="str">
        <f aca="false">IF((AE19="X")+(AE19="Gn")+(AE19="C")+(AE18="Gn")&gt;0,"",IF(((AE19&lt;&gt;"Xm"))+((AE19&lt;&gt;"Xp"))+((AE19&lt;&gt;"Xn"))=0,"",IF(((AE19&lt;&gt;"Xm"))+((AE19&lt;&gt;"Xp"))+((AE19&lt;&gt;"Xn"))=3,AE$3&amp;", ",AE$3&amp;IF((AE19&lt;&gt;"Xm"),"_m","")&amp;IF((AE19&lt;&gt;"Xp"),"_p","")&amp;IF((AE19&lt;&gt;"Xn"),"_n","")&amp;", ")))</f>
        <v>RUSSO, </v>
      </c>
      <c r="BT19" s="1" t="str">
        <f aca="false">IF((AF19="X")+(AF19="Gn")+(AF19="C")+(AF18="Gn")&gt;0,"",IF(((AF19&lt;&gt;"Xm"))+((AF19&lt;&gt;"Xp"))+((AF19&lt;&gt;"Xn"))=0,"",IF(((AF19&lt;&gt;"Xm"))+((AF19&lt;&gt;"Xp"))+((AF19&lt;&gt;"Xn"))=3,AF$3&amp;", ",AF$3&amp;IF((AF19&lt;&gt;"Xm"),"_m","")&amp;IF((AF19&lt;&gt;"Xp"),"_p","")&amp;IF((AF19&lt;&gt;"Xn"),"_n","")&amp;", ")))</f>
        <v>VERDI, </v>
      </c>
      <c r="BU19" s="1" t="str">
        <f aca="false">IF((AG19="X")+(AG19="Gn")+(AG19="C")+(AG18="Gn")&gt;0,"",IF(((AG19&lt;&gt;"Xm"))+((AG19&lt;&gt;"Xp"))+((AG19&lt;&gt;"Xn"))=0,"",IF(((AG19&lt;&gt;"Xm"))+((AG19&lt;&gt;"Xp"))+((AG19&lt;&gt;"Xn"))=3,AG$3&amp;", ",AG$3&amp;IF((AG19&lt;&gt;"Xm"),"_m","")&amp;IF((AG19&lt;&gt;"Xp"),"_p","")&amp;IF((AG19&lt;&gt;"Xn"),"_n","")&amp;", ")))</f>
        <v>HU, </v>
      </c>
      <c r="BV19" s="1" t="str">
        <f aca="false">IF((AH19="X")+(AH19="Gn")+(AH19="C")+(AH18="Gn")&gt;0,"",IF(((AH19&lt;&gt;"Xm"))+((AH19&lt;&gt;"Xp"))+((AH19&lt;&gt;"Xn"))=0,"",IF(((AH19&lt;&gt;"Xm"))+((AH19&lt;&gt;"Xp"))+((AH19&lt;&gt;"Xn"))=3,AH$3&amp;", ",AH$3&amp;IF((AH19&lt;&gt;"Xm"),"_m","")&amp;IF((AH19&lt;&gt;"Xp"),"_p","")&amp;IF((AH19&lt;&gt;"Xn"),"_n","")&amp;", ")))</f>
        <v>MARINI, </v>
      </c>
      <c r="BW19" s="1" t="str">
        <f aca="false">IF((AI19="X")+(AI19="Gn")+(AI19="C")+(AI18="Gn")&gt;0,"",IF(((AI19&lt;&gt;"Xm"))+((AI19&lt;&gt;"Xp"))+((AI19&lt;&gt;"Xn"))=0,"",IF(((AI19&lt;&gt;"Xm"))+((AI19&lt;&gt;"Xp"))+((AI19&lt;&gt;"Xn"))=3,AI$3&amp;", ",AI$3&amp;IF((AI19&lt;&gt;"Xm"),"_m","")&amp;IF((AI19&lt;&gt;"Xp"),"_p","")&amp;IF((AI19&lt;&gt;"Xn"),"_n","")&amp;", ")))</f>
        <v>CONTI A, </v>
      </c>
      <c r="BX19" s="1" t="str">
        <f aca="false">IF((AJ19="X")+(AJ19="Gn")+(AJ19="C")+(AJ18="Gn")&gt;0,"",IF(((AJ19&lt;&gt;"Xm"))+((AJ19&lt;&gt;"Xp"))+((AJ19&lt;&gt;"Xn"))=0,"",IF(((AJ19&lt;&gt;"Xm"))+((AJ19&lt;&gt;"Xp"))+((AJ19&lt;&gt;"Xn"))=3,AJ$3&amp;", ",AJ$3&amp;IF((AJ19&lt;&gt;"Xm"),"_m","")&amp;IF((AJ19&lt;&gt;"Xp"),"_p","")&amp;IF((AJ19&lt;&gt;"Xn"),"_n","")&amp;", ")))</f>
        <v/>
      </c>
      <c r="BY19" s="1" t="str">
        <f aca="false">IF((AK19="X")+(AK19="Gn")+(AK19="C")+(AK18="Gn")&gt;0,"",IF(((AK19&lt;&gt;"Xm"))+((AK19&lt;&gt;"Xp"))+((AK19&lt;&gt;"Xn"))=0,"",IF(((AK19&lt;&gt;"Xm"))+((AK19&lt;&gt;"Xp"))+((AK19&lt;&gt;"Xn"))=3,AK$3&amp;", ",AK$3&amp;IF((AK19&lt;&gt;"Xm"),"_m","")&amp;IF((AK19&lt;&gt;"Xp"),"_p","")&amp;IF((AK19&lt;&gt;"Xn"),"_n","")&amp;", ")))</f>
        <v>FERRARI, </v>
      </c>
      <c r="BZ19" s="1" t="str">
        <f aca="false">IF((AL19="X")+(AL19="Gn")+(AL19="C")+(AL18="Gn")&gt;0,"",IF(((AL19&lt;&gt;"Xm"))+((AL19&lt;&gt;"Xp"))+((AL19&lt;&gt;"Xn"))=0,"",IF(((AL19&lt;&gt;"Xm"))+((AL19&lt;&gt;"Xp"))+((AL19&lt;&gt;"Xn"))=3,AL$3&amp;", ",AL$3&amp;IF((AL19&lt;&gt;"Xm"),"_m","")&amp;IF((AL19&lt;&gt;"Xp"),"_p","")&amp;IF((AL19&lt;&gt;"Xn"),"_n","")&amp;", ")))</f>
        <v>GRECO, </v>
      </c>
      <c r="CA19" s="1" t="str">
        <f aca="false">IF((AM19="X")+(AM19="Gn")+(AM19="C")+(AM18="Gn")&gt;0,"",IF(((AM19&lt;&gt;"Xm"))+((AM19&lt;&gt;"Xp"))+((AM19&lt;&gt;"Xn"))=0,"",IF(((AM19&lt;&gt;"Xm"))+((AM19&lt;&gt;"Xp"))+((AM19&lt;&gt;"Xn"))=3,AM$3&amp;", ",AM$3&amp;IF((AM19&lt;&gt;"Xm"),"_m","")&amp;IF((AM19&lt;&gt;"Xp"),"_p","")&amp;IF((AM19&lt;&gt;"Xn"),"_n","")&amp;", ")))</f>
        <v>SANNA, </v>
      </c>
      <c r="CB19" s="1" t="str">
        <f aca="false">IF((AN19="X")+(AN19="Gn")+(AN19="C")+(AN18="Gn")&gt;0,"",IF(((AN19&lt;&gt;"Xm"))+((AN19&lt;&gt;"Xp"))+((AN19&lt;&gt;"Xn"))=0,"",IF(((AN19&lt;&gt;"Xm"))+((AN19&lt;&gt;"Xp"))+((AN19&lt;&gt;"Xn"))=3,AN$3&amp;", ",AN$3&amp;IF((AN19&lt;&gt;"Xm"),"_m","")&amp;IF((AN19&lt;&gt;"Xp"),"_p","")&amp;IF((AN19&lt;&gt;"Xn"),"_n","")&amp;", ")))</f>
        <v/>
      </c>
      <c r="CD19" s="1" t="str">
        <f aca="false">IF((AA19="X")+(AA19="Gn")+(AA19="C")+(AA18="Gn")&gt;0,"",IF(((AA19&lt;&gt;"Xm")*(COUNTIFS($C$3:$P$3,"MAT",$C19:$P19,AA$3)=0)*(COUNTIFS($C$3:$P$3,"NOTTE",$C19:$P19,AA$3)=0))+((AA19&lt;&gt;"Xp")*(COUNTIFS($C$3:$P$3,"POM",$C19:$P19,AA$3)=0)*(COUNTIFS($C$3:$P$3,"NOTTE",$C19:$P19,AA$3)=0))+((AA19&lt;&gt;"Xn")*(COUNTIFS($C$3:$P$3,"MAT",$C19:$P19,AA$3)=0)*(COUNTIFS($C$3:$P$3,"POM",$C19:$P19,AA$3)=0)*(COUNTIFS($C$3:$P$3,"NOTTE",$C19:$P19,AA$3)=0))=0,"",IF(((AA19&lt;&gt;"Xm")*(COUNTIFS($C$3:$P$3,"MAT",$C19:$P19,AA$3)=0)*(COUNTIFS($C$3:$P$3,"NOTTE",$C19:$P19,AA$3)=0))+((AA19&lt;&gt;"Xp")*(COUNTIFS($C$3:$P$3,"POM",$C19:$P19,AA$3)=0)*(COUNTIFS($C$3:$P$3,"NOTTE",$C19:$P19,AA$3)=0))+((AA19&lt;&gt;"Xn")*(COUNTIFS($C$3:$P$3,"MAT",$C19:$P19,AA$3)=0)*(COUNTIFS($C$3:$P$3,"POM",$C19:$P19,AA$3)=0)*(COUNTIFS($C$3:$P$3,"NOTTE",$C19:$P19,AA$3)=0))=3,AA$3&amp;", ",AA$3&amp;IF((AA19&lt;&gt;"Xm")*(COUNTIFS($C$3:$P$3,"MAT",$C19:$P19,AA$3)=0)*(COUNTIFS($C$3:$P$3,"NOTTE",$C19:$P19,AA$3)=0),"_m","")&amp;IF((AA19&lt;&gt;"Xp")*(COUNTIFS($C$3:$P$3,"POM",$C19:$P19,AA$3)=0)*(COUNTIFS($C$3:$P$3,"NOTTE",$C19:$P19,AA$3)=0),"_p","")&amp;IF((AA19&lt;&gt;"Xn")*(COUNTIFS($C$3:$P$3,"MAT",$C19:$P19,AA$3)=0)*(COUNTIFS($C$3:$P$3,"POM",$C19:$P19,AA$3)=0)*(COUNTIFS($C$3:$P$3,"NOTTE",$C19:$P19,AA$3)=0),"_n","")&amp;", ")))</f>
        <v/>
      </c>
      <c r="CE19" s="1" t="str">
        <f aca="false">IF((AB19="X")+(AB19="Gn")+(AB19="C")+(AB18="Gn")&gt;0,"",IF(((AB19&lt;&gt;"Xm")*(COUNTIFS($C$3:$P$3,"MAT",$C19:$P19,AB$3)=0)*(COUNTIFS($C$3:$P$3,"NOTTE",$C19:$P19,AB$3)=0))+((AB19&lt;&gt;"Xp")*(COUNTIFS($C$3:$P$3,"POM",$C19:$P19,AB$3)=0)*(COUNTIFS($C$3:$P$3,"NOTTE",$C19:$P19,AB$3)=0))+((AB19&lt;&gt;"Xn")*(COUNTIFS($C$3:$P$3,"MAT",$C19:$P19,AB$3)=0)*(COUNTIFS($C$3:$P$3,"POM",$C19:$P19,AB$3)=0)*(COUNTIFS($C$3:$P$3,"NOTTE",$C19:$P19,AB$3)=0))=0,"",IF(((AB19&lt;&gt;"Xm")*(COUNTIFS($C$3:$P$3,"MAT",$C19:$P19,AB$3)=0)*(COUNTIFS($C$3:$P$3,"NOTTE",$C19:$P19,AB$3)=0))+((AB19&lt;&gt;"Xp")*(COUNTIFS($C$3:$P$3,"POM",$C19:$P19,AB$3)=0)*(COUNTIFS($C$3:$P$3,"NOTTE",$C19:$P19,AB$3)=0))+((AB19&lt;&gt;"Xn")*(COUNTIFS($C$3:$P$3,"MAT",$C19:$P19,AB$3)=0)*(COUNTIFS($C$3:$P$3,"POM",$C19:$P19,AB$3)=0)*(COUNTIFS($C$3:$P$3,"NOTTE",$C19:$P19,AB$3)=0))=3,AB$3&amp;", ",AB$3&amp;IF((AB19&lt;&gt;"Xm")*(COUNTIFS($C$3:$P$3,"MAT",$C19:$P19,AB$3)=0)*(COUNTIFS($C$3:$P$3,"NOTTE",$C19:$P19,AB$3)=0),"_m","")&amp;IF((AB19&lt;&gt;"Xp")*(COUNTIFS($C$3:$P$3,"POM",$C19:$P19,AB$3)=0)*(COUNTIFS($C$3:$P$3,"NOTTE",$C19:$P19,AB$3)=0),"_p","")&amp;IF((AB19&lt;&gt;"Xn")*(COUNTIFS($C$3:$P$3,"MAT",$C19:$P19,AB$3)=0)*(COUNTIFS($C$3:$P$3,"POM",$C19:$P19,AB$3)=0)*(COUNTIFS($C$3:$P$3,"NOTTE",$C19:$P19,AB$3)=0),"_n","")&amp;", ")))</f>
        <v/>
      </c>
      <c r="CF19" s="1" t="str">
        <f aca="false">IF((AC19="X")+(AC19="Gn")+(AC19="C")+(AC18="Gn")&gt;0,"",IF(((AC19&lt;&gt;"Xm")*(COUNTIFS($C$3:$P$3,"MAT",$C19:$P19,AC$3)=0)*(COUNTIFS($C$3:$P$3,"NOTTE",$C19:$P19,AC$3)=0))+((AC19&lt;&gt;"Xp")*(COUNTIFS($C$3:$P$3,"POM",$C19:$P19,AC$3)=0)*(COUNTIFS($C$3:$P$3,"NOTTE",$C19:$P19,AC$3)=0))+((AC19&lt;&gt;"Xn")*(COUNTIFS($C$3:$P$3,"MAT",$C19:$P19,AC$3)=0)*(COUNTIFS($C$3:$P$3,"POM",$C19:$P19,AC$3)=0)*(COUNTIFS($C$3:$P$3,"NOTTE",$C19:$P19,AC$3)=0))=0,"",IF(((AC19&lt;&gt;"Xm")*(COUNTIFS($C$3:$P$3,"MAT",$C19:$P19,AC$3)=0)*(COUNTIFS($C$3:$P$3,"NOTTE",$C19:$P19,AC$3)=0))+((AC19&lt;&gt;"Xp")*(COUNTIFS($C$3:$P$3,"POM",$C19:$P19,AC$3)=0)*(COUNTIFS($C$3:$P$3,"NOTTE",$C19:$P19,AC$3)=0))+((AC19&lt;&gt;"Xn")*(COUNTIFS($C$3:$P$3,"MAT",$C19:$P19,AC$3)=0)*(COUNTIFS($C$3:$P$3,"POM",$C19:$P19,AC$3)=0)*(COUNTIFS($C$3:$P$3,"NOTTE",$C19:$P19,AC$3)=0))=3,AC$3&amp;", ",AC$3&amp;IF((AC19&lt;&gt;"Xm")*(COUNTIFS($C$3:$P$3,"MAT",$C19:$P19,AC$3)=0)*(COUNTIFS($C$3:$P$3,"NOTTE",$C19:$P19,AC$3)=0),"_m","")&amp;IF((AC19&lt;&gt;"Xp")*(COUNTIFS($C$3:$P$3,"POM",$C19:$P19,AC$3)=0)*(COUNTIFS($C$3:$P$3,"NOTTE",$C19:$P19,AC$3)=0),"_p","")&amp;IF((AC19&lt;&gt;"Xn")*(COUNTIFS($C$3:$P$3,"MAT",$C19:$P19,AC$3)=0)*(COUNTIFS($C$3:$P$3,"POM",$C19:$P19,AC$3)=0)*(COUNTIFS($C$3:$P$3,"NOTTE",$C19:$P19,AC$3)=0),"_n","")&amp;", ")))</f>
        <v/>
      </c>
      <c r="CG19" s="1" t="str">
        <f aca="false">IF((AD19="X")+(AD19="Gn")+(AD19="C")+(AD18="Gn")&gt;0,"",IF(((AD19&lt;&gt;"Xm")*(COUNTIFS($C$3:$P$3,"MAT",$C19:$P19,AD$3)=0)*(COUNTIFS($C$3:$P$3,"NOTTE",$C19:$P19,AD$3)=0))+((AD19&lt;&gt;"Xp")*(COUNTIFS($C$3:$P$3,"POM",$C19:$P19,AD$3)=0)*(COUNTIFS($C$3:$P$3,"NOTTE",$C19:$P19,AD$3)=0))+((AD19&lt;&gt;"Xn")*(COUNTIFS($C$3:$P$3,"MAT",$C19:$P19,AD$3)=0)*(COUNTIFS($C$3:$P$3,"POM",$C19:$P19,AD$3)=0)*(COUNTIFS($C$3:$P$3,"NOTTE",$C19:$P19,AD$3)=0))=0,"",IF(((AD19&lt;&gt;"Xm")*(COUNTIFS($C$3:$P$3,"MAT",$C19:$P19,AD$3)=0)*(COUNTIFS($C$3:$P$3,"NOTTE",$C19:$P19,AD$3)=0))+((AD19&lt;&gt;"Xp")*(COUNTIFS($C$3:$P$3,"POM",$C19:$P19,AD$3)=0)*(COUNTIFS($C$3:$P$3,"NOTTE",$C19:$P19,AD$3)=0))+((AD19&lt;&gt;"Xn")*(COUNTIFS($C$3:$P$3,"MAT",$C19:$P19,AD$3)=0)*(COUNTIFS($C$3:$P$3,"POM",$C19:$P19,AD$3)=0)*(COUNTIFS($C$3:$P$3,"NOTTE",$C19:$P19,AD$3)=0))=3,AD$3&amp;", ",AD$3&amp;IF((AD19&lt;&gt;"Xm")*(COUNTIFS($C$3:$P$3,"MAT",$C19:$P19,AD$3)=0)*(COUNTIFS($C$3:$P$3,"NOTTE",$C19:$P19,AD$3)=0),"_m","")&amp;IF((AD19&lt;&gt;"Xp")*(COUNTIFS($C$3:$P$3,"POM",$C19:$P19,AD$3)=0)*(COUNTIFS($C$3:$P$3,"NOTTE",$C19:$P19,AD$3)=0),"_p","")&amp;IF((AD19&lt;&gt;"Xn")*(COUNTIFS($C$3:$P$3,"MAT",$C19:$P19,AD$3)=0)*(COUNTIFS($C$3:$P$3,"POM",$C19:$P19,AD$3)=0)*(COUNTIFS($C$3:$P$3,"NOTTE",$C19:$P19,AD$3)=0),"_n","")&amp;", ")))</f>
        <v/>
      </c>
      <c r="CH19" s="1" t="str">
        <f aca="false">IF((AE19="X")+(AE19="Gn")+(AE19="C")+(AE18="Gn")&gt;0,"",IF(((AE19&lt;&gt;"Xm")*(COUNTIFS($C$3:$P$3,"MAT",$C19:$P19,AE$3)=0)*(COUNTIFS($C$3:$P$3,"NOTTE",$C19:$P19,AE$3)=0))+((AE19&lt;&gt;"Xp")*(COUNTIFS($C$3:$P$3,"POM",$C19:$P19,AE$3)=0)*(COUNTIFS($C$3:$P$3,"NOTTE",$C19:$P19,AE$3)=0))+((AE19&lt;&gt;"Xn")*(COUNTIFS($C$3:$P$3,"MAT",$C19:$P19,AE$3)=0)*(COUNTIFS($C$3:$P$3,"POM",$C19:$P19,AE$3)=0)*(COUNTIFS($C$3:$P$3,"NOTTE",$C19:$P19,AE$3)=0))=0,"",IF(((AE19&lt;&gt;"Xm")*(COUNTIFS($C$3:$P$3,"MAT",$C19:$P19,AE$3)=0)*(COUNTIFS($C$3:$P$3,"NOTTE",$C19:$P19,AE$3)=0))+((AE19&lt;&gt;"Xp")*(COUNTIFS($C$3:$P$3,"POM",$C19:$P19,AE$3)=0)*(COUNTIFS($C$3:$P$3,"NOTTE",$C19:$P19,AE$3)=0))+((AE19&lt;&gt;"Xn")*(COUNTIFS($C$3:$P$3,"MAT",$C19:$P19,AE$3)=0)*(COUNTIFS($C$3:$P$3,"POM",$C19:$P19,AE$3)=0)*(COUNTIFS($C$3:$P$3,"NOTTE",$C19:$P19,AE$3)=0))=3,AE$3&amp;", ",AE$3&amp;IF((AE19&lt;&gt;"Xm")*(COUNTIFS($C$3:$P$3,"MAT",$C19:$P19,AE$3)=0)*(COUNTIFS($C$3:$P$3,"NOTTE",$C19:$P19,AE$3)=0),"_m","")&amp;IF((AE19&lt;&gt;"Xp")*(COUNTIFS($C$3:$P$3,"POM",$C19:$P19,AE$3)=0)*(COUNTIFS($C$3:$P$3,"NOTTE",$C19:$P19,AE$3)=0),"_p","")&amp;IF((AE19&lt;&gt;"Xn")*(COUNTIFS($C$3:$P$3,"MAT",$C19:$P19,AE$3)=0)*(COUNTIFS($C$3:$P$3,"POM",$C19:$P19,AE$3)=0)*(COUNTIFS($C$3:$P$3,"NOTTE",$C19:$P19,AE$3)=0),"_n","")&amp;", ")))</f>
        <v/>
      </c>
      <c r="CI19" s="1" t="str">
        <f aca="false">IF((AF19="X")+(AF19="Gn")+(AF19="C")+(AF18="Gn")&gt;0,"",IF(((AF19&lt;&gt;"Xm")*(COUNTIFS($C$3:$P$3,"MAT",$C19:$P19,AF$3)=0)*(COUNTIFS($C$3:$P$3,"NOTTE",$C19:$P19,AF$3)=0))+((AF19&lt;&gt;"Xp")*(COUNTIFS($C$3:$P$3,"POM",$C19:$P19,AF$3)=0)*(COUNTIFS($C$3:$P$3,"NOTTE",$C19:$P19,AF$3)=0))+((AF19&lt;&gt;"Xn")*(COUNTIFS($C$3:$P$3,"MAT",$C19:$P19,AF$3)=0)*(COUNTIFS($C$3:$P$3,"POM",$C19:$P19,AF$3)=0)*(COUNTIFS($C$3:$P$3,"NOTTE",$C19:$P19,AF$3)=0))=0,"",IF(((AF19&lt;&gt;"Xm")*(COUNTIFS($C$3:$P$3,"MAT",$C19:$P19,AF$3)=0)*(COUNTIFS($C$3:$P$3,"NOTTE",$C19:$P19,AF$3)=0))+((AF19&lt;&gt;"Xp")*(COUNTIFS($C$3:$P$3,"POM",$C19:$P19,AF$3)=0)*(COUNTIFS($C$3:$P$3,"NOTTE",$C19:$P19,AF$3)=0))+((AF19&lt;&gt;"Xn")*(COUNTIFS($C$3:$P$3,"MAT",$C19:$P19,AF$3)=0)*(COUNTIFS($C$3:$P$3,"POM",$C19:$P19,AF$3)=0)*(COUNTIFS($C$3:$P$3,"NOTTE",$C19:$P19,AF$3)=0))=3,AF$3&amp;", ",AF$3&amp;IF((AF19&lt;&gt;"Xm")*(COUNTIFS($C$3:$P$3,"MAT",$C19:$P19,AF$3)=0)*(COUNTIFS($C$3:$P$3,"NOTTE",$C19:$P19,AF$3)=0),"_m","")&amp;IF((AF19&lt;&gt;"Xp")*(COUNTIFS($C$3:$P$3,"POM",$C19:$P19,AF$3)=0)*(COUNTIFS($C$3:$P$3,"NOTTE",$C19:$P19,AF$3)=0),"_p","")&amp;IF((AF19&lt;&gt;"Xn")*(COUNTIFS($C$3:$P$3,"MAT",$C19:$P19,AF$3)=0)*(COUNTIFS($C$3:$P$3,"POM",$C19:$P19,AF$3)=0)*(COUNTIFS($C$3:$P$3,"NOTTE",$C19:$P19,AF$3)=0),"_n","")&amp;", ")))</f>
        <v>VERDI_m, </v>
      </c>
      <c r="CJ19" s="1" t="str">
        <f aca="false">IF((AG19="X")+(AG19="Gn")+(AG19="C")+(AG18="Gn")&gt;0,"",IF(((AG19&lt;&gt;"Xm")*(COUNTIFS($C$3:$P$3,"MAT",$C19:$P19,AG$3)=0)*(COUNTIFS($C$3:$P$3,"NOTTE",$C19:$P19,AG$3)=0))+((AG19&lt;&gt;"Xp")*(COUNTIFS($C$3:$P$3,"POM",$C19:$P19,AG$3)=0)*(COUNTIFS($C$3:$P$3,"NOTTE",$C19:$P19,AG$3)=0))+((AG19&lt;&gt;"Xn")*(COUNTIFS($C$3:$P$3,"MAT",$C19:$P19,AG$3)=0)*(COUNTIFS($C$3:$P$3,"POM",$C19:$P19,AG$3)=0)*(COUNTIFS($C$3:$P$3,"NOTTE",$C19:$P19,AG$3)=0))=0,"",IF(((AG19&lt;&gt;"Xm")*(COUNTIFS($C$3:$P$3,"MAT",$C19:$P19,AG$3)=0)*(COUNTIFS($C$3:$P$3,"NOTTE",$C19:$P19,AG$3)=0))+((AG19&lt;&gt;"Xp")*(COUNTIFS($C$3:$P$3,"POM",$C19:$P19,AG$3)=0)*(COUNTIFS($C$3:$P$3,"NOTTE",$C19:$P19,AG$3)=0))+((AG19&lt;&gt;"Xn")*(COUNTIFS($C$3:$P$3,"MAT",$C19:$P19,AG$3)=0)*(COUNTIFS($C$3:$P$3,"POM",$C19:$P19,AG$3)=0)*(COUNTIFS($C$3:$P$3,"NOTTE",$C19:$P19,AG$3)=0))=3,AG$3&amp;", ",AG$3&amp;IF((AG19&lt;&gt;"Xm")*(COUNTIFS($C$3:$P$3,"MAT",$C19:$P19,AG$3)=0)*(COUNTIFS($C$3:$P$3,"NOTTE",$C19:$P19,AG$3)=0),"_m","")&amp;IF((AG19&lt;&gt;"Xp")*(COUNTIFS($C$3:$P$3,"POM",$C19:$P19,AG$3)=0)*(COUNTIFS($C$3:$P$3,"NOTTE",$C19:$P19,AG$3)=0),"_p","")&amp;IF((AG19&lt;&gt;"Xn")*(COUNTIFS($C$3:$P$3,"MAT",$C19:$P19,AG$3)=0)*(COUNTIFS($C$3:$P$3,"POM",$C19:$P19,AG$3)=0)*(COUNTIFS($C$3:$P$3,"NOTTE",$C19:$P19,AG$3)=0),"_n","")&amp;", ")))</f>
        <v>HU, </v>
      </c>
      <c r="CK19" s="1" t="str">
        <f aca="false">IF((AH19="X")+(AH19="Gn")+(AH19="C")+(AH18="Gn")&gt;0,"",IF(((AH19&lt;&gt;"Xm")*(COUNTIFS($C$3:$P$3,"MAT",$C19:$P19,AH$3)=0)*(COUNTIFS($C$3:$P$3,"NOTTE",$C19:$P19,AH$3)=0))+((AH19&lt;&gt;"Xp")*(COUNTIFS($C$3:$P$3,"POM",$C19:$P19,AH$3)=0)*(COUNTIFS($C$3:$P$3,"NOTTE",$C19:$P19,AH$3)=0))+((AH19&lt;&gt;"Xn")*(COUNTIFS($C$3:$P$3,"MAT",$C19:$P19,AH$3)=0)*(COUNTIFS($C$3:$P$3,"POM",$C19:$P19,AH$3)=0)*(COUNTIFS($C$3:$P$3,"NOTTE",$C19:$P19,AH$3)=0))=0,"",IF(((AH19&lt;&gt;"Xm")*(COUNTIFS($C$3:$P$3,"MAT",$C19:$P19,AH$3)=0)*(COUNTIFS($C$3:$P$3,"NOTTE",$C19:$P19,AH$3)=0))+((AH19&lt;&gt;"Xp")*(COUNTIFS($C$3:$P$3,"POM",$C19:$P19,AH$3)=0)*(COUNTIFS($C$3:$P$3,"NOTTE",$C19:$P19,AH$3)=0))+((AH19&lt;&gt;"Xn")*(COUNTIFS($C$3:$P$3,"MAT",$C19:$P19,AH$3)=0)*(COUNTIFS($C$3:$P$3,"POM",$C19:$P19,AH$3)=0)*(COUNTIFS($C$3:$P$3,"NOTTE",$C19:$P19,AH$3)=0))=3,AH$3&amp;", ",AH$3&amp;IF((AH19&lt;&gt;"Xm")*(COUNTIFS($C$3:$P$3,"MAT",$C19:$P19,AH$3)=0)*(COUNTIFS($C$3:$P$3,"NOTTE",$C19:$P19,AH$3)=0),"_m","")&amp;IF((AH19&lt;&gt;"Xp")*(COUNTIFS($C$3:$P$3,"POM",$C19:$P19,AH$3)=0)*(COUNTIFS($C$3:$P$3,"NOTTE",$C19:$P19,AH$3)=0),"_p","")&amp;IF((AH19&lt;&gt;"Xn")*(COUNTIFS($C$3:$P$3,"MAT",$C19:$P19,AH$3)=0)*(COUNTIFS($C$3:$P$3,"POM",$C19:$P19,AH$3)=0)*(COUNTIFS($C$3:$P$3,"NOTTE",$C19:$P19,AH$3)=0),"_n","")&amp;", ")))</f>
        <v/>
      </c>
      <c r="CL19" s="1" t="str">
        <f aca="false">IF((AI19="X")+(AI19="Gn")+(AI19="C")+(AI18="Gn")&gt;0,"",IF(((AI19&lt;&gt;"Xm")*(COUNTIFS($C$3:$P$3,"MAT",$C19:$P19,AI$3)=0)*(COUNTIFS($C$3:$P$3,"NOTTE",$C19:$P19,AI$3)=0))+((AI19&lt;&gt;"Xp")*(COUNTIFS($C$3:$P$3,"POM",$C19:$P19,AI$3)=0)*(COUNTIFS($C$3:$P$3,"NOTTE",$C19:$P19,AI$3)=0))+((AI19&lt;&gt;"Xn")*(COUNTIFS($C$3:$P$3,"MAT",$C19:$P19,AI$3)=0)*(COUNTIFS($C$3:$P$3,"POM",$C19:$P19,AI$3)=0)*(COUNTIFS($C$3:$P$3,"NOTTE",$C19:$P19,AI$3)=0))=0,"",IF(((AI19&lt;&gt;"Xm")*(COUNTIFS($C$3:$P$3,"MAT",$C19:$P19,AI$3)=0)*(COUNTIFS($C$3:$P$3,"NOTTE",$C19:$P19,AI$3)=0))+((AI19&lt;&gt;"Xp")*(COUNTIFS($C$3:$P$3,"POM",$C19:$P19,AI$3)=0)*(COUNTIFS($C$3:$P$3,"NOTTE",$C19:$P19,AI$3)=0))+((AI19&lt;&gt;"Xn")*(COUNTIFS($C$3:$P$3,"MAT",$C19:$P19,AI$3)=0)*(COUNTIFS($C$3:$P$3,"POM",$C19:$P19,AI$3)=0)*(COUNTIFS($C$3:$P$3,"NOTTE",$C19:$P19,AI$3)=0))=3,AI$3&amp;", ",AI$3&amp;IF((AI19&lt;&gt;"Xm")*(COUNTIFS($C$3:$P$3,"MAT",$C19:$P19,AI$3)=0)*(COUNTIFS($C$3:$P$3,"NOTTE",$C19:$P19,AI$3)=0),"_m","")&amp;IF((AI19&lt;&gt;"Xp")*(COUNTIFS($C$3:$P$3,"POM",$C19:$P19,AI$3)=0)*(COUNTIFS($C$3:$P$3,"NOTTE",$C19:$P19,AI$3)=0),"_p","")&amp;IF((AI19&lt;&gt;"Xn")*(COUNTIFS($C$3:$P$3,"MAT",$C19:$P19,AI$3)=0)*(COUNTIFS($C$3:$P$3,"POM",$C19:$P19,AI$3)=0)*(COUNTIFS($C$3:$P$3,"NOTTE",$C19:$P19,AI$3)=0),"_n","")&amp;", ")))</f>
        <v/>
      </c>
      <c r="CM19" s="1" t="str">
        <f aca="false">IF((AJ19="X")+(AJ19="Gn")+(AJ19="C")+(AJ18="Gn")&gt;0,"",IF(((AJ19&lt;&gt;"Xm")*(COUNTIFS($C$3:$P$3,"MAT",$C19:$P19,AJ$3)=0)*(COUNTIFS($C$3:$P$3,"NOTTE",$C19:$P19,AJ$3)=0))+((AJ19&lt;&gt;"Xp")*(COUNTIFS($C$3:$P$3,"POM",$C19:$P19,AJ$3)=0)*(COUNTIFS($C$3:$P$3,"NOTTE",$C19:$P19,AJ$3)=0))+((AJ19&lt;&gt;"Xn")*(COUNTIFS($C$3:$P$3,"MAT",$C19:$P19,AJ$3)=0)*(COUNTIFS($C$3:$P$3,"POM",$C19:$P19,AJ$3)=0)*(COUNTIFS($C$3:$P$3,"NOTTE",$C19:$P19,AJ$3)=0))=0,"",IF(((AJ19&lt;&gt;"Xm")*(COUNTIFS($C$3:$P$3,"MAT",$C19:$P19,AJ$3)=0)*(COUNTIFS($C$3:$P$3,"NOTTE",$C19:$P19,AJ$3)=0))+((AJ19&lt;&gt;"Xp")*(COUNTIFS($C$3:$P$3,"POM",$C19:$P19,AJ$3)=0)*(COUNTIFS($C$3:$P$3,"NOTTE",$C19:$P19,AJ$3)=0))+((AJ19&lt;&gt;"Xn")*(COUNTIFS($C$3:$P$3,"MAT",$C19:$P19,AJ$3)=0)*(COUNTIFS($C$3:$P$3,"POM",$C19:$P19,AJ$3)=0)*(COUNTIFS($C$3:$P$3,"NOTTE",$C19:$P19,AJ$3)=0))=3,AJ$3&amp;", ",AJ$3&amp;IF((AJ19&lt;&gt;"Xm")*(COUNTIFS($C$3:$P$3,"MAT",$C19:$P19,AJ$3)=0)*(COUNTIFS($C$3:$P$3,"NOTTE",$C19:$P19,AJ$3)=0),"_m","")&amp;IF((AJ19&lt;&gt;"Xp")*(COUNTIFS($C$3:$P$3,"POM",$C19:$P19,AJ$3)=0)*(COUNTIFS($C$3:$P$3,"NOTTE",$C19:$P19,AJ$3)=0),"_p","")&amp;IF((AJ19&lt;&gt;"Xn")*(COUNTIFS($C$3:$P$3,"MAT",$C19:$P19,AJ$3)=0)*(COUNTIFS($C$3:$P$3,"POM",$C19:$P19,AJ$3)=0)*(COUNTIFS($C$3:$P$3,"NOTTE",$C19:$P19,AJ$3)=0),"_n","")&amp;", ")))</f>
        <v/>
      </c>
      <c r="CN19" s="1" t="str">
        <f aca="false">IF((AK19="X")+(AK19="Gn")+(AK19="C")+(AK18="Gn")&gt;0,"",IF(((AK19&lt;&gt;"Xm")*(COUNTIFS($C$3:$P$3,"MAT",$C19:$P19,AK$3)=0)*(COUNTIFS($C$3:$P$3,"NOTTE",$C19:$P19,AK$3)=0))+((AK19&lt;&gt;"Xp")*(COUNTIFS($C$3:$P$3,"POM",$C19:$P19,AK$3)=0)*(COUNTIFS($C$3:$P$3,"NOTTE",$C19:$P19,AK$3)=0))+((AK19&lt;&gt;"Xn")*(COUNTIFS($C$3:$P$3,"MAT",$C19:$P19,AK$3)=0)*(COUNTIFS($C$3:$P$3,"POM",$C19:$P19,AK$3)=0)*(COUNTIFS($C$3:$P$3,"NOTTE",$C19:$P19,AK$3)=0))=0,"",IF(((AK19&lt;&gt;"Xm")*(COUNTIFS($C$3:$P$3,"MAT",$C19:$P19,AK$3)=0)*(COUNTIFS($C$3:$P$3,"NOTTE",$C19:$P19,AK$3)=0))+((AK19&lt;&gt;"Xp")*(COUNTIFS($C$3:$P$3,"POM",$C19:$P19,AK$3)=0)*(COUNTIFS($C$3:$P$3,"NOTTE",$C19:$P19,AK$3)=0))+((AK19&lt;&gt;"Xn")*(COUNTIFS($C$3:$P$3,"MAT",$C19:$P19,AK$3)=0)*(COUNTIFS($C$3:$P$3,"POM",$C19:$P19,AK$3)=0)*(COUNTIFS($C$3:$P$3,"NOTTE",$C19:$P19,AK$3)=0))=3,AK$3&amp;", ",AK$3&amp;IF((AK19&lt;&gt;"Xm")*(COUNTIFS($C$3:$P$3,"MAT",$C19:$P19,AK$3)=0)*(COUNTIFS($C$3:$P$3,"NOTTE",$C19:$P19,AK$3)=0),"_m","")&amp;IF((AK19&lt;&gt;"Xp")*(COUNTIFS($C$3:$P$3,"POM",$C19:$P19,AK$3)=0)*(COUNTIFS($C$3:$P$3,"NOTTE",$C19:$P19,AK$3)=0),"_p","")&amp;IF((AK19&lt;&gt;"Xn")*(COUNTIFS($C$3:$P$3,"MAT",$C19:$P19,AK$3)=0)*(COUNTIFS($C$3:$P$3,"POM",$C19:$P19,AK$3)=0)*(COUNTIFS($C$3:$P$3,"NOTTE",$C19:$P19,AK$3)=0),"_n","")&amp;", ")))</f>
        <v/>
      </c>
      <c r="CO19" s="1" t="str">
        <f aca="false">IF((AL19="X")+(AL19="Gn")+(AL19="C")+(AL18="Gn")&gt;0,"",IF(((AL19&lt;&gt;"Xm")*(COUNTIFS($C$3:$P$3,"MAT",$C19:$P19,AL$3)=0)*(COUNTIFS($C$3:$P$3,"NOTTE",$C19:$P19,AL$3)=0))+((AL19&lt;&gt;"Xp")*(COUNTIFS($C$3:$P$3,"POM",$C19:$P19,AL$3)=0)*(COUNTIFS($C$3:$P$3,"NOTTE",$C19:$P19,AL$3)=0))+((AL19&lt;&gt;"Xn")*(COUNTIFS($C$3:$P$3,"MAT",$C19:$P19,AL$3)=0)*(COUNTIFS($C$3:$P$3,"POM",$C19:$P19,AL$3)=0)*(COUNTIFS($C$3:$P$3,"NOTTE",$C19:$P19,AL$3)=0))=0,"",IF(((AL19&lt;&gt;"Xm")*(COUNTIFS($C$3:$P$3,"MAT",$C19:$P19,AL$3)=0)*(COUNTIFS($C$3:$P$3,"NOTTE",$C19:$P19,AL$3)=0))+((AL19&lt;&gt;"Xp")*(COUNTIFS($C$3:$P$3,"POM",$C19:$P19,AL$3)=0)*(COUNTIFS($C$3:$P$3,"NOTTE",$C19:$P19,AL$3)=0))+((AL19&lt;&gt;"Xn")*(COUNTIFS($C$3:$P$3,"MAT",$C19:$P19,AL$3)=0)*(COUNTIFS($C$3:$P$3,"POM",$C19:$P19,AL$3)=0)*(COUNTIFS($C$3:$P$3,"NOTTE",$C19:$P19,AL$3)=0))=3,AL$3&amp;", ",AL$3&amp;IF((AL19&lt;&gt;"Xm")*(COUNTIFS($C$3:$P$3,"MAT",$C19:$P19,AL$3)=0)*(COUNTIFS($C$3:$P$3,"NOTTE",$C19:$P19,AL$3)=0),"_m","")&amp;IF((AL19&lt;&gt;"Xp")*(COUNTIFS($C$3:$P$3,"POM",$C19:$P19,AL$3)=0)*(COUNTIFS($C$3:$P$3,"NOTTE",$C19:$P19,AL$3)=0),"_p","")&amp;IF((AL19&lt;&gt;"Xn")*(COUNTIFS($C$3:$P$3,"MAT",$C19:$P19,AL$3)=0)*(COUNTIFS($C$3:$P$3,"POM",$C19:$P19,AL$3)=0)*(COUNTIFS($C$3:$P$3,"NOTTE",$C19:$P19,AL$3)=0),"_n","")&amp;", ")))</f>
        <v>GRECO, </v>
      </c>
      <c r="CP19" s="1" t="str">
        <f aca="false">IF((AM19="X")+(AM19="Gn")+(AM19="C")+(AM18="Gn")&gt;0,"",IF(((AM19&lt;&gt;"Xm")*(COUNTIFS($C$3:$P$3,"MAT",$C19:$P19,AM$3)=0)*(COUNTIFS($C$3:$P$3,"NOTTE",$C19:$P19,AM$3)=0))+((AM19&lt;&gt;"Xp")*(COUNTIFS($C$3:$P$3,"POM",$C19:$P19,AM$3)=0)*(COUNTIFS($C$3:$P$3,"NOTTE",$C19:$P19,AM$3)=0))+((AM19&lt;&gt;"Xn")*(COUNTIFS($C$3:$P$3,"MAT",$C19:$P19,AM$3)=0)*(COUNTIFS($C$3:$P$3,"POM",$C19:$P19,AM$3)=0)*(COUNTIFS($C$3:$P$3,"NOTTE",$C19:$P19,AM$3)=0))=0,"",IF(((AM19&lt;&gt;"Xm")*(COUNTIFS($C$3:$P$3,"MAT",$C19:$P19,AM$3)=0)*(COUNTIFS($C$3:$P$3,"NOTTE",$C19:$P19,AM$3)=0))+((AM19&lt;&gt;"Xp")*(COUNTIFS($C$3:$P$3,"POM",$C19:$P19,AM$3)=0)*(COUNTIFS($C$3:$P$3,"NOTTE",$C19:$P19,AM$3)=0))+((AM19&lt;&gt;"Xn")*(COUNTIFS($C$3:$P$3,"MAT",$C19:$P19,AM$3)=0)*(COUNTIFS($C$3:$P$3,"POM",$C19:$P19,AM$3)=0)*(COUNTIFS($C$3:$P$3,"NOTTE",$C19:$P19,AM$3)=0))=3,AM$3&amp;", ",AM$3&amp;IF((AM19&lt;&gt;"Xm")*(COUNTIFS($C$3:$P$3,"MAT",$C19:$P19,AM$3)=0)*(COUNTIFS($C$3:$P$3,"NOTTE",$C19:$P19,AM$3)=0),"_m","")&amp;IF((AM19&lt;&gt;"Xp")*(COUNTIFS($C$3:$P$3,"POM",$C19:$P19,AM$3)=0)*(COUNTIFS($C$3:$P$3,"NOTTE",$C19:$P19,AM$3)=0),"_p","")&amp;IF((AM19&lt;&gt;"Xn")*(COUNTIFS($C$3:$P$3,"MAT",$C19:$P19,AM$3)=0)*(COUNTIFS($C$3:$P$3,"POM",$C19:$P19,AM$3)=0)*(COUNTIFS($C$3:$P$3,"NOTTE",$C19:$P19,AM$3)=0),"_n","")&amp;", ")))</f>
        <v>SANNA_p, </v>
      </c>
      <c r="CQ19" s="1" t="str">
        <f aca="false">IF((AN19="X")+(AN19="Gn")+(AN19="C")+(AN18="Gn")&gt;0,"",IF(((AN19&lt;&gt;"Xm")*(COUNTIFS($C$3:$P$3,"MAT",$C19:$P19,AN$3)=0)*(COUNTIFS($C$3:$P$3,"NOTTE",$C19:$P19,AN$3)=0))+((AN19&lt;&gt;"Xp")*(COUNTIFS($C$3:$P$3,"POM",$C19:$P19,AN$3)=0)*(COUNTIFS($C$3:$P$3,"NOTTE",$C19:$P19,AN$3)=0))+((AN19&lt;&gt;"Xn")*(COUNTIFS($C$3:$P$3,"MAT",$C19:$P19,AN$3)=0)*(COUNTIFS($C$3:$P$3,"POM",$C19:$P19,AN$3)=0)*(COUNTIFS($C$3:$P$3,"NOTTE",$C19:$P19,AN$3)=0))=0,"",IF(((AN19&lt;&gt;"Xm")*(COUNTIFS($C$3:$P$3,"MAT",$C19:$P19,AN$3)=0)*(COUNTIFS($C$3:$P$3,"NOTTE",$C19:$P19,AN$3)=0))+((AN19&lt;&gt;"Xp")*(COUNTIFS($C$3:$P$3,"POM",$C19:$P19,AN$3)=0)*(COUNTIFS($C$3:$P$3,"NOTTE",$C19:$P19,AN$3)=0))+((AN19&lt;&gt;"Xn")*(COUNTIFS($C$3:$P$3,"MAT",$C19:$P19,AN$3)=0)*(COUNTIFS($C$3:$P$3,"POM",$C19:$P19,AN$3)=0)*(COUNTIFS($C$3:$P$3,"NOTTE",$C19:$P19,AN$3)=0))=3,AN$3&amp;", ",AN$3&amp;IF((AN19&lt;&gt;"Xm")*(COUNTIFS($C$3:$P$3,"MAT",$C19:$P19,AN$3)=0)*(COUNTIFS($C$3:$P$3,"NOTTE",$C19:$P19,AN$3)=0),"_m","")&amp;IF((AN19&lt;&gt;"Xp")*(COUNTIFS($C$3:$P$3,"POM",$C19:$P19,AN$3)=0)*(COUNTIFS($C$3:$P$3,"NOTTE",$C19:$P19,AN$3)=0),"_p","")&amp;IF((AN19&lt;&gt;"Xn")*(COUNTIFS($C$3:$P$3,"MAT",$C19:$P19,AN$3)=0)*(COUNTIFS($C$3:$P$3,"POM",$C19:$P19,AN$3)=0)*(COUNTIFS($C$3:$P$3,"NOTTE",$C19:$P19,AN$3)=0),"_n","")&amp;", ")))</f>
        <v/>
      </c>
    </row>
    <row r="20" customFormat="false" ht="15" hidden="false" customHeight="true" outlineLevel="0" collapsed="false">
      <c r="A20" s="15" t="str">
        <f aca="false">CHOOSE(WEEKDAY(DATE($B$1,$A$2,B20),2),"lunedì","martedì","mercoledì","giovedì","venerdì","sabato","domenica")</f>
        <v>martedì</v>
      </c>
      <c r="B20" s="15" t="n">
        <v>17</v>
      </c>
      <c r="C20" s="16" t="s">
        <v>24</v>
      </c>
      <c r="D20" s="16" t="s">
        <v>24</v>
      </c>
      <c r="E20" s="16" t="s">
        <v>26</v>
      </c>
      <c r="F20" s="16" t="s">
        <v>26</v>
      </c>
      <c r="G20" s="16" t="s">
        <v>33</v>
      </c>
      <c r="H20" s="16" t="s">
        <v>33</v>
      </c>
      <c r="I20" s="16" t="s">
        <v>34</v>
      </c>
      <c r="J20" s="16" t="s">
        <v>34</v>
      </c>
      <c r="K20" s="16" t="s">
        <v>28</v>
      </c>
      <c r="L20" s="16"/>
      <c r="M20" s="16" t="s">
        <v>35</v>
      </c>
      <c r="N20" s="16" t="s">
        <v>25</v>
      </c>
      <c r="O20" s="16" t="s">
        <v>25</v>
      </c>
      <c r="P20" s="16" t="s">
        <v>31</v>
      </c>
      <c r="Q20" s="16"/>
      <c r="R20" s="16" t="str">
        <f aca="false">IF(SUMPRODUCT(($C$3:$P$3&lt;&gt;"")*($C20:$P20&lt;&gt;"")*(COUNTIFS($C20:$P20,$C20:$P20,$C$3:$P$3,$C$3:$P$3)&gt;1))&gt;0,"X","")</f>
        <v/>
      </c>
      <c r="S20" s="17" t="str">
        <f aca="false"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ROSSI M, ROSSI L, GALLINA_m_p, RUSSO, VERDI, HU, MARINI, CONTI A, FERRARI, GRECO, SANNA</v>
      </c>
      <c r="T20" s="17" t="str">
        <f aca="false"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RUSSO, VERDI_p, HU, MARINI, SANNA_m</v>
      </c>
      <c r="Y20" s="15" t="str">
        <f aca="false">A20</f>
        <v>martedì</v>
      </c>
      <c r="Z20" s="15" t="n">
        <f aca="false">B20</f>
        <v>17</v>
      </c>
      <c r="AA20" s="16"/>
      <c r="AB20" s="16"/>
      <c r="AC20" s="16"/>
      <c r="AD20" s="16" t="s">
        <v>41</v>
      </c>
      <c r="AE20" s="16"/>
      <c r="AF20" s="16"/>
      <c r="AG20" s="16"/>
      <c r="AH20" s="16"/>
      <c r="AI20" s="16"/>
      <c r="AJ20" s="16"/>
      <c r="AK20" s="16"/>
      <c r="AL20" s="16"/>
      <c r="AM20" s="16"/>
      <c r="AN20" s="16" t="s">
        <v>51</v>
      </c>
      <c r="BD20" s="18" t="s">
        <v>54</v>
      </c>
      <c r="BO20" s="1" t="str">
        <f aca="false">IF((AA20="X")+(AA20="Gn")+(AA20="C")+(AA19="Gn")&gt;0,"",IF(((AA20&lt;&gt;"Xm"))+((AA20&lt;&gt;"Xp"))+((AA20&lt;&gt;"Xn"))=0,"",IF(((AA20&lt;&gt;"Xm"))+((AA20&lt;&gt;"Xp"))+((AA20&lt;&gt;"Xn"))=3,AA$3&amp;", ",AA$3&amp;IF((AA20&lt;&gt;"Xm"),"_m","")&amp;IF((AA20&lt;&gt;"Xp"),"_p","")&amp;IF((AA20&lt;&gt;"Xn"),"_n","")&amp;", ")))</f>
        <v/>
      </c>
      <c r="BP20" s="1" t="str">
        <f aca="false">IF((AB20="X")+(AB20="Gn")+(AB20="C")+(AB19="Gn")&gt;0,"",IF(((AB20&lt;&gt;"Xm"))+((AB20&lt;&gt;"Xp"))+((AB20&lt;&gt;"Xn"))=0,"",IF(((AB20&lt;&gt;"Xm"))+((AB20&lt;&gt;"Xp"))+((AB20&lt;&gt;"Xn"))=3,AB$3&amp;", ",AB$3&amp;IF((AB20&lt;&gt;"Xm"),"_m","")&amp;IF((AB20&lt;&gt;"Xp"),"_p","")&amp;IF((AB20&lt;&gt;"Xn"),"_n","")&amp;", ")))</f>
        <v>ROSSI M, </v>
      </c>
      <c r="BQ20" s="1" t="str">
        <f aca="false">IF((AC20="X")+(AC20="Gn")+(AC20="C")+(AC19="Gn")&gt;0,"",IF(((AC20&lt;&gt;"Xm"))+((AC20&lt;&gt;"Xp"))+((AC20&lt;&gt;"Xn"))=0,"",IF(((AC20&lt;&gt;"Xm"))+((AC20&lt;&gt;"Xp"))+((AC20&lt;&gt;"Xn"))=3,AC$3&amp;", ",AC$3&amp;IF((AC20&lt;&gt;"Xm"),"_m","")&amp;IF((AC20&lt;&gt;"Xp"),"_p","")&amp;IF((AC20&lt;&gt;"Xn"),"_n","")&amp;", ")))</f>
        <v>ROSSI L, </v>
      </c>
      <c r="BR20" s="1" t="str">
        <f aca="false">IF((AD20="X")+(AD20="Gn")+(AD20="C")+(AD19="Gn")&gt;0,"",IF(((AD20&lt;&gt;"Xm"))+((AD20&lt;&gt;"Xp"))+((AD20&lt;&gt;"Xn"))=0,"",IF(((AD20&lt;&gt;"Xm"))+((AD20&lt;&gt;"Xp"))+((AD20&lt;&gt;"Xn"))=3,AD$3&amp;", ",AD$3&amp;IF((AD20&lt;&gt;"Xm"),"_m","")&amp;IF((AD20&lt;&gt;"Xp"),"_p","")&amp;IF((AD20&lt;&gt;"Xn"),"_n","")&amp;", ")))</f>
        <v>GALLINA_m_p, </v>
      </c>
      <c r="BS20" s="1" t="str">
        <f aca="false">IF((AE20="X")+(AE20="Gn")+(AE20="C")+(AE19="Gn")&gt;0,"",IF(((AE20&lt;&gt;"Xm"))+((AE20&lt;&gt;"Xp"))+((AE20&lt;&gt;"Xn"))=0,"",IF(((AE20&lt;&gt;"Xm"))+((AE20&lt;&gt;"Xp"))+((AE20&lt;&gt;"Xn"))=3,AE$3&amp;", ",AE$3&amp;IF((AE20&lt;&gt;"Xm"),"_m","")&amp;IF((AE20&lt;&gt;"Xp"),"_p","")&amp;IF((AE20&lt;&gt;"Xn"),"_n","")&amp;", ")))</f>
        <v>RUSSO, </v>
      </c>
      <c r="BT20" s="1" t="str">
        <f aca="false">IF((AF20="X")+(AF20="Gn")+(AF20="C")+(AF19="Gn")&gt;0,"",IF(((AF20&lt;&gt;"Xm"))+((AF20&lt;&gt;"Xp"))+((AF20&lt;&gt;"Xn"))=0,"",IF(((AF20&lt;&gt;"Xm"))+((AF20&lt;&gt;"Xp"))+((AF20&lt;&gt;"Xn"))=3,AF$3&amp;", ",AF$3&amp;IF((AF20&lt;&gt;"Xm"),"_m","")&amp;IF((AF20&lt;&gt;"Xp"),"_p","")&amp;IF((AF20&lt;&gt;"Xn"),"_n","")&amp;", ")))</f>
        <v>VERDI, </v>
      </c>
      <c r="BU20" s="1" t="str">
        <f aca="false">IF((AG20="X")+(AG20="Gn")+(AG20="C")+(AG19="Gn")&gt;0,"",IF(((AG20&lt;&gt;"Xm"))+((AG20&lt;&gt;"Xp"))+((AG20&lt;&gt;"Xn"))=0,"",IF(((AG20&lt;&gt;"Xm"))+((AG20&lt;&gt;"Xp"))+((AG20&lt;&gt;"Xn"))=3,AG$3&amp;", ",AG$3&amp;IF((AG20&lt;&gt;"Xm"),"_m","")&amp;IF((AG20&lt;&gt;"Xp"),"_p","")&amp;IF((AG20&lt;&gt;"Xn"),"_n","")&amp;", ")))</f>
        <v>HU, </v>
      </c>
      <c r="BV20" s="1" t="str">
        <f aca="false">IF((AH20="X")+(AH20="Gn")+(AH20="C")+(AH19="Gn")&gt;0,"",IF(((AH20&lt;&gt;"Xm"))+((AH20&lt;&gt;"Xp"))+((AH20&lt;&gt;"Xn"))=0,"",IF(((AH20&lt;&gt;"Xm"))+((AH20&lt;&gt;"Xp"))+((AH20&lt;&gt;"Xn"))=3,AH$3&amp;", ",AH$3&amp;IF((AH20&lt;&gt;"Xm"),"_m","")&amp;IF((AH20&lt;&gt;"Xp"),"_p","")&amp;IF((AH20&lt;&gt;"Xn"),"_n","")&amp;", ")))</f>
        <v>MARINI, </v>
      </c>
      <c r="BW20" s="1" t="str">
        <f aca="false">IF((AI20="X")+(AI20="Gn")+(AI20="C")+(AI19="Gn")&gt;0,"",IF(((AI20&lt;&gt;"Xm"))+((AI20&lt;&gt;"Xp"))+((AI20&lt;&gt;"Xn"))=0,"",IF(((AI20&lt;&gt;"Xm"))+((AI20&lt;&gt;"Xp"))+((AI20&lt;&gt;"Xn"))=3,AI$3&amp;", ",AI$3&amp;IF((AI20&lt;&gt;"Xm"),"_m","")&amp;IF((AI20&lt;&gt;"Xp"),"_p","")&amp;IF((AI20&lt;&gt;"Xn"),"_n","")&amp;", ")))</f>
        <v>CONTI A, </v>
      </c>
      <c r="BX20" s="1" t="str">
        <f aca="false">IF((AJ20="X")+(AJ20="Gn")+(AJ20="C")+(AJ19="Gn")&gt;0,"",IF(((AJ20&lt;&gt;"Xm"))+((AJ20&lt;&gt;"Xp"))+((AJ20&lt;&gt;"Xn"))=0,"",IF(((AJ20&lt;&gt;"Xm"))+((AJ20&lt;&gt;"Xp"))+((AJ20&lt;&gt;"Xn"))=3,AJ$3&amp;", ",AJ$3&amp;IF((AJ20&lt;&gt;"Xm"),"_m","")&amp;IF((AJ20&lt;&gt;"Xp"),"_p","")&amp;IF((AJ20&lt;&gt;"Xn"),"_n","")&amp;", ")))</f>
        <v/>
      </c>
      <c r="BY20" s="1" t="str">
        <f aca="false">IF((AK20="X")+(AK20="Gn")+(AK20="C")+(AK19="Gn")&gt;0,"",IF(((AK20&lt;&gt;"Xm"))+((AK20&lt;&gt;"Xp"))+((AK20&lt;&gt;"Xn"))=0,"",IF(((AK20&lt;&gt;"Xm"))+((AK20&lt;&gt;"Xp"))+((AK20&lt;&gt;"Xn"))=3,AK$3&amp;", ",AK$3&amp;IF((AK20&lt;&gt;"Xm"),"_m","")&amp;IF((AK20&lt;&gt;"Xp"),"_p","")&amp;IF((AK20&lt;&gt;"Xn"),"_n","")&amp;", ")))</f>
        <v>FERRARI, </v>
      </c>
      <c r="BZ20" s="1" t="str">
        <f aca="false">IF((AL20="X")+(AL20="Gn")+(AL20="C")+(AL19="Gn")&gt;0,"",IF(((AL20&lt;&gt;"Xm"))+((AL20&lt;&gt;"Xp"))+((AL20&lt;&gt;"Xn"))=0,"",IF(((AL20&lt;&gt;"Xm"))+((AL20&lt;&gt;"Xp"))+((AL20&lt;&gt;"Xn"))=3,AL$3&amp;", ",AL$3&amp;IF((AL20&lt;&gt;"Xm"),"_m","")&amp;IF((AL20&lt;&gt;"Xp"),"_p","")&amp;IF((AL20&lt;&gt;"Xn"),"_n","")&amp;", ")))</f>
        <v>GRECO, </v>
      </c>
      <c r="CA20" s="1" t="str">
        <f aca="false">IF((AM20="X")+(AM20="Gn")+(AM20="C")+(AM19="Gn")&gt;0,"",IF(((AM20&lt;&gt;"Xm"))+((AM20&lt;&gt;"Xp"))+((AM20&lt;&gt;"Xn"))=0,"",IF(((AM20&lt;&gt;"Xm"))+((AM20&lt;&gt;"Xp"))+((AM20&lt;&gt;"Xn"))=3,AM$3&amp;", ",AM$3&amp;IF((AM20&lt;&gt;"Xm"),"_m","")&amp;IF((AM20&lt;&gt;"Xp"),"_p","")&amp;IF((AM20&lt;&gt;"Xn"),"_n","")&amp;", ")))</f>
        <v>SANNA, </v>
      </c>
      <c r="CB20" s="1" t="str">
        <f aca="false">IF((AN20="X")+(AN20="Gn")+(AN20="C")+(AN19="Gn")&gt;0,"",IF(((AN20&lt;&gt;"Xm"))+((AN20&lt;&gt;"Xp"))+((AN20&lt;&gt;"Xn"))=0,"",IF(((AN20&lt;&gt;"Xm"))+((AN20&lt;&gt;"Xp"))+((AN20&lt;&gt;"Xn"))=3,AN$3&amp;", ",AN$3&amp;IF((AN20&lt;&gt;"Xm"),"_m","")&amp;IF((AN20&lt;&gt;"Xp"),"_p","")&amp;IF((AN20&lt;&gt;"Xn"),"_n","")&amp;", ")))</f>
        <v/>
      </c>
      <c r="CD20" s="1" t="str">
        <f aca="false">IF((AA20="X")+(AA20="Gn")+(AA20="C")+(AA19="Gn")&gt;0,"",IF(((AA20&lt;&gt;"Xm")*(COUNTIFS($C$3:$P$3,"MAT",$C20:$P20,AA$3)=0)*(COUNTIFS($C$3:$P$3,"NOTTE",$C20:$P20,AA$3)=0))+((AA20&lt;&gt;"Xp")*(COUNTIFS($C$3:$P$3,"POM",$C20:$P20,AA$3)=0)*(COUNTIFS($C$3:$P$3,"NOTTE",$C20:$P20,AA$3)=0))+((AA20&lt;&gt;"Xn")*(COUNTIFS($C$3:$P$3,"MAT",$C20:$P20,AA$3)=0)*(COUNTIFS($C$3:$P$3,"POM",$C20:$P20,AA$3)=0)*(COUNTIFS($C$3:$P$3,"NOTTE",$C20:$P20,AA$3)=0))=0,"",IF(((AA20&lt;&gt;"Xm")*(COUNTIFS($C$3:$P$3,"MAT",$C20:$P20,AA$3)=0)*(COUNTIFS($C$3:$P$3,"NOTTE",$C20:$P20,AA$3)=0))+((AA20&lt;&gt;"Xp")*(COUNTIFS($C$3:$P$3,"POM",$C20:$P20,AA$3)=0)*(COUNTIFS($C$3:$P$3,"NOTTE",$C20:$P20,AA$3)=0))+((AA20&lt;&gt;"Xn")*(COUNTIFS($C$3:$P$3,"MAT",$C20:$P20,AA$3)=0)*(COUNTIFS($C$3:$P$3,"POM",$C20:$P20,AA$3)=0)*(COUNTIFS($C$3:$P$3,"NOTTE",$C20:$P20,AA$3)=0))=3,AA$3&amp;", ",AA$3&amp;IF((AA20&lt;&gt;"Xm")*(COUNTIFS($C$3:$P$3,"MAT",$C20:$P20,AA$3)=0)*(COUNTIFS($C$3:$P$3,"NOTTE",$C20:$P20,AA$3)=0),"_m","")&amp;IF((AA20&lt;&gt;"Xp")*(COUNTIFS($C$3:$P$3,"POM",$C20:$P20,AA$3)=0)*(COUNTIFS($C$3:$P$3,"NOTTE",$C20:$P20,AA$3)=0),"_p","")&amp;IF((AA20&lt;&gt;"Xn")*(COUNTIFS($C$3:$P$3,"MAT",$C20:$P20,AA$3)=0)*(COUNTIFS($C$3:$P$3,"POM",$C20:$P20,AA$3)=0)*(COUNTIFS($C$3:$P$3,"NOTTE",$C20:$P20,AA$3)=0),"_n","")&amp;", ")))</f>
        <v/>
      </c>
      <c r="CE20" s="1" t="str">
        <f aca="false">IF((AB20="X")+(AB20="Gn")+(AB20="C")+(AB19="Gn")&gt;0,"",IF(((AB20&lt;&gt;"Xm")*(COUNTIFS($C$3:$P$3,"MAT",$C20:$P20,AB$3)=0)*(COUNTIFS($C$3:$P$3,"NOTTE",$C20:$P20,AB$3)=0))+((AB20&lt;&gt;"Xp")*(COUNTIFS($C$3:$P$3,"POM",$C20:$P20,AB$3)=0)*(COUNTIFS($C$3:$P$3,"NOTTE",$C20:$P20,AB$3)=0))+((AB20&lt;&gt;"Xn")*(COUNTIFS($C$3:$P$3,"MAT",$C20:$P20,AB$3)=0)*(COUNTIFS($C$3:$P$3,"POM",$C20:$P20,AB$3)=0)*(COUNTIFS($C$3:$P$3,"NOTTE",$C20:$P20,AB$3)=0))=0,"",IF(((AB20&lt;&gt;"Xm")*(COUNTIFS($C$3:$P$3,"MAT",$C20:$P20,AB$3)=0)*(COUNTIFS($C$3:$P$3,"NOTTE",$C20:$P20,AB$3)=0))+((AB20&lt;&gt;"Xp")*(COUNTIFS($C$3:$P$3,"POM",$C20:$P20,AB$3)=0)*(COUNTIFS($C$3:$P$3,"NOTTE",$C20:$P20,AB$3)=0))+((AB20&lt;&gt;"Xn")*(COUNTIFS($C$3:$P$3,"MAT",$C20:$P20,AB$3)=0)*(COUNTIFS($C$3:$P$3,"POM",$C20:$P20,AB$3)=0)*(COUNTIFS($C$3:$P$3,"NOTTE",$C20:$P20,AB$3)=0))=3,AB$3&amp;", ",AB$3&amp;IF((AB20&lt;&gt;"Xm")*(COUNTIFS($C$3:$P$3,"MAT",$C20:$P20,AB$3)=0)*(COUNTIFS($C$3:$P$3,"NOTTE",$C20:$P20,AB$3)=0),"_m","")&amp;IF((AB20&lt;&gt;"Xp")*(COUNTIFS($C$3:$P$3,"POM",$C20:$P20,AB$3)=0)*(COUNTIFS($C$3:$P$3,"NOTTE",$C20:$P20,AB$3)=0),"_p","")&amp;IF((AB20&lt;&gt;"Xn")*(COUNTIFS($C$3:$P$3,"MAT",$C20:$P20,AB$3)=0)*(COUNTIFS($C$3:$P$3,"POM",$C20:$P20,AB$3)=0)*(COUNTIFS($C$3:$P$3,"NOTTE",$C20:$P20,AB$3)=0),"_n","")&amp;", ")))</f>
        <v/>
      </c>
      <c r="CF20" s="1" t="str">
        <f aca="false">IF((AC20="X")+(AC20="Gn")+(AC20="C")+(AC19="Gn")&gt;0,"",IF(((AC20&lt;&gt;"Xm")*(COUNTIFS($C$3:$P$3,"MAT",$C20:$P20,AC$3)=0)*(COUNTIFS($C$3:$P$3,"NOTTE",$C20:$P20,AC$3)=0))+((AC20&lt;&gt;"Xp")*(COUNTIFS($C$3:$P$3,"POM",$C20:$P20,AC$3)=0)*(COUNTIFS($C$3:$P$3,"NOTTE",$C20:$P20,AC$3)=0))+((AC20&lt;&gt;"Xn")*(COUNTIFS($C$3:$P$3,"MAT",$C20:$P20,AC$3)=0)*(COUNTIFS($C$3:$P$3,"POM",$C20:$P20,AC$3)=0)*(COUNTIFS($C$3:$P$3,"NOTTE",$C20:$P20,AC$3)=0))=0,"",IF(((AC20&lt;&gt;"Xm")*(COUNTIFS($C$3:$P$3,"MAT",$C20:$P20,AC$3)=0)*(COUNTIFS($C$3:$P$3,"NOTTE",$C20:$P20,AC$3)=0))+((AC20&lt;&gt;"Xp")*(COUNTIFS($C$3:$P$3,"POM",$C20:$P20,AC$3)=0)*(COUNTIFS($C$3:$P$3,"NOTTE",$C20:$P20,AC$3)=0))+((AC20&lt;&gt;"Xn")*(COUNTIFS($C$3:$P$3,"MAT",$C20:$P20,AC$3)=0)*(COUNTIFS($C$3:$P$3,"POM",$C20:$P20,AC$3)=0)*(COUNTIFS($C$3:$P$3,"NOTTE",$C20:$P20,AC$3)=0))=3,AC$3&amp;", ",AC$3&amp;IF((AC20&lt;&gt;"Xm")*(COUNTIFS($C$3:$P$3,"MAT",$C20:$P20,AC$3)=0)*(COUNTIFS($C$3:$P$3,"NOTTE",$C20:$P20,AC$3)=0),"_m","")&amp;IF((AC20&lt;&gt;"Xp")*(COUNTIFS($C$3:$P$3,"POM",$C20:$P20,AC$3)=0)*(COUNTIFS($C$3:$P$3,"NOTTE",$C20:$P20,AC$3)=0),"_p","")&amp;IF((AC20&lt;&gt;"Xn")*(COUNTIFS($C$3:$P$3,"MAT",$C20:$P20,AC$3)=0)*(COUNTIFS($C$3:$P$3,"POM",$C20:$P20,AC$3)=0)*(COUNTIFS($C$3:$P$3,"NOTTE",$C20:$P20,AC$3)=0),"_n","")&amp;", ")))</f>
        <v/>
      </c>
      <c r="CG20" s="1" t="str">
        <f aca="false">IF((AD20="X")+(AD20="Gn")+(AD20="C")+(AD19="Gn")&gt;0,"",IF(((AD20&lt;&gt;"Xm")*(COUNTIFS($C$3:$P$3,"MAT",$C20:$P20,AD$3)=0)*(COUNTIFS($C$3:$P$3,"NOTTE",$C20:$P20,AD$3)=0))+((AD20&lt;&gt;"Xp")*(COUNTIFS($C$3:$P$3,"POM",$C20:$P20,AD$3)=0)*(COUNTIFS($C$3:$P$3,"NOTTE",$C20:$P20,AD$3)=0))+((AD20&lt;&gt;"Xn")*(COUNTIFS($C$3:$P$3,"MAT",$C20:$P20,AD$3)=0)*(COUNTIFS($C$3:$P$3,"POM",$C20:$P20,AD$3)=0)*(COUNTIFS($C$3:$P$3,"NOTTE",$C20:$P20,AD$3)=0))=0,"",IF(((AD20&lt;&gt;"Xm")*(COUNTIFS($C$3:$P$3,"MAT",$C20:$P20,AD$3)=0)*(COUNTIFS($C$3:$P$3,"NOTTE",$C20:$P20,AD$3)=0))+((AD20&lt;&gt;"Xp")*(COUNTIFS($C$3:$P$3,"POM",$C20:$P20,AD$3)=0)*(COUNTIFS($C$3:$P$3,"NOTTE",$C20:$P20,AD$3)=0))+((AD20&lt;&gt;"Xn")*(COUNTIFS($C$3:$P$3,"MAT",$C20:$P20,AD$3)=0)*(COUNTIFS($C$3:$P$3,"POM",$C20:$P20,AD$3)=0)*(COUNTIFS($C$3:$P$3,"NOTTE",$C20:$P20,AD$3)=0))=3,AD$3&amp;", ",AD$3&amp;IF((AD20&lt;&gt;"Xm")*(COUNTIFS($C$3:$P$3,"MAT",$C20:$P20,AD$3)=0)*(COUNTIFS($C$3:$P$3,"NOTTE",$C20:$P20,AD$3)=0),"_m","")&amp;IF((AD20&lt;&gt;"Xp")*(COUNTIFS($C$3:$P$3,"POM",$C20:$P20,AD$3)=0)*(COUNTIFS($C$3:$P$3,"NOTTE",$C20:$P20,AD$3)=0),"_p","")&amp;IF((AD20&lt;&gt;"Xn")*(COUNTIFS($C$3:$P$3,"MAT",$C20:$P20,AD$3)=0)*(COUNTIFS($C$3:$P$3,"POM",$C20:$P20,AD$3)=0)*(COUNTIFS($C$3:$P$3,"NOTTE",$C20:$P20,AD$3)=0),"_n","")&amp;", ")))</f>
        <v/>
      </c>
      <c r="CH20" s="1" t="str">
        <f aca="false">IF((AE20="X")+(AE20="Gn")+(AE20="C")+(AE19="Gn")&gt;0,"",IF(((AE20&lt;&gt;"Xm")*(COUNTIFS($C$3:$P$3,"MAT",$C20:$P20,AE$3)=0)*(COUNTIFS($C$3:$P$3,"NOTTE",$C20:$P20,AE$3)=0))+((AE20&lt;&gt;"Xp")*(COUNTIFS($C$3:$P$3,"POM",$C20:$P20,AE$3)=0)*(COUNTIFS($C$3:$P$3,"NOTTE",$C20:$P20,AE$3)=0))+((AE20&lt;&gt;"Xn")*(COUNTIFS($C$3:$P$3,"MAT",$C20:$P20,AE$3)=0)*(COUNTIFS($C$3:$P$3,"POM",$C20:$P20,AE$3)=0)*(COUNTIFS($C$3:$P$3,"NOTTE",$C20:$P20,AE$3)=0))=0,"",IF(((AE20&lt;&gt;"Xm")*(COUNTIFS($C$3:$P$3,"MAT",$C20:$P20,AE$3)=0)*(COUNTIFS($C$3:$P$3,"NOTTE",$C20:$P20,AE$3)=0))+((AE20&lt;&gt;"Xp")*(COUNTIFS($C$3:$P$3,"POM",$C20:$P20,AE$3)=0)*(COUNTIFS($C$3:$P$3,"NOTTE",$C20:$P20,AE$3)=0))+((AE20&lt;&gt;"Xn")*(COUNTIFS($C$3:$P$3,"MAT",$C20:$P20,AE$3)=0)*(COUNTIFS($C$3:$P$3,"POM",$C20:$P20,AE$3)=0)*(COUNTIFS($C$3:$P$3,"NOTTE",$C20:$P20,AE$3)=0))=3,AE$3&amp;", ",AE$3&amp;IF((AE20&lt;&gt;"Xm")*(COUNTIFS($C$3:$P$3,"MAT",$C20:$P20,AE$3)=0)*(COUNTIFS($C$3:$P$3,"NOTTE",$C20:$P20,AE$3)=0),"_m","")&amp;IF((AE20&lt;&gt;"Xp")*(COUNTIFS($C$3:$P$3,"POM",$C20:$P20,AE$3)=0)*(COUNTIFS($C$3:$P$3,"NOTTE",$C20:$P20,AE$3)=0),"_p","")&amp;IF((AE20&lt;&gt;"Xn")*(COUNTIFS($C$3:$P$3,"MAT",$C20:$P20,AE$3)=0)*(COUNTIFS($C$3:$P$3,"POM",$C20:$P20,AE$3)=0)*(COUNTIFS($C$3:$P$3,"NOTTE",$C20:$P20,AE$3)=0),"_n","")&amp;", ")))</f>
        <v>RUSSO, </v>
      </c>
      <c r="CI20" s="1" t="str">
        <f aca="false">IF((AF20="X")+(AF20="Gn")+(AF20="C")+(AF19="Gn")&gt;0,"",IF(((AF20&lt;&gt;"Xm")*(COUNTIFS($C$3:$P$3,"MAT",$C20:$P20,AF$3)=0)*(COUNTIFS($C$3:$P$3,"NOTTE",$C20:$P20,AF$3)=0))+((AF20&lt;&gt;"Xp")*(COUNTIFS($C$3:$P$3,"POM",$C20:$P20,AF$3)=0)*(COUNTIFS($C$3:$P$3,"NOTTE",$C20:$P20,AF$3)=0))+((AF20&lt;&gt;"Xn")*(COUNTIFS($C$3:$P$3,"MAT",$C20:$P20,AF$3)=0)*(COUNTIFS($C$3:$P$3,"POM",$C20:$P20,AF$3)=0)*(COUNTIFS($C$3:$P$3,"NOTTE",$C20:$P20,AF$3)=0))=0,"",IF(((AF20&lt;&gt;"Xm")*(COUNTIFS($C$3:$P$3,"MAT",$C20:$P20,AF$3)=0)*(COUNTIFS($C$3:$P$3,"NOTTE",$C20:$P20,AF$3)=0))+((AF20&lt;&gt;"Xp")*(COUNTIFS($C$3:$P$3,"POM",$C20:$P20,AF$3)=0)*(COUNTIFS($C$3:$P$3,"NOTTE",$C20:$P20,AF$3)=0))+((AF20&lt;&gt;"Xn")*(COUNTIFS($C$3:$P$3,"MAT",$C20:$P20,AF$3)=0)*(COUNTIFS($C$3:$P$3,"POM",$C20:$P20,AF$3)=0)*(COUNTIFS($C$3:$P$3,"NOTTE",$C20:$P20,AF$3)=0))=3,AF$3&amp;", ",AF$3&amp;IF((AF20&lt;&gt;"Xm")*(COUNTIFS($C$3:$P$3,"MAT",$C20:$P20,AF$3)=0)*(COUNTIFS($C$3:$P$3,"NOTTE",$C20:$P20,AF$3)=0),"_m","")&amp;IF((AF20&lt;&gt;"Xp")*(COUNTIFS($C$3:$P$3,"POM",$C20:$P20,AF$3)=0)*(COUNTIFS($C$3:$P$3,"NOTTE",$C20:$P20,AF$3)=0),"_p","")&amp;IF((AF20&lt;&gt;"Xn")*(COUNTIFS($C$3:$P$3,"MAT",$C20:$P20,AF$3)=0)*(COUNTIFS($C$3:$P$3,"POM",$C20:$P20,AF$3)=0)*(COUNTIFS($C$3:$P$3,"NOTTE",$C20:$P20,AF$3)=0),"_n","")&amp;", ")))</f>
        <v>VERDI_p, </v>
      </c>
      <c r="CJ20" s="1" t="str">
        <f aca="false">IF((AG20="X")+(AG20="Gn")+(AG20="C")+(AG19="Gn")&gt;0,"",IF(((AG20&lt;&gt;"Xm")*(COUNTIFS($C$3:$P$3,"MAT",$C20:$P20,AG$3)=0)*(COUNTIFS($C$3:$P$3,"NOTTE",$C20:$P20,AG$3)=0))+((AG20&lt;&gt;"Xp")*(COUNTIFS($C$3:$P$3,"POM",$C20:$P20,AG$3)=0)*(COUNTIFS($C$3:$P$3,"NOTTE",$C20:$P20,AG$3)=0))+((AG20&lt;&gt;"Xn")*(COUNTIFS($C$3:$P$3,"MAT",$C20:$P20,AG$3)=0)*(COUNTIFS($C$3:$P$3,"POM",$C20:$P20,AG$3)=0)*(COUNTIFS($C$3:$P$3,"NOTTE",$C20:$P20,AG$3)=0))=0,"",IF(((AG20&lt;&gt;"Xm")*(COUNTIFS($C$3:$P$3,"MAT",$C20:$P20,AG$3)=0)*(COUNTIFS($C$3:$P$3,"NOTTE",$C20:$P20,AG$3)=0))+((AG20&lt;&gt;"Xp")*(COUNTIFS($C$3:$P$3,"POM",$C20:$P20,AG$3)=0)*(COUNTIFS($C$3:$P$3,"NOTTE",$C20:$P20,AG$3)=0))+((AG20&lt;&gt;"Xn")*(COUNTIFS($C$3:$P$3,"MAT",$C20:$P20,AG$3)=0)*(COUNTIFS($C$3:$P$3,"POM",$C20:$P20,AG$3)=0)*(COUNTIFS($C$3:$P$3,"NOTTE",$C20:$P20,AG$3)=0))=3,AG$3&amp;", ",AG$3&amp;IF((AG20&lt;&gt;"Xm")*(COUNTIFS($C$3:$P$3,"MAT",$C20:$P20,AG$3)=0)*(COUNTIFS($C$3:$P$3,"NOTTE",$C20:$P20,AG$3)=0),"_m","")&amp;IF((AG20&lt;&gt;"Xp")*(COUNTIFS($C$3:$P$3,"POM",$C20:$P20,AG$3)=0)*(COUNTIFS($C$3:$P$3,"NOTTE",$C20:$P20,AG$3)=0),"_p","")&amp;IF((AG20&lt;&gt;"Xn")*(COUNTIFS($C$3:$P$3,"MAT",$C20:$P20,AG$3)=0)*(COUNTIFS($C$3:$P$3,"POM",$C20:$P20,AG$3)=0)*(COUNTIFS($C$3:$P$3,"NOTTE",$C20:$P20,AG$3)=0),"_n","")&amp;", ")))</f>
        <v>HU, </v>
      </c>
      <c r="CK20" s="1" t="str">
        <f aca="false">IF((AH20="X")+(AH20="Gn")+(AH20="C")+(AH19="Gn")&gt;0,"",IF(((AH20&lt;&gt;"Xm")*(COUNTIFS($C$3:$P$3,"MAT",$C20:$P20,AH$3)=0)*(COUNTIFS($C$3:$P$3,"NOTTE",$C20:$P20,AH$3)=0))+((AH20&lt;&gt;"Xp")*(COUNTIFS($C$3:$P$3,"POM",$C20:$P20,AH$3)=0)*(COUNTIFS($C$3:$P$3,"NOTTE",$C20:$P20,AH$3)=0))+((AH20&lt;&gt;"Xn")*(COUNTIFS($C$3:$P$3,"MAT",$C20:$P20,AH$3)=0)*(COUNTIFS($C$3:$P$3,"POM",$C20:$P20,AH$3)=0)*(COUNTIFS($C$3:$P$3,"NOTTE",$C20:$P20,AH$3)=0))=0,"",IF(((AH20&lt;&gt;"Xm")*(COUNTIFS($C$3:$P$3,"MAT",$C20:$P20,AH$3)=0)*(COUNTIFS($C$3:$P$3,"NOTTE",$C20:$P20,AH$3)=0))+((AH20&lt;&gt;"Xp")*(COUNTIFS($C$3:$P$3,"POM",$C20:$P20,AH$3)=0)*(COUNTIFS($C$3:$P$3,"NOTTE",$C20:$P20,AH$3)=0))+((AH20&lt;&gt;"Xn")*(COUNTIFS($C$3:$P$3,"MAT",$C20:$P20,AH$3)=0)*(COUNTIFS($C$3:$P$3,"POM",$C20:$P20,AH$3)=0)*(COUNTIFS($C$3:$P$3,"NOTTE",$C20:$P20,AH$3)=0))=3,AH$3&amp;", ",AH$3&amp;IF((AH20&lt;&gt;"Xm")*(COUNTIFS($C$3:$P$3,"MAT",$C20:$P20,AH$3)=0)*(COUNTIFS($C$3:$P$3,"NOTTE",$C20:$P20,AH$3)=0),"_m","")&amp;IF((AH20&lt;&gt;"Xp")*(COUNTIFS($C$3:$P$3,"POM",$C20:$P20,AH$3)=0)*(COUNTIFS($C$3:$P$3,"NOTTE",$C20:$P20,AH$3)=0),"_p","")&amp;IF((AH20&lt;&gt;"Xn")*(COUNTIFS($C$3:$P$3,"MAT",$C20:$P20,AH$3)=0)*(COUNTIFS($C$3:$P$3,"POM",$C20:$P20,AH$3)=0)*(COUNTIFS($C$3:$P$3,"NOTTE",$C20:$P20,AH$3)=0),"_n","")&amp;", ")))</f>
        <v>MARINI, </v>
      </c>
      <c r="CL20" s="1" t="str">
        <f aca="false">IF((AI20="X")+(AI20="Gn")+(AI20="C")+(AI19="Gn")&gt;0,"",IF(((AI20&lt;&gt;"Xm")*(COUNTIFS($C$3:$P$3,"MAT",$C20:$P20,AI$3)=0)*(COUNTIFS($C$3:$P$3,"NOTTE",$C20:$P20,AI$3)=0))+((AI20&lt;&gt;"Xp")*(COUNTIFS($C$3:$P$3,"POM",$C20:$P20,AI$3)=0)*(COUNTIFS($C$3:$P$3,"NOTTE",$C20:$P20,AI$3)=0))+((AI20&lt;&gt;"Xn")*(COUNTIFS($C$3:$P$3,"MAT",$C20:$P20,AI$3)=0)*(COUNTIFS($C$3:$P$3,"POM",$C20:$P20,AI$3)=0)*(COUNTIFS($C$3:$P$3,"NOTTE",$C20:$P20,AI$3)=0))=0,"",IF(((AI20&lt;&gt;"Xm")*(COUNTIFS($C$3:$P$3,"MAT",$C20:$P20,AI$3)=0)*(COUNTIFS($C$3:$P$3,"NOTTE",$C20:$P20,AI$3)=0))+((AI20&lt;&gt;"Xp")*(COUNTIFS($C$3:$P$3,"POM",$C20:$P20,AI$3)=0)*(COUNTIFS($C$3:$P$3,"NOTTE",$C20:$P20,AI$3)=0))+((AI20&lt;&gt;"Xn")*(COUNTIFS($C$3:$P$3,"MAT",$C20:$P20,AI$3)=0)*(COUNTIFS($C$3:$P$3,"POM",$C20:$P20,AI$3)=0)*(COUNTIFS($C$3:$P$3,"NOTTE",$C20:$P20,AI$3)=0))=3,AI$3&amp;", ",AI$3&amp;IF((AI20&lt;&gt;"Xm")*(COUNTIFS($C$3:$P$3,"MAT",$C20:$P20,AI$3)=0)*(COUNTIFS($C$3:$P$3,"NOTTE",$C20:$P20,AI$3)=0),"_m","")&amp;IF((AI20&lt;&gt;"Xp")*(COUNTIFS($C$3:$P$3,"POM",$C20:$P20,AI$3)=0)*(COUNTIFS($C$3:$P$3,"NOTTE",$C20:$P20,AI$3)=0),"_p","")&amp;IF((AI20&lt;&gt;"Xn")*(COUNTIFS($C$3:$P$3,"MAT",$C20:$P20,AI$3)=0)*(COUNTIFS($C$3:$P$3,"POM",$C20:$P20,AI$3)=0)*(COUNTIFS($C$3:$P$3,"NOTTE",$C20:$P20,AI$3)=0),"_n","")&amp;", ")))</f>
        <v/>
      </c>
      <c r="CM20" s="1" t="str">
        <f aca="false">IF((AJ20="X")+(AJ20="Gn")+(AJ20="C")+(AJ19="Gn")&gt;0,"",IF(((AJ20&lt;&gt;"Xm")*(COUNTIFS($C$3:$P$3,"MAT",$C20:$P20,AJ$3)=0)*(COUNTIFS($C$3:$P$3,"NOTTE",$C20:$P20,AJ$3)=0))+((AJ20&lt;&gt;"Xp")*(COUNTIFS($C$3:$P$3,"POM",$C20:$P20,AJ$3)=0)*(COUNTIFS($C$3:$P$3,"NOTTE",$C20:$P20,AJ$3)=0))+((AJ20&lt;&gt;"Xn")*(COUNTIFS($C$3:$P$3,"MAT",$C20:$P20,AJ$3)=0)*(COUNTIFS($C$3:$P$3,"POM",$C20:$P20,AJ$3)=0)*(COUNTIFS($C$3:$P$3,"NOTTE",$C20:$P20,AJ$3)=0))=0,"",IF(((AJ20&lt;&gt;"Xm")*(COUNTIFS($C$3:$P$3,"MAT",$C20:$P20,AJ$3)=0)*(COUNTIFS($C$3:$P$3,"NOTTE",$C20:$P20,AJ$3)=0))+((AJ20&lt;&gt;"Xp")*(COUNTIFS($C$3:$P$3,"POM",$C20:$P20,AJ$3)=0)*(COUNTIFS($C$3:$P$3,"NOTTE",$C20:$P20,AJ$3)=0))+((AJ20&lt;&gt;"Xn")*(COUNTIFS($C$3:$P$3,"MAT",$C20:$P20,AJ$3)=0)*(COUNTIFS($C$3:$P$3,"POM",$C20:$P20,AJ$3)=0)*(COUNTIFS($C$3:$P$3,"NOTTE",$C20:$P20,AJ$3)=0))=3,AJ$3&amp;", ",AJ$3&amp;IF((AJ20&lt;&gt;"Xm")*(COUNTIFS($C$3:$P$3,"MAT",$C20:$P20,AJ$3)=0)*(COUNTIFS($C$3:$P$3,"NOTTE",$C20:$P20,AJ$3)=0),"_m","")&amp;IF((AJ20&lt;&gt;"Xp")*(COUNTIFS($C$3:$P$3,"POM",$C20:$P20,AJ$3)=0)*(COUNTIFS($C$3:$P$3,"NOTTE",$C20:$P20,AJ$3)=0),"_p","")&amp;IF((AJ20&lt;&gt;"Xn")*(COUNTIFS($C$3:$P$3,"MAT",$C20:$P20,AJ$3)=0)*(COUNTIFS($C$3:$P$3,"POM",$C20:$P20,AJ$3)=0)*(COUNTIFS($C$3:$P$3,"NOTTE",$C20:$P20,AJ$3)=0),"_n","")&amp;", ")))</f>
        <v/>
      </c>
      <c r="CN20" s="1" t="str">
        <f aca="false">IF((AK20="X")+(AK20="Gn")+(AK20="C")+(AK19="Gn")&gt;0,"",IF(((AK20&lt;&gt;"Xm")*(COUNTIFS($C$3:$P$3,"MAT",$C20:$P20,AK$3)=0)*(COUNTIFS($C$3:$P$3,"NOTTE",$C20:$P20,AK$3)=0))+((AK20&lt;&gt;"Xp")*(COUNTIFS($C$3:$P$3,"POM",$C20:$P20,AK$3)=0)*(COUNTIFS($C$3:$P$3,"NOTTE",$C20:$P20,AK$3)=0))+((AK20&lt;&gt;"Xn")*(COUNTIFS($C$3:$P$3,"MAT",$C20:$P20,AK$3)=0)*(COUNTIFS($C$3:$P$3,"POM",$C20:$P20,AK$3)=0)*(COUNTIFS($C$3:$P$3,"NOTTE",$C20:$P20,AK$3)=0))=0,"",IF(((AK20&lt;&gt;"Xm")*(COUNTIFS($C$3:$P$3,"MAT",$C20:$P20,AK$3)=0)*(COUNTIFS($C$3:$P$3,"NOTTE",$C20:$P20,AK$3)=0))+((AK20&lt;&gt;"Xp")*(COUNTIFS($C$3:$P$3,"POM",$C20:$P20,AK$3)=0)*(COUNTIFS($C$3:$P$3,"NOTTE",$C20:$P20,AK$3)=0))+((AK20&lt;&gt;"Xn")*(COUNTIFS($C$3:$P$3,"MAT",$C20:$P20,AK$3)=0)*(COUNTIFS($C$3:$P$3,"POM",$C20:$P20,AK$3)=0)*(COUNTIFS($C$3:$P$3,"NOTTE",$C20:$P20,AK$3)=0))=3,AK$3&amp;", ",AK$3&amp;IF((AK20&lt;&gt;"Xm")*(COUNTIFS($C$3:$P$3,"MAT",$C20:$P20,AK$3)=0)*(COUNTIFS($C$3:$P$3,"NOTTE",$C20:$P20,AK$3)=0),"_m","")&amp;IF((AK20&lt;&gt;"Xp")*(COUNTIFS($C$3:$P$3,"POM",$C20:$P20,AK$3)=0)*(COUNTIFS($C$3:$P$3,"NOTTE",$C20:$P20,AK$3)=0),"_p","")&amp;IF((AK20&lt;&gt;"Xn")*(COUNTIFS($C$3:$P$3,"MAT",$C20:$P20,AK$3)=0)*(COUNTIFS($C$3:$P$3,"POM",$C20:$P20,AK$3)=0)*(COUNTIFS($C$3:$P$3,"NOTTE",$C20:$P20,AK$3)=0),"_n","")&amp;", ")))</f>
        <v/>
      </c>
      <c r="CO20" s="1" t="str">
        <f aca="false">IF((AL20="X")+(AL20="Gn")+(AL20="C")+(AL19="Gn")&gt;0,"",IF(((AL20&lt;&gt;"Xm")*(COUNTIFS($C$3:$P$3,"MAT",$C20:$P20,AL$3)=0)*(COUNTIFS($C$3:$P$3,"NOTTE",$C20:$P20,AL$3)=0))+((AL20&lt;&gt;"Xp")*(COUNTIFS($C$3:$P$3,"POM",$C20:$P20,AL$3)=0)*(COUNTIFS($C$3:$P$3,"NOTTE",$C20:$P20,AL$3)=0))+((AL20&lt;&gt;"Xn")*(COUNTIFS($C$3:$P$3,"MAT",$C20:$P20,AL$3)=0)*(COUNTIFS($C$3:$P$3,"POM",$C20:$P20,AL$3)=0)*(COUNTIFS($C$3:$P$3,"NOTTE",$C20:$P20,AL$3)=0))=0,"",IF(((AL20&lt;&gt;"Xm")*(COUNTIFS($C$3:$P$3,"MAT",$C20:$P20,AL$3)=0)*(COUNTIFS($C$3:$P$3,"NOTTE",$C20:$P20,AL$3)=0))+((AL20&lt;&gt;"Xp")*(COUNTIFS($C$3:$P$3,"POM",$C20:$P20,AL$3)=0)*(COUNTIFS($C$3:$P$3,"NOTTE",$C20:$P20,AL$3)=0))+((AL20&lt;&gt;"Xn")*(COUNTIFS($C$3:$P$3,"MAT",$C20:$P20,AL$3)=0)*(COUNTIFS($C$3:$P$3,"POM",$C20:$P20,AL$3)=0)*(COUNTIFS($C$3:$P$3,"NOTTE",$C20:$P20,AL$3)=0))=3,AL$3&amp;", ",AL$3&amp;IF((AL20&lt;&gt;"Xm")*(COUNTIFS($C$3:$P$3,"MAT",$C20:$P20,AL$3)=0)*(COUNTIFS($C$3:$P$3,"NOTTE",$C20:$P20,AL$3)=0),"_m","")&amp;IF((AL20&lt;&gt;"Xp")*(COUNTIFS($C$3:$P$3,"POM",$C20:$P20,AL$3)=0)*(COUNTIFS($C$3:$P$3,"NOTTE",$C20:$P20,AL$3)=0),"_p","")&amp;IF((AL20&lt;&gt;"Xn")*(COUNTIFS($C$3:$P$3,"MAT",$C20:$P20,AL$3)=0)*(COUNTIFS($C$3:$P$3,"POM",$C20:$P20,AL$3)=0)*(COUNTIFS($C$3:$P$3,"NOTTE",$C20:$P20,AL$3)=0),"_n","")&amp;", ")))</f>
        <v/>
      </c>
      <c r="CP20" s="1" t="str">
        <f aca="false">IF((AM20="X")+(AM20="Gn")+(AM20="C")+(AM19="Gn")&gt;0,"",IF(((AM20&lt;&gt;"Xm")*(COUNTIFS($C$3:$P$3,"MAT",$C20:$P20,AM$3)=0)*(COUNTIFS($C$3:$P$3,"NOTTE",$C20:$P20,AM$3)=0))+((AM20&lt;&gt;"Xp")*(COUNTIFS($C$3:$P$3,"POM",$C20:$P20,AM$3)=0)*(COUNTIFS($C$3:$P$3,"NOTTE",$C20:$P20,AM$3)=0))+((AM20&lt;&gt;"Xn")*(COUNTIFS($C$3:$P$3,"MAT",$C20:$P20,AM$3)=0)*(COUNTIFS($C$3:$P$3,"POM",$C20:$P20,AM$3)=0)*(COUNTIFS($C$3:$P$3,"NOTTE",$C20:$P20,AM$3)=0))=0,"",IF(((AM20&lt;&gt;"Xm")*(COUNTIFS($C$3:$P$3,"MAT",$C20:$P20,AM$3)=0)*(COUNTIFS($C$3:$P$3,"NOTTE",$C20:$P20,AM$3)=0))+((AM20&lt;&gt;"Xp")*(COUNTIFS($C$3:$P$3,"POM",$C20:$P20,AM$3)=0)*(COUNTIFS($C$3:$P$3,"NOTTE",$C20:$P20,AM$3)=0))+((AM20&lt;&gt;"Xn")*(COUNTIFS($C$3:$P$3,"MAT",$C20:$P20,AM$3)=0)*(COUNTIFS($C$3:$P$3,"POM",$C20:$P20,AM$3)=0)*(COUNTIFS($C$3:$P$3,"NOTTE",$C20:$P20,AM$3)=0))=3,AM$3&amp;", ",AM$3&amp;IF((AM20&lt;&gt;"Xm")*(COUNTIFS($C$3:$P$3,"MAT",$C20:$P20,AM$3)=0)*(COUNTIFS($C$3:$P$3,"NOTTE",$C20:$P20,AM$3)=0),"_m","")&amp;IF((AM20&lt;&gt;"Xp")*(COUNTIFS($C$3:$P$3,"POM",$C20:$P20,AM$3)=0)*(COUNTIFS($C$3:$P$3,"NOTTE",$C20:$P20,AM$3)=0),"_p","")&amp;IF((AM20&lt;&gt;"Xn")*(COUNTIFS($C$3:$P$3,"MAT",$C20:$P20,AM$3)=0)*(COUNTIFS($C$3:$P$3,"POM",$C20:$P20,AM$3)=0)*(COUNTIFS($C$3:$P$3,"NOTTE",$C20:$P20,AM$3)=0),"_n","")&amp;", ")))</f>
        <v>SANNA_m, </v>
      </c>
      <c r="CQ20" s="1" t="str">
        <f aca="false">IF((AN20="X")+(AN20="Gn")+(AN20="C")+(AN19="Gn")&gt;0,"",IF(((AN20&lt;&gt;"Xm")*(COUNTIFS($C$3:$P$3,"MAT",$C20:$P20,AN$3)=0)*(COUNTIFS($C$3:$P$3,"NOTTE",$C20:$P20,AN$3)=0))+((AN20&lt;&gt;"Xp")*(COUNTIFS($C$3:$P$3,"POM",$C20:$P20,AN$3)=0)*(COUNTIFS($C$3:$P$3,"NOTTE",$C20:$P20,AN$3)=0))+((AN20&lt;&gt;"Xn")*(COUNTIFS($C$3:$P$3,"MAT",$C20:$P20,AN$3)=0)*(COUNTIFS($C$3:$P$3,"POM",$C20:$P20,AN$3)=0)*(COUNTIFS($C$3:$P$3,"NOTTE",$C20:$P20,AN$3)=0))=0,"",IF(((AN20&lt;&gt;"Xm")*(COUNTIFS($C$3:$P$3,"MAT",$C20:$P20,AN$3)=0)*(COUNTIFS($C$3:$P$3,"NOTTE",$C20:$P20,AN$3)=0))+((AN20&lt;&gt;"Xp")*(COUNTIFS($C$3:$P$3,"POM",$C20:$P20,AN$3)=0)*(COUNTIFS($C$3:$P$3,"NOTTE",$C20:$P20,AN$3)=0))+((AN20&lt;&gt;"Xn")*(COUNTIFS($C$3:$P$3,"MAT",$C20:$P20,AN$3)=0)*(COUNTIFS($C$3:$P$3,"POM",$C20:$P20,AN$3)=0)*(COUNTIFS($C$3:$P$3,"NOTTE",$C20:$P20,AN$3)=0))=3,AN$3&amp;", ",AN$3&amp;IF((AN20&lt;&gt;"Xm")*(COUNTIFS($C$3:$P$3,"MAT",$C20:$P20,AN$3)=0)*(COUNTIFS($C$3:$P$3,"NOTTE",$C20:$P20,AN$3)=0),"_m","")&amp;IF((AN20&lt;&gt;"Xp")*(COUNTIFS($C$3:$P$3,"POM",$C20:$P20,AN$3)=0)*(COUNTIFS($C$3:$P$3,"NOTTE",$C20:$P20,AN$3)=0),"_p","")&amp;IF((AN20&lt;&gt;"Xn")*(COUNTIFS($C$3:$P$3,"MAT",$C20:$P20,AN$3)=0)*(COUNTIFS($C$3:$P$3,"POM",$C20:$P20,AN$3)=0)*(COUNTIFS($C$3:$P$3,"NOTTE",$C20:$P20,AN$3)=0),"_n","")&amp;", ")))</f>
        <v/>
      </c>
    </row>
    <row r="21" customFormat="false" ht="15" hidden="false" customHeight="true" outlineLevel="0" collapsed="false">
      <c r="A21" s="15" t="str">
        <f aca="false">CHOOSE(WEEKDAY(DATE($B$1,$A$2,B21),2),"lunedì","martedì","mercoledì","giovedì","venerdì","sabato","domenica")</f>
        <v>mercoledì</v>
      </c>
      <c r="B21" s="15" t="n">
        <v>18</v>
      </c>
      <c r="C21" s="16" t="s">
        <v>23</v>
      </c>
      <c r="D21" s="16" t="s">
        <v>23</v>
      </c>
      <c r="E21" s="16" t="s">
        <v>32</v>
      </c>
      <c r="F21" s="16" t="s">
        <v>32</v>
      </c>
      <c r="G21" s="16" t="s">
        <v>29</v>
      </c>
      <c r="H21" s="16" t="s">
        <v>29</v>
      </c>
      <c r="I21" s="16" t="s">
        <v>34</v>
      </c>
      <c r="J21" s="16" t="s">
        <v>34</v>
      </c>
      <c r="K21" s="16" t="s">
        <v>36</v>
      </c>
      <c r="L21" s="16"/>
      <c r="M21" s="16" t="s">
        <v>35</v>
      </c>
      <c r="N21" s="16" t="s">
        <v>25</v>
      </c>
      <c r="O21" s="16" t="s">
        <v>25</v>
      </c>
      <c r="P21" s="16" t="s">
        <v>30</v>
      </c>
      <c r="Q21" s="16"/>
      <c r="R21" s="16" t="str">
        <f aca="false">IF(SUMPRODUCT(($C$3:$P$3&lt;&gt;"")*($C21:$P21&lt;&gt;"")*(COUNTIFS($C21:$P21,$C21:$P21,$C$3:$P$3,$C$3:$P$3)&gt;1))&gt;0,"X","")</f>
        <v/>
      </c>
      <c r="S21" s="17" t="str">
        <f aca="false"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RUSSO, VERDI, HU_m_p, MARINI_m_n, CONTI A, CONTI S, FERRARI_m_n, GRECO, SANNA, LI</v>
      </c>
      <c r="T21" s="17" t="str">
        <f aca="false"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ROSSI M, RUSSO, VERDI, CONTI A, FERRARI_m_n, SANNA_m, LI_p</v>
      </c>
      <c r="Y21" s="15" t="str">
        <f aca="false">A21</f>
        <v>mercoledì</v>
      </c>
      <c r="Z21" s="15" t="n">
        <f aca="false">B21</f>
        <v>18</v>
      </c>
      <c r="AA21" s="16"/>
      <c r="AB21" s="16"/>
      <c r="AC21" s="16"/>
      <c r="AD21" s="16" t="s">
        <v>44</v>
      </c>
      <c r="AE21" s="16"/>
      <c r="AF21" s="16"/>
      <c r="AG21" s="16" t="s">
        <v>41</v>
      </c>
      <c r="AH21" s="16" t="s">
        <v>43</v>
      </c>
      <c r="AI21" s="16"/>
      <c r="AJ21" s="16"/>
      <c r="AK21" s="16" t="s">
        <v>43</v>
      </c>
      <c r="AL21" s="16"/>
      <c r="AM21" s="16"/>
      <c r="AN21" s="16"/>
      <c r="BO21" s="1" t="str">
        <f aca="false">IF((AA21="X")+(AA21="Gn")+(AA21="C")+(AA20="Gn")&gt;0,"",IF(((AA21&lt;&gt;"Xm"))+((AA21&lt;&gt;"Xp"))+((AA21&lt;&gt;"Xn"))=0,"",IF(((AA21&lt;&gt;"Xm"))+((AA21&lt;&gt;"Xp"))+((AA21&lt;&gt;"Xn"))=3,AA$3&amp;", ",AA$3&amp;IF((AA21&lt;&gt;"Xm"),"_m","")&amp;IF((AA21&lt;&gt;"Xp"),"_p","")&amp;IF((AA21&lt;&gt;"Xn"),"_n","")&amp;", ")))</f>
        <v>LEONI, </v>
      </c>
      <c r="BP21" s="1" t="str">
        <f aca="false">IF((AB21="X")+(AB21="Gn")+(AB21="C")+(AB20="Gn")&gt;0,"",IF(((AB21&lt;&gt;"Xm"))+((AB21&lt;&gt;"Xp"))+((AB21&lt;&gt;"Xn"))=0,"",IF(((AB21&lt;&gt;"Xm"))+((AB21&lt;&gt;"Xp"))+((AB21&lt;&gt;"Xn"))=3,AB$3&amp;", ",AB$3&amp;IF((AB21&lt;&gt;"Xm"),"_m","")&amp;IF((AB21&lt;&gt;"Xp"),"_p","")&amp;IF((AB21&lt;&gt;"Xn"),"_n","")&amp;", ")))</f>
        <v>ROSSI M, </v>
      </c>
      <c r="BQ21" s="1" t="str">
        <f aca="false">IF((AC21="X")+(AC21="Gn")+(AC21="C")+(AC20="Gn")&gt;0,"",IF(((AC21&lt;&gt;"Xm"))+((AC21&lt;&gt;"Xp"))+((AC21&lt;&gt;"Xn"))=0,"",IF(((AC21&lt;&gt;"Xm"))+((AC21&lt;&gt;"Xp"))+((AC21&lt;&gt;"Xn"))=3,AC$3&amp;", ",AC$3&amp;IF((AC21&lt;&gt;"Xm"),"_m","")&amp;IF((AC21&lt;&gt;"Xp"),"_p","")&amp;IF((AC21&lt;&gt;"Xn"),"_n","")&amp;", ")))</f>
        <v>ROSSI L, </v>
      </c>
      <c r="BR21" s="1" t="str">
        <f aca="false">IF((AD21="X")+(AD21="Gn")+(AD21="C")+(AD20="Gn")&gt;0,"",IF(((AD21&lt;&gt;"Xm"))+((AD21&lt;&gt;"Xp"))+((AD21&lt;&gt;"Xn"))=0,"",IF(((AD21&lt;&gt;"Xm"))+((AD21&lt;&gt;"Xp"))+((AD21&lt;&gt;"Xn"))=3,AD$3&amp;", ",AD$3&amp;IF((AD21&lt;&gt;"Xm"),"_m","")&amp;IF((AD21&lt;&gt;"Xp"),"_p","")&amp;IF((AD21&lt;&gt;"Xn"),"_n","")&amp;", ")))</f>
        <v/>
      </c>
      <c r="BS21" s="1" t="str">
        <f aca="false">IF((AE21="X")+(AE21="Gn")+(AE21="C")+(AE20="Gn")&gt;0,"",IF(((AE21&lt;&gt;"Xm"))+((AE21&lt;&gt;"Xp"))+((AE21&lt;&gt;"Xn"))=0,"",IF(((AE21&lt;&gt;"Xm"))+((AE21&lt;&gt;"Xp"))+((AE21&lt;&gt;"Xn"))=3,AE$3&amp;", ",AE$3&amp;IF((AE21&lt;&gt;"Xm"),"_m","")&amp;IF((AE21&lt;&gt;"Xp"),"_p","")&amp;IF((AE21&lt;&gt;"Xn"),"_n","")&amp;", ")))</f>
        <v>RUSSO, </v>
      </c>
      <c r="BT21" s="1" t="str">
        <f aca="false">IF((AF21="X")+(AF21="Gn")+(AF21="C")+(AF20="Gn")&gt;0,"",IF(((AF21&lt;&gt;"Xm"))+((AF21&lt;&gt;"Xp"))+((AF21&lt;&gt;"Xn"))=0,"",IF(((AF21&lt;&gt;"Xm"))+((AF21&lt;&gt;"Xp"))+((AF21&lt;&gt;"Xn"))=3,AF$3&amp;", ",AF$3&amp;IF((AF21&lt;&gt;"Xm"),"_m","")&amp;IF((AF21&lt;&gt;"Xp"),"_p","")&amp;IF((AF21&lt;&gt;"Xn"),"_n","")&amp;", ")))</f>
        <v>VERDI, </v>
      </c>
      <c r="BU21" s="1" t="str">
        <f aca="false">IF((AG21="X")+(AG21="Gn")+(AG21="C")+(AG20="Gn")&gt;0,"",IF(((AG21&lt;&gt;"Xm"))+((AG21&lt;&gt;"Xp"))+((AG21&lt;&gt;"Xn"))=0,"",IF(((AG21&lt;&gt;"Xm"))+((AG21&lt;&gt;"Xp"))+((AG21&lt;&gt;"Xn"))=3,AG$3&amp;", ",AG$3&amp;IF((AG21&lt;&gt;"Xm"),"_m","")&amp;IF((AG21&lt;&gt;"Xp"),"_p","")&amp;IF((AG21&lt;&gt;"Xn"),"_n","")&amp;", ")))</f>
        <v>HU_m_p, </v>
      </c>
      <c r="BV21" s="1" t="str">
        <f aca="false">IF((AH21="X")+(AH21="Gn")+(AH21="C")+(AH20="Gn")&gt;0,"",IF(((AH21&lt;&gt;"Xm"))+((AH21&lt;&gt;"Xp"))+((AH21&lt;&gt;"Xn"))=0,"",IF(((AH21&lt;&gt;"Xm"))+((AH21&lt;&gt;"Xp"))+((AH21&lt;&gt;"Xn"))=3,AH$3&amp;", ",AH$3&amp;IF((AH21&lt;&gt;"Xm"),"_m","")&amp;IF((AH21&lt;&gt;"Xp"),"_p","")&amp;IF((AH21&lt;&gt;"Xn"),"_n","")&amp;", ")))</f>
        <v>MARINI_m_n, </v>
      </c>
      <c r="BW21" s="1" t="str">
        <f aca="false">IF((AI21="X")+(AI21="Gn")+(AI21="C")+(AI20="Gn")&gt;0,"",IF(((AI21&lt;&gt;"Xm"))+((AI21&lt;&gt;"Xp"))+((AI21&lt;&gt;"Xn"))=0,"",IF(((AI21&lt;&gt;"Xm"))+((AI21&lt;&gt;"Xp"))+((AI21&lt;&gt;"Xn"))=3,AI$3&amp;", ",AI$3&amp;IF((AI21&lt;&gt;"Xm"),"_m","")&amp;IF((AI21&lt;&gt;"Xp"),"_p","")&amp;IF((AI21&lt;&gt;"Xn"),"_n","")&amp;", ")))</f>
        <v>CONTI A, </v>
      </c>
      <c r="BX21" s="1" t="str">
        <f aca="false">IF((AJ21="X")+(AJ21="Gn")+(AJ21="C")+(AJ20="Gn")&gt;0,"",IF(((AJ21&lt;&gt;"Xm"))+((AJ21&lt;&gt;"Xp"))+((AJ21&lt;&gt;"Xn"))=0,"",IF(((AJ21&lt;&gt;"Xm"))+((AJ21&lt;&gt;"Xp"))+((AJ21&lt;&gt;"Xn"))=3,AJ$3&amp;", ",AJ$3&amp;IF((AJ21&lt;&gt;"Xm"),"_m","")&amp;IF((AJ21&lt;&gt;"Xp"),"_p","")&amp;IF((AJ21&lt;&gt;"Xn"),"_n","")&amp;", ")))</f>
        <v>CONTI S, </v>
      </c>
      <c r="BY21" s="1" t="str">
        <f aca="false">IF((AK21="X")+(AK21="Gn")+(AK21="C")+(AK20="Gn")&gt;0,"",IF(((AK21&lt;&gt;"Xm"))+((AK21&lt;&gt;"Xp"))+((AK21&lt;&gt;"Xn"))=0,"",IF(((AK21&lt;&gt;"Xm"))+((AK21&lt;&gt;"Xp"))+((AK21&lt;&gt;"Xn"))=3,AK$3&amp;", ",AK$3&amp;IF((AK21&lt;&gt;"Xm"),"_m","")&amp;IF((AK21&lt;&gt;"Xp"),"_p","")&amp;IF((AK21&lt;&gt;"Xn"),"_n","")&amp;", ")))</f>
        <v>FERRARI_m_n, </v>
      </c>
      <c r="BZ21" s="1" t="str">
        <f aca="false">IF((AL21="X")+(AL21="Gn")+(AL21="C")+(AL20="Gn")&gt;0,"",IF(((AL21&lt;&gt;"Xm"))+((AL21&lt;&gt;"Xp"))+((AL21&lt;&gt;"Xn"))=0,"",IF(((AL21&lt;&gt;"Xm"))+((AL21&lt;&gt;"Xp"))+((AL21&lt;&gt;"Xn"))=3,AL$3&amp;", ",AL$3&amp;IF((AL21&lt;&gt;"Xm"),"_m","")&amp;IF((AL21&lt;&gt;"Xp"),"_p","")&amp;IF((AL21&lt;&gt;"Xn"),"_n","")&amp;", ")))</f>
        <v>GRECO, </v>
      </c>
      <c r="CA21" s="1" t="str">
        <f aca="false">IF((AM21="X")+(AM21="Gn")+(AM21="C")+(AM20="Gn")&gt;0,"",IF(((AM21&lt;&gt;"Xm"))+((AM21&lt;&gt;"Xp"))+((AM21&lt;&gt;"Xn"))=0,"",IF(((AM21&lt;&gt;"Xm"))+((AM21&lt;&gt;"Xp"))+((AM21&lt;&gt;"Xn"))=3,AM$3&amp;", ",AM$3&amp;IF((AM21&lt;&gt;"Xm"),"_m","")&amp;IF((AM21&lt;&gt;"Xp"),"_p","")&amp;IF((AM21&lt;&gt;"Xn"),"_n","")&amp;", ")))</f>
        <v>SANNA, </v>
      </c>
      <c r="CB21" s="1" t="str">
        <f aca="false">IF((AN21="X")+(AN21="Gn")+(AN21="C")+(AN20="Gn")&gt;0,"",IF(((AN21&lt;&gt;"Xm"))+((AN21&lt;&gt;"Xp"))+((AN21&lt;&gt;"Xn"))=0,"",IF(((AN21&lt;&gt;"Xm"))+((AN21&lt;&gt;"Xp"))+((AN21&lt;&gt;"Xn"))=3,AN$3&amp;", ",AN$3&amp;IF((AN21&lt;&gt;"Xm"),"_m","")&amp;IF((AN21&lt;&gt;"Xp"),"_p","")&amp;IF((AN21&lt;&gt;"Xn"),"_n","")&amp;", ")))</f>
        <v>LI, </v>
      </c>
      <c r="CD21" s="1" t="str">
        <f aca="false">IF((AA21="X")+(AA21="Gn")+(AA21="C")+(AA20="Gn")&gt;0,"",IF(((AA21&lt;&gt;"Xm")*(COUNTIFS($C$3:$P$3,"MAT",$C21:$P21,AA$3)=0)*(COUNTIFS($C$3:$P$3,"NOTTE",$C21:$P21,AA$3)=0))+((AA21&lt;&gt;"Xp")*(COUNTIFS($C$3:$P$3,"POM",$C21:$P21,AA$3)=0)*(COUNTIFS($C$3:$P$3,"NOTTE",$C21:$P21,AA$3)=0))+((AA21&lt;&gt;"Xn")*(COUNTIFS($C$3:$P$3,"MAT",$C21:$P21,AA$3)=0)*(COUNTIFS($C$3:$P$3,"POM",$C21:$P21,AA$3)=0)*(COUNTIFS($C$3:$P$3,"NOTTE",$C21:$P21,AA$3)=0))=0,"",IF(((AA21&lt;&gt;"Xm")*(COUNTIFS($C$3:$P$3,"MAT",$C21:$P21,AA$3)=0)*(COUNTIFS($C$3:$P$3,"NOTTE",$C21:$P21,AA$3)=0))+((AA21&lt;&gt;"Xp")*(COUNTIFS($C$3:$P$3,"POM",$C21:$P21,AA$3)=0)*(COUNTIFS($C$3:$P$3,"NOTTE",$C21:$P21,AA$3)=0))+((AA21&lt;&gt;"Xn")*(COUNTIFS($C$3:$P$3,"MAT",$C21:$P21,AA$3)=0)*(COUNTIFS($C$3:$P$3,"POM",$C21:$P21,AA$3)=0)*(COUNTIFS($C$3:$P$3,"NOTTE",$C21:$P21,AA$3)=0))=3,AA$3&amp;", ",AA$3&amp;IF((AA21&lt;&gt;"Xm")*(COUNTIFS($C$3:$P$3,"MAT",$C21:$P21,AA$3)=0)*(COUNTIFS($C$3:$P$3,"NOTTE",$C21:$P21,AA$3)=0),"_m","")&amp;IF((AA21&lt;&gt;"Xp")*(COUNTIFS($C$3:$P$3,"POM",$C21:$P21,AA$3)=0)*(COUNTIFS($C$3:$P$3,"NOTTE",$C21:$P21,AA$3)=0),"_p","")&amp;IF((AA21&lt;&gt;"Xn")*(COUNTIFS($C$3:$P$3,"MAT",$C21:$P21,AA$3)=0)*(COUNTIFS($C$3:$P$3,"POM",$C21:$P21,AA$3)=0)*(COUNTIFS($C$3:$P$3,"NOTTE",$C21:$P21,AA$3)=0),"_n","")&amp;", ")))</f>
        <v/>
      </c>
      <c r="CE21" s="1" t="str">
        <f aca="false">IF((AB21="X")+(AB21="Gn")+(AB21="C")+(AB20="Gn")&gt;0,"",IF(((AB21&lt;&gt;"Xm")*(COUNTIFS($C$3:$P$3,"MAT",$C21:$P21,AB$3)=0)*(COUNTIFS($C$3:$P$3,"NOTTE",$C21:$P21,AB$3)=0))+((AB21&lt;&gt;"Xp")*(COUNTIFS($C$3:$P$3,"POM",$C21:$P21,AB$3)=0)*(COUNTIFS($C$3:$P$3,"NOTTE",$C21:$P21,AB$3)=0))+((AB21&lt;&gt;"Xn")*(COUNTIFS($C$3:$P$3,"MAT",$C21:$P21,AB$3)=0)*(COUNTIFS($C$3:$P$3,"POM",$C21:$P21,AB$3)=0)*(COUNTIFS($C$3:$P$3,"NOTTE",$C21:$P21,AB$3)=0))=0,"",IF(((AB21&lt;&gt;"Xm")*(COUNTIFS($C$3:$P$3,"MAT",$C21:$P21,AB$3)=0)*(COUNTIFS($C$3:$P$3,"NOTTE",$C21:$P21,AB$3)=0))+((AB21&lt;&gt;"Xp")*(COUNTIFS($C$3:$P$3,"POM",$C21:$P21,AB$3)=0)*(COUNTIFS($C$3:$P$3,"NOTTE",$C21:$P21,AB$3)=0))+((AB21&lt;&gt;"Xn")*(COUNTIFS($C$3:$P$3,"MAT",$C21:$P21,AB$3)=0)*(COUNTIFS($C$3:$P$3,"POM",$C21:$P21,AB$3)=0)*(COUNTIFS($C$3:$P$3,"NOTTE",$C21:$P21,AB$3)=0))=3,AB$3&amp;", ",AB$3&amp;IF((AB21&lt;&gt;"Xm")*(COUNTIFS($C$3:$P$3,"MAT",$C21:$P21,AB$3)=0)*(COUNTIFS($C$3:$P$3,"NOTTE",$C21:$P21,AB$3)=0),"_m","")&amp;IF((AB21&lt;&gt;"Xp")*(COUNTIFS($C$3:$P$3,"POM",$C21:$P21,AB$3)=0)*(COUNTIFS($C$3:$P$3,"NOTTE",$C21:$P21,AB$3)=0),"_p","")&amp;IF((AB21&lt;&gt;"Xn")*(COUNTIFS($C$3:$P$3,"MAT",$C21:$P21,AB$3)=0)*(COUNTIFS($C$3:$P$3,"POM",$C21:$P21,AB$3)=0)*(COUNTIFS($C$3:$P$3,"NOTTE",$C21:$P21,AB$3)=0),"_n","")&amp;", ")))</f>
        <v>ROSSI M, </v>
      </c>
      <c r="CF21" s="1" t="str">
        <f aca="false">IF((AC21="X")+(AC21="Gn")+(AC21="C")+(AC20="Gn")&gt;0,"",IF(((AC21&lt;&gt;"Xm")*(COUNTIFS($C$3:$P$3,"MAT",$C21:$P21,AC$3)=0)*(COUNTIFS($C$3:$P$3,"NOTTE",$C21:$P21,AC$3)=0))+((AC21&lt;&gt;"Xp")*(COUNTIFS($C$3:$P$3,"POM",$C21:$P21,AC$3)=0)*(COUNTIFS($C$3:$P$3,"NOTTE",$C21:$P21,AC$3)=0))+((AC21&lt;&gt;"Xn")*(COUNTIFS($C$3:$P$3,"MAT",$C21:$P21,AC$3)=0)*(COUNTIFS($C$3:$P$3,"POM",$C21:$P21,AC$3)=0)*(COUNTIFS($C$3:$P$3,"NOTTE",$C21:$P21,AC$3)=0))=0,"",IF(((AC21&lt;&gt;"Xm")*(COUNTIFS($C$3:$P$3,"MAT",$C21:$P21,AC$3)=0)*(COUNTIFS($C$3:$P$3,"NOTTE",$C21:$P21,AC$3)=0))+((AC21&lt;&gt;"Xp")*(COUNTIFS($C$3:$P$3,"POM",$C21:$P21,AC$3)=0)*(COUNTIFS($C$3:$P$3,"NOTTE",$C21:$P21,AC$3)=0))+((AC21&lt;&gt;"Xn")*(COUNTIFS($C$3:$P$3,"MAT",$C21:$P21,AC$3)=0)*(COUNTIFS($C$3:$P$3,"POM",$C21:$P21,AC$3)=0)*(COUNTIFS($C$3:$P$3,"NOTTE",$C21:$P21,AC$3)=0))=3,AC$3&amp;", ",AC$3&amp;IF((AC21&lt;&gt;"Xm")*(COUNTIFS($C$3:$P$3,"MAT",$C21:$P21,AC$3)=0)*(COUNTIFS($C$3:$P$3,"NOTTE",$C21:$P21,AC$3)=0),"_m","")&amp;IF((AC21&lt;&gt;"Xp")*(COUNTIFS($C$3:$P$3,"POM",$C21:$P21,AC$3)=0)*(COUNTIFS($C$3:$P$3,"NOTTE",$C21:$P21,AC$3)=0),"_p","")&amp;IF((AC21&lt;&gt;"Xn")*(COUNTIFS($C$3:$P$3,"MAT",$C21:$P21,AC$3)=0)*(COUNTIFS($C$3:$P$3,"POM",$C21:$P21,AC$3)=0)*(COUNTIFS($C$3:$P$3,"NOTTE",$C21:$P21,AC$3)=0),"_n","")&amp;", ")))</f>
        <v/>
      </c>
      <c r="CG21" s="1" t="str">
        <f aca="false">IF((AD21="X")+(AD21="Gn")+(AD21="C")+(AD20="Gn")&gt;0,"",IF(((AD21&lt;&gt;"Xm")*(COUNTIFS($C$3:$P$3,"MAT",$C21:$P21,AD$3)=0)*(COUNTIFS($C$3:$P$3,"NOTTE",$C21:$P21,AD$3)=0))+((AD21&lt;&gt;"Xp")*(COUNTIFS($C$3:$P$3,"POM",$C21:$P21,AD$3)=0)*(COUNTIFS($C$3:$P$3,"NOTTE",$C21:$P21,AD$3)=0))+((AD21&lt;&gt;"Xn")*(COUNTIFS($C$3:$P$3,"MAT",$C21:$P21,AD$3)=0)*(COUNTIFS($C$3:$P$3,"POM",$C21:$P21,AD$3)=0)*(COUNTIFS($C$3:$P$3,"NOTTE",$C21:$P21,AD$3)=0))=0,"",IF(((AD21&lt;&gt;"Xm")*(COUNTIFS($C$3:$P$3,"MAT",$C21:$P21,AD$3)=0)*(COUNTIFS($C$3:$P$3,"NOTTE",$C21:$P21,AD$3)=0))+((AD21&lt;&gt;"Xp")*(COUNTIFS($C$3:$P$3,"POM",$C21:$P21,AD$3)=0)*(COUNTIFS($C$3:$P$3,"NOTTE",$C21:$P21,AD$3)=0))+((AD21&lt;&gt;"Xn")*(COUNTIFS($C$3:$P$3,"MAT",$C21:$P21,AD$3)=0)*(COUNTIFS($C$3:$P$3,"POM",$C21:$P21,AD$3)=0)*(COUNTIFS($C$3:$P$3,"NOTTE",$C21:$P21,AD$3)=0))=3,AD$3&amp;", ",AD$3&amp;IF((AD21&lt;&gt;"Xm")*(COUNTIFS($C$3:$P$3,"MAT",$C21:$P21,AD$3)=0)*(COUNTIFS($C$3:$P$3,"NOTTE",$C21:$P21,AD$3)=0),"_m","")&amp;IF((AD21&lt;&gt;"Xp")*(COUNTIFS($C$3:$P$3,"POM",$C21:$P21,AD$3)=0)*(COUNTIFS($C$3:$P$3,"NOTTE",$C21:$P21,AD$3)=0),"_p","")&amp;IF((AD21&lt;&gt;"Xn")*(COUNTIFS($C$3:$P$3,"MAT",$C21:$P21,AD$3)=0)*(COUNTIFS($C$3:$P$3,"POM",$C21:$P21,AD$3)=0)*(COUNTIFS($C$3:$P$3,"NOTTE",$C21:$P21,AD$3)=0),"_n","")&amp;", ")))</f>
        <v/>
      </c>
      <c r="CH21" s="1" t="str">
        <f aca="false">IF((AE21="X")+(AE21="Gn")+(AE21="C")+(AE20="Gn")&gt;0,"",IF(((AE21&lt;&gt;"Xm")*(COUNTIFS($C$3:$P$3,"MAT",$C21:$P21,AE$3)=0)*(COUNTIFS($C$3:$P$3,"NOTTE",$C21:$P21,AE$3)=0))+((AE21&lt;&gt;"Xp")*(COUNTIFS($C$3:$P$3,"POM",$C21:$P21,AE$3)=0)*(COUNTIFS($C$3:$P$3,"NOTTE",$C21:$P21,AE$3)=0))+((AE21&lt;&gt;"Xn")*(COUNTIFS($C$3:$P$3,"MAT",$C21:$P21,AE$3)=0)*(COUNTIFS($C$3:$P$3,"POM",$C21:$P21,AE$3)=0)*(COUNTIFS($C$3:$P$3,"NOTTE",$C21:$P21,AE$3)=0))=0,"",IF(((AE21&lt;&gt;"Xm")*(COUNTIFS($C$3:$P$3,"MAT",$C21:$P21,AE$3)=0)*(COUNTIFS($C$3:$P$3,"NOTTE",$C21:$P21,AE$3)=0))+((AE21&lt;&gt;"Xp")*(COUNTIFS($C$3:$P$3,"POM",$C21:$P21,AE$3)=0)*(COUNTIFS($C$3:$P$3,"NOTTE",$C21:$P21,AE$3)=0))+((AE21&lt;&gt;"Xn")*(COUNTIFS($C$3:$P$3,"MAT",$C21:$P21,AE$3)=0)*(COUNTIFS($C$3:$P$3,"POM",$C21:$P21,AE$3)=0)*(COUNTIFS($C$3:$P$3,"NOTTE",$C21:$P21,AE$3)=0))=3,AE$3&amp;", ",AE$3&amp;IF((AE21&lt;&gt;"Xm")*(COUNTIFS($C$3:$P$3,"MAT",$C21:$P21,AE$3)=0)*(COUNTIFS($C$3:$P$3,"NOTTE",$C21:$P21,AE$3)=0),"_m","")&amp;IF((AE21&lt;&gt;"Xp")*(COUNTIFS($C$3:$P$3,"POM",$C21:$P21,AE$3)=0)*(COUNTIFS($C$3:$P$3,"NOTTE",$C21:$P21,AE$3)=0),"_p","")&amp;IF((AE21&lt;&gt;"Xn")*(COUNTIFS($C$3:$P$3,"MAT",$C21:$P21,AE$3)=0)*(COUNTIFS($C$3:$P$3,"POM",$C21:$P21,AE$3)=0)*(COUNTIFS($C$3:$P$3,"NOTTE",$C21:$P21,AE$3)=0),"_n","")&amp;", ")))</f>
        <v>RUSSO, </v>
      </c>
      <c r="CI21" s="1" t="str">
        <f aca="false">IF((AF21="X")+(AF21="Gn")+(AF21="C")+(AF20="Gn")&gt;0,"",IF(((AF21&lt;&gt;"Xm")*(COUNTIFS($C$3:$P$3,"MAT",$C21:$P21,AF$3)=0)*(COUNTIFS($C$3:$P$3,"NOTTE",$C21:$P21,AF$3)=0))+((AF21&lt;&gt;"Xp")*(COUNTIFS($C$3:$P$3,"POM",$C21:$P21,AF$3)=0)*(COUNTIFS($C$3:$P$3,"NOTTE",$C21:$P21,AF$3)=0))+((AF21&lt;&gt;"Xn")*(COUNTIFS($C$3:$P$3,"MAT",$C21:$P21,AF$3)=0)*(COUNTIFS($C$3:$P$3,"POM",$C21:$P21,AF$3)=0)*(COUNTIFS($C$3:$P$3,"NOTTE",$C21:$P21,AF$3)=0))=0,"",IF(((AF21&lt;&gt;"Xm")*(COUNTIFS($C$3:$P$3,"MAT",$C21:$P21,AF$3)=0)*(COUNTIFS($C$3:$P$3,"NOTTE",$C21:$P21,AF$3)=0))+((AF21&lt;&gt;"Xp")*(COUNTIFS($C$3:$P$3,"POM",$C21:$P21,AF$3)=0)*(COUNTIFS($C$3:$P$3,"NOTTE",$C21:$P21,AF$3)=0))+((AF21&lt;&gt;"Xn")*(COUNTIFS($C$3:$P$3,"MAT",$C21:$P21,AF$3)=0)*(COUNTIFS($C$3:$P$3,"POM",$C21:$P21,AF$3)=0)*(COUNTIFS($C$3:$P$3,"NOTTE",$C21:$P21,AF$3)=0))=3,AF$3&amp;", ",AF$3&amp;IF((AF21&lt;&gt;"Xm")*(COUNTIFS($C$3:$P$3,"MAT",$C21:$P21,AF$3)=0)*(COUNTIFS($C$3:$P$3,"NOTTE",$C21:$P21,AF$3)=0),"_m","")&amp;IF((AF21&lt;&gt;"Xp")*(COUNTIFS($C$3:$P$3,"POM",$C21:$P21,AF$3)=0)*(COUNTIFS($C$3:$P$3,"NOTTE",$C21:$P21,AF$3)=0),"_p","")&amp;IF((AF21&lt;&gt;"Xn")*(COUNTIFS($C$3:$P$3,"MAT",$C21:$P21,AF$3)=0)*(COUNTIFS($C$3:$P$3,"POM",$C21:$P21,AF$3)=0)*(COUNTIFS($C$3:$P$3,"NOTTE",$C21:$P21,AF$3)=0),"_n","")&amp;", ")))</f>
        <v>VERDI, </v>
      </c>
      <c r="CJ21" s="1" t="str">
        <f aca="false">IF((AG21="X")+(AG21="Gn")+(AG21="C")+(AG20="Gn")&gt;0,"",IF(((AG21&lt;&gt;"Xm")*(COUNTIFS($C$3:$P$3,"MAT",$C21:$P21,AG$3)=0)*(COUNTIFS($C$3:$P$3,"NOTTE",$C21:$P21,AG$3)=0))+((AG21&lt;&gt;"Xp")*(COUNTIFS($C$3:$P$3,"POM",$C21:$P21,AG$3)=0)*(COUNTIFS($C$3:$P$3,"NOTTE",$C21:$P21,AG$3)=0))+((AG21&lt;&gt;"Xn")*(COUNTIFS($C$3:$P$3,"MAT",$C21:$P21,AG$3)=0)*(COUNTIFS($C$3:$P$3,"POM",$C21:$P21,AG$3)=0)*(COUNTIFS($C$3:$P$3,"NOTTE",$C21:$P21,AG$3)=0))=0,"",IF(((AG21&lt;&gt;"Xm")*(COUNTIFS($C$3:$P$3,"MAT",$C21:$P21,AG$3)=0)*(COUNTIFS($C$3:$P$3,"NOTTE",$C21:$P21,AG$3)=0))+((AG21&lt;&gt;"Xp")*(COUNTIFS($C$3:$P$3,"POM",$C21:$P21,AG$3)=0)*(COUNTIFS($C$3:$P$3,"NOTTE",$C21:$P21,AG$3)=0))+((AG21&lt;&gt;"Xn")*(COUNTIFS($C$3:$P$3,"MAT",$C21:$P21,AG$3)=0)*(COUNTIFS($C$3:$P$3,"POM",$C21:$P21,AG$3)=0)*(COUNTIFS($C$3:$P$3,"NOTTE",$C21:$P21,AG$3)=0))=3,AG$3&amp;", ",AG$3&amp;IF((AG21&lt;&gt;"Xm")*(COUNTIFS($C$3:$P$3,"MAT",$C21:$P21,AG$3)=0)*(COUNTIFS($C$3:$P$3,"NOTTE",$C21:$P21,AG$3)=0),"_m","")&amp;IF((AG21&lt;&gt;"Xp")*(COUNTIFS($C$3:$P$3,"POM",$C21:$P21,AG$3)=0)*(COUNTIFS($C$3:$P$3,"NOTTE",$C21:$P21,AG$3)=0),"_p","")&amp;IF((AG21&lt;&gt;"Xn")*(COUNTIFS($C$3:$P$3,"MAT",$C21:$P21,AG$3)=0)*(COUNTIFS($C$3:$P$3,"POM",$C21:$P21,AG$3)=0)*(COUNTIFS($C$3:$P$3,"NOTTE",$C21:$P21,AG$3)=0),"_n","")&amp;", ")))</f>
        <v/>
      </c>
      <c r="CK21" s="1" t="str">
        <f aca="false">IF((AH21="X")+(AH21="Gn")+(AH21="C")+(AH20="Gn")&gt;0,"",IF(((AH21&lt;&gt;"Xm")*(COUNTIFS($C$3:$P$3,"MAT",$C21:$P21,AH$3)=0)*(COUNTIFS($C$3:$P$3,"NOTTE",$C21:$P21,AH$3)=0))+((AH21&lt;&gt;"Xp")*(COUNTIFS($C$3:$P$3,"POM",$C21:$P21,AH$3)=0)*(COUNTIFS($C$3:$P$3,"NOTTE",$C21:$P21,AH$3)=0))+((AH21&lt;&gt;"Xn")*(COUNTIFS($C$3:$P$3,"MAT",$C21:$P21,AH$3)=0)*(COUNTIFS($C$3:$P$3,"POM",$C21:$P21,AH$3)=0)*(COUNTIFS($C$3:$P$3,"NOTTE",$C21:$P21,AH$3)=0))=0,"",IF(((AH21&lt;&gt;"Xm")*(COUNTIFS($C$3:$P$3,"MAT",$C21:$P21,AH$3)=0)*(COUNTIFS($C$3:$P$3,"NOTTE",$C21:$P21,AH$3)=0))+((AH21&lt;&gt;"Xp")*(COUNTIFS($C$3:$P$3,"POM",$C21:$P21,AH$3)=0)*(COUNTIFS($C$3:$P$3,"NOTTE",$C21:$P21,AH$3)=0))+((AH21&lt;&gt;"Xn")*(COUNTIFS($C$3:$P$3,"MAT",$C21:$P21,AH$3)=0)*(COUNTIFS($C$3:$P$3,"POM",$C21:$P21,AH$3)=0)*(COUNTIFS($C$3:$P$3,"NOTTE",$C21:$P21,AH$3)=0))=3,AH$3&amp;", ",AH$3&amp;IF((AH21&lt;&gt;"Xm")*(COUNTIFS($C$3:$P$3,"MAT",$C21:$P21,AH$3)=0)*(COUNTIFS($C$3:$P$3,"NOTTE",$C21:$P21,AH$3)=0),"_m","")&amp;IF((AH21&lt;&gt;"Xp")*(COUNTIFS($C$3:$P$3,"POM",$C21:$P21,AH$3)=0)*(COUNTIFS($C$3:$P$3,"NOTTE",$C21:$P21,AH$3)=0),"_p","")&amp;IF((AH21&lt;&gt;"Xn")*(COUNTIFS($C$3:$P$3,"MAT",$C21:$P21,AH$3)=0)*(COUNTIFS($C$3:$P$3,"POM",$C21:$P21,AH$3)=0)*(COUNTIFS($C$3:$P$3,"NOTTE",$C21:$P21,AH$3)=0),"_n","")&amp;", ")))</f>
        <v/>
      </c>
      <c r="CL21" s="1" t="str">
        <f aca="false">IF((AI21="X")+(AI21="Gn")+(AI21="C")+(AI20="Gn")&gt;0,"",IF(((AI21&lt;&gt;"Xm")*(COUNTIFS($C$3:$P$3,"MAT",$C21:$P21,AI$3)=0)*(COUNTIFS($C$3:$P$3,"NOTTE",$C21:$P21,AI$3)=0))+((AI21&lt;&gt;"Xp")*(COUNTIFS($C$3:$P$3,"POM",$C21:$P21,AI$3)=0)*(COUNTIFS($C$3:$P$3,"NOTTE",$C21:$P21,AI$3)=0))+((AI21&lt;&gt;"Xn")*(COUNTIFS($C$3:$P$3,"MAT",$C21:$P21,AI$3)=0)*(COUNTIFS($C$3:$P$3,"POM",$C21:$P21,AI$3)=0)*(COUNTIFS($C$3:$P$3,"NOTTE",$C21:$P21,AI$3)=0))=0,"",IF(((AI21&lt;&gt;"Xm")*(COUNTIFS($C$3:$P$3,"MAT",$C21:$P21,AI$3)=0)*(COUNTIFS($C$3:$P$3,"NOTTE",$C21:$P21,AI$3)=0))+((AI21&lt;&gt;"Xp")*(COUNTIFS($C$3:$P$3,"POM",$C21:$P21,AI$3)=0)*(COUNTIFS($C$3:$P$3,"NOTTE",$C21:$P21,AI$3)=0))+((AI21&lt;&gt;"Xn")*(COUNTIFS($C$3:$P$3,"MAT",$C21:$P21,AI$3)=0)*(COUNTIFS($C$3:$P$3,"POM",$C21:$P21,AI$3)=0)*(COUNTIFS($C$3:$P$3,"NOTTE",$C21:$P21,AI$3)=0))=3,AI$3&amp;", ",AI$3&amp;IF((AI21&lt;&gt;"Xm")*(COUNTIFS($C$3:$P$3,"MAT",$C21:$P21,AI$3)=0)*(COUNTIFS($C$3:$P$3,"NOTTE",$C21:$P21,AI$3)=0),"_m","")&amp;IF((AI21&lt;&gt;"Xp")*(COUNTIFS($C$3:$P$3,"POM",$C21:$P21,AI$3)=0)*(COUNTIFS($C$3:$P$3,"NOTTE",$C21:$P21,AI$3)=0),"_p","")&amp;IF((AI21&lt;&gt;"Xn")*(COUNTIFS($C$3:$P$3,"MAT",$C21:$P21,AI$3)=0)*(COUNTIFS($C$3:$P$3,"POM",$C21:$P21,AI$3)=0)*(COUNTIFS($C$3:$P$3,"NOTTE",$C21:$P21,AI$3)=0),"_n","")&amp;", ")))</f>
        <v>CONTI A, </v>
      </c>
      <c r="CM21" s="1" t="str">
        <f aca="false">IF((AJ21="X")+(AJ21="Gn")+(AJ21="C")+(AJ20="Gn")&gt;0,"",IF(((AJ21&lt;&gt;"Xm")*(COUNTIFS($C$3:$P$3,"MAT",$C21:$P21,AJ$3)=0)*(COUNTIFS($C$3:$P$3,"NOTTE",$C21:$P21,AJ$3)=0))+((AJ21&lt;&gt;"Xp")*(COUNTIFS($C$3:$P$3,"POM",$C21:$P21,AJ$3)=0)*(COUNTIFS($C$3:$P$3,"NOTTE",$C21:$P21,AJ$3)=0))+((AJ21&lt;&gt;"Xn")*(COUNTIFS($C$3:$P$3,"MAT",$C21:$P21,AJ$3)=0)*(COUNTIFS($C$3:$P$3,"POM",$C21:$P21,AJ$3)=0)*(COUNTIFS($C$3:$P$3,"NOTTE",$C21:$P21,AJ$3)=0))=0,"",IF(((AJ21&lt;&gt;"Xm")*(COUNTIFS($C$3:$P$3,"MAT",$C21:$P21,AJ$3)=0)*(COUNTIFS($C$3:$P$3,"NOTTE",$C21:$P21,AJ$3)=0))+((AJ21&lt;&gt;"Xp")*(COUNTIFS($C$3:$P$3,"POM",$C21:$P21,AJ$3)=0)*(COUNTIFS($C$3:$P$3,"NOTTE",$C21:$P21,AJ$3)=0))+((AJ21&lt;&gt;"Xn")*(COUNTIFS($C$3:$P$3,"MAT",$C21:$P21,AJ$3)=0)*(COUNTIFS($C$3:$P$3,"POM",$C21:$P21,AJ$3)=0)*(COUNTIFS($C$3:$P$3,"NOTTE",$C21:$P21,AJ$3)=0))=3,AJ$3&amp;", ",AJ$3&amp;IF((AJ21&lt;&gt;"Xm")*(COUNTIFS($C$3:$P$3,"MAT",$C21:$P21,AJ$3)=0)*(COUNTIFS($C$3:$P$3,"NOTTE",$C21:$P21,AJ$3)=0),"_m","")&amp;IF((AJ21&lt;&gt;"Xp")*(COUNTIFS($C$3:$P$3,"POM",$C21:$P21,AJ$3)=0)*(COUNTIFS($C$3:$P$3,"NOTTE",$C21:$P21,AJ$3)=0),"_p","")&amp;IF((AJ21&lt;&gt;"Xn")*(COUNTIFS($C$3:$P$3,"MAT",$C21:$P21,AJ$3)=0)*(COUNTIFS($C$3:$P$3,"POM",$C21:$P21,AJ$3)=0)*(COUNTIFS($C$3:$P$3,"NOTTE",$C21:$P21,AJ$3)=0),"_n","")&amp;", ")))</f>
        <v/>
      </c>
      <c r="CN21" s="1" t="str">
        <f aca="false">IF((AK21="X")+(AK21="Gn")+(AK21="C")+(AK20="Gn")&gt;0,"",IF(((AK21&lt;&gt;"Xm")*(COUNTIFS($C$3:$P$3,"MAT",$C21:$P21,AK$3)=0)*(COUNTIFS($C$3:$P$3,"NOTTE",$C21:$P21,AK$3)=0))+((AK21&lt;&gt;"Xp")*(COUNTIFS($C$3:$P$3,"POM",$C21:$P21,AK$3)=0)*(COUNTIFS($C$3:$P$3,"NOTTE",$C21:$P21,AK$3)=0))+((AK21&lt;&gt;"Xn")*(COUNTIFS($C$3:$P$3,"MAT",$C21:$P21,AK$3)=0)*(COUNTIFS($C$3:$P$3,"POM",$C21:$P21,AK$3)=0)*(COUNTIFS($C$3:$P$3,"NOTTE",$C21:$P21,AK$3)=0))=0,"",IF(((AK21&lt;&gt;"Xm")*(COUNTIFS($C$3:$P$3,"MAT",$C21:$P21,AK$3)=0)*(COUNTIFS($C$3:$P$3,"NOTTE",$C21:$P21,AK$3)=0))+((AK21&lt;&gt;"Xp")*(COUNTIFS($C$3:$P$3,"POM",$C21:$P21,AK$3)=0)*(COUNTIFS($C$3:$P$3,"NOTTE",$C21:$P21,AK$3)=0))+((AK21&lt;&gt;"Xn")*(COUNTIFS($C$3:$P$3,"MAT",$C21:$P21,AK$3)=0)*(COUNTIFS($C$3:$P$3,"POM",$C21:$P21,AK$3)=0)*(COUNTIFS($C$3:$P$3,"NOTTE",$C21:$P21,AK$3)=0))=3,AK$3&amp;", ",AK$3&amp;IF((AK21&lt;&gt;"Xm")*(COUNTIFS($C$3:$P$3,"MAT",$C21:$P21,AK$3)=0)*(COUNTIFS($C$3:$P$3,"NOTTE",$C21:$P21,AK$3)=0),"_m","")&amp;IF((AK21&lt;&gt;"Xp")*(COUNTIFS($C$3:$P$3,"POM",$C21:$P21,AK$3)=0)*(COUNTIFS($C$3:$P$3,"NOTTE",$C21:$P21,AK$3)=0),"_p","")&amp;IF((AK21&lt;&gt;"Xn")*(COUNTIFS($C$3:$P$3,"MAT",$C21:$P21,AK$3)=0)*(COUNTIFS($C$3:$P$3,"POM",$C21:$P21,AK$3)=0)*(COUNTIFS($C$3:$P$3,"NOTTE",$C21:$P21,AK$3)=0),"_n","")&amp;", ")))</f>
        <v>FERRARI_m_n, </v>
      </c>
      <c r="CO21" s="1" t="str">
        <f aca="false">IF((AL21="X")+(AL21="Gn")+(AL21="C")+(AL20="Gn")&gt;0,"",IF(((AL21&lt;&gt;"Xm")*(COUNTIFS($C$3:$P$3,"MAT",$C21:$P21,AL$3)=0)*(COUNTIFS($C$3:$P$3,"NOTTE",$C21:$P21,AL$3)=0))+((AL21&lt;&gt;"Xp")*(COUNTIFS($C$3:$P$3,"POM",$C21:$P21,AL$3)=0)*(COUNTIFS($C$3:$P$3,"NOTTE",$C21:$P21,AL$3)=0))+((AL21&lt;&gt;"Xn")*(COUNTIFS($C$3:$P$3,"MAT",$C21:$P21,AL$3)=0)*(COUNTIFS($C$3:$P$3,"POM",$C21:$P21,AL$3)=0)*(COUNTIFS($C$3:$P$3,"NOTTE",$C21:$P21,AL$3)=0))=0,"",IF(((AL21&lt;&gt;"Xm")*(COUNTIFS($C$3:$P$3,"MAT",$C21:$P21,AL$3)=0)*(COUNTIFS($C$3:$P$3,"NOTTE",$C21:$P21,AL$3)=0))+((AL21&lt;&gt;"Xp")*(COUNTIFS($C$3:$P$3,"POM",$C21:$P21,AL$3)=0)*(COUNTIFS($C$3:$P$3,"NOTTE",$C21:$P21,AL$3)=0))+((AL21&lt;&gt;"Xn")*(COUNTIFS($C$3:$P$3,"MAT",$C21:$P21,AL$3)=0)*(COUNTIFS($C$3:$P$3,"POM",$C21:$P21,AL$3)=0)*(COUNTIFS($C$3:$P$3,"NOTTE",$C21:$P21,AL$3)=0))=3,AL$3&amp;", ",AL$3&amp;IF((AL21&lt;&gt;"Xm")*(COUNTIFS($C$3:$P$3,"MAT",$C21:$P21,AL$3)=0)*(COUNTIFS($C$3:$P$3,"NOTTE",$C21:$P21,AL$3)=0),"_m","")&amp;IF((AL21&lt;&gt;"Xp")*(COUNTIFS($C$3:$P$3,"POM",$C21:$P21,AL$3)=0)*(COUNTIFS($C$3:$P$3,"NOTTE",$C21:$P21,AL$3)=0),"_p","")&amp;IF((AL21&lt;&gt;"Xn")*(COUNTIFS($C$3:$P$3,"MAT",$C21:$P21,AL$3)=0)*(COUNTIFS($C$3:$P$3,"POM",$C21:$P21,AL$3)=0)*(COUNTIFS($C$3:$P$3,"NOTTE",$C21:$P21,AL$3)=0),"_n","")&amp;", ")))</f>
        <v/>
      </c>
      <c r="CP21" s="1" t="str">
        <f aca="false">IF((AM21="X")+(AM21="Gn")+(AM21="C")+(AM20="Gn")&gt;0,"",IF(((AM21&lt;&gt;"Xm")*(COUNTIFS($C$3:$P$3,"MAT",$C21:$P21,AM$3)=0)*(COUNTIFS($C$3:$P$3,"NOTTE",$C21:$P21,AM$3)=0))+((AM21&lt;&gt;"Xp")*(COUNTIFS($C$3:$P$3,"POM",$C21:$P21,AM$3)=0)*(COUNTIFS($C$3:$P$3,"NOTTE",$C21:$P21,AM$3)=0))+((AM21&lt;&gt;"Xn")*(COUNTIFS($C$3:$P$3,"MAT",$C21:$P21,AM$3)=0)*(COUNTIFS($C$3:$P$3,"POM",$C21:$P21,AM$3)=0)*(COUNTIFS($C$3:$P$3,"NOTTE",$C21:$P21,AM$3)=0))=0,"",IF(((AM21&lt;&gt;"Xm")*(COUNTIFS($C$3:$P$3,"MAT",$C21:$P21,AM$3)=0)*(COUNTIFS($C$3:$P$3,"NOTTE",$C21:$P21,AM$3)=0))+((AM21&lt;&gt;"Xp")*(COUNTIFS($C$3:$P$3,"POM",$C21:$P21,AM$3)=0)*(COUNTIFS($C$3:$P$3,"NOTTE",$C21:$P21,AM$3)=0))+((AM21&lt;&gt;"Xn")*(COUNTIFS($C$3:$P$3,"MAT",$C21:$P21,AM$3)=0)*(COUNTIFS($C$3:$P$3,"POM",$C21:$P21,AM$3)=0)*(COUNTIFS($C$3:$P$3,"NOTTE",$C21:$P21,AM$3)=0))=3,AM$3&amp;", ",AM$3&amp;IF((AM21&lt;&gt;"Xm")*(COUNTIFS($C$3:$P$3,"MAT",$C21:$P21,AM$3)=0)*(COUNTIFS($C$3:$P$3,"NOTTE",$C21:$P21,AM$3)=0),"_m","")&amp;IF((AM21&lt;&gt;"Xp")*(COUNTIFS($C$3:$P$3,"POM",$C21:$P21,AM$3)=0)*(COUNTIFS($C$3:$P$3,"NOTTE",$C21:$P21,AM$3)=0),"_p","")&amp;IF((AM21&lt;&gt;"Xn")*(COUNTIFS($C$3:$P$3,"MAT",$C21:$P21,AM$3)=0)*(COUNTIFS($C$3:$P$3,"POM",$C21:$P21,AM$3)=0)*(COUNTIFS($C$3:$P$3,"NOTTE",$C21:$P21,AM$3)=0),"_n","")&amp;", ")))</f>
        <v>SANNA_m, </v>
      </c>
      <c r="CQ21" s="1" t="str">
        <f aca="false">IF((AN21="X")+(AN21="Gn")+(AN21="C")+(AN20="Gn")&gt;0,"",IF(((AN21&lt;&gt;"Xm")*(COUNTIFS($C$3:$P$3,"MAT",$C21:$P21,AN$3)=0)*(COUNTIFS($C$3:$P$3,"NOTTE",$C21:$P21,AN$3)=0))+((AN21&lt;&gt;"Xp")*(COUNTIFS($C$3:$P$3,"POM",$C21:$P21,AN$3)=0)*(COUNTIFS($C$3:$P$3,"NOTTE",$C21:$P21,AN$3)=0))+((AN21&lt;&gt;"Xn")*(COUNTIFS($C$3:$P$3,"MAT",$C21:$P21,AN$3)=0)*(COUNTIFS($C$3:$P$3,"POM",$C21:$P21,AN$3)=0)*(COUNTIFS($C$3:$P$3,"NOTTE",$C21:$P21,AN$3)=0))=0,"",IF(((AN21&lt;&gt;"Xm")*(COUNTIFS($C$3:$P$3,"MAT",$C21:$P21,AN$3)=0)*(COUNTIFS($C$3:$P$3,"NOTTE",$C21:$P21,AN$3)=0))+((AN21&lt;&gt;"Xp")*(COUNTIFS($C$3:$P$3,"POM",$C21:$P21,AN$3)=0)*(COUNTIFS($C$3:$P$3,"NOTTE",$C21:$P21,AN$3)=0))+((AN21&lt;&gt;"Xn")*(COUNTIFS($C$3:$P$3,"MAT",$C21:$P21,AN$3)=0)*(COUNTIFS($C$3:$P$3,"POM",$C21:$P21,AN$3)=0)*(COUNTIFS($C$3:$P$3,"NOTTE",$C21:$P21,AN$3)=0))=3,AN$3&amp;", ",AN$3&amp;IF((AN21&lt;&gt;"Xm")*(COUNTIFS($C$3:$P$3,"MAT",$C21:$P21,AN$3)=0)*(COUNTIFS($C$3:$P$3,"NOTTE",$C21:$P21,AN$3)=0),"_m","")&amp;IF((AN21&lt;&gt;"Xp")*(COUNTIFS($C$3:$P$3,"POM",$C21:$P21,AN$3)=0)*(COUNTIFS($C$3:$P$3,"NOTTE",$C21:$P21,AN$3)=0),"_p","")&amp;IF((AN21&lt;&gt;"Xn")*(COUNTIFS($C$3:$P$3,"MAT",$C21:$P21,AN$3)=0)*(COUNTIFS($C$3:$P$3,"POM",$C21:$P21,AN$3)=0)*(COUNTIFS($C$3:$P$3,"NOTTE",$C21:$P21,AN$3)=0),"_n","")&amp;", ")))</f>
        <v>LI_p, </v>
      </c>
    </row>
    <row r="22" customFormat="false" ht="15" hidden="false" customHeight="true" outlineLevel="0" collapsed="false">
      <c r="A22" s="15" t="str">
        <f aca="false">CHOOSE(WEEKDAY(DATE($B$1,$A$2,B22),2),"lunedì","martedì","mercoledì","giovedì","venerdì","sabato","domenica")</f>
        <v>giovedì</v>
      </c>
      <c r="B22" s="15" t="n">
        <v>19</v>
      </c>
      <c r="C22" s="16" t="s">
        <v>23</v>
      </c>
      <c r="D22" s="16" t="s">
        <v>23</v>
      </c>
      <c r="E22" s="16" t="s">
        <v>36</v>
      </c>
      <c r="F22" s="16" t="s">
        <v>36</v>
      </c>
      <c r="G22" s="16" t="s">
        <v>32</v>
      </c>
      <c r="H22" s="16" t="s">
        <v>32</v>
      </c>
      <c r="I22" s="16" t="s">
        <v>34</v>
      </c>
      <c r="J22" s="16" t="s">
        <v>34</v>
      </c>
      <c r="K22" s="16" t="s">
        <v>28</v>
      </c>
      <c r="L22" s="16"/>
      <c r="M22" s="16" t="s">
        <v>35</v>
      </c>
      <c r="N22" s="16" t="s">
        <v>25</v>
      </c>
      <c r="O22" s="16" t="s">
        <v>25</v>
      </c>
      <c r="P22" s="16" t="s">
        <v>31</v>
      </c>
      <c r="Q22" s="16"/>
      <c r="R22" s="16" t="str">
        <f aca="false">IF(SUMPRODUCT(($C$3:$P$3&lt;&gt;"")*($C22:$P22&lt;&gt;"")*(COUNTIFS($C22:$P22,$C22:$P22,$C$3:$P$3,$C$3:$P$3)&gt;1))&gt;0,"X","")</f>
        <v/>
      </c>
      <c r="S22" s="17" t="str">
        <f aca="false"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RUSSO, VERDI, HU, MARINI, CONTI A, CONTI S, FERRARI, GRECO, SANNA, LI</v>
      </c>
      <c r="T22" s="17" t="str">
        <f aca="false"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ROSSI M, RUSSO, VERDI_p, HU, MARINI, FERRARI, SANNA_m</v>
      </c>
      <c r="Y22" s="15" t="str">
        <f aca="false">A22</f>
        <v>giovedì</v>
      </c>
      <c r="Z22" s="15" t="n">
        <f aca="false">B22</f>
        <v>19</v>
      </c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BO22" s="1" t="str">
        <f aca="false">IF((AA22="X")+(AA22="Gn")+(AA22="C")+(AA21="Gn")&gt;0,"",IF(((AA22&lt;&gt;"Xm"))+((AA22&lt;&gt;"Xp"))+((AA22&lt;&gt;"Xn"))=0,"",IF(((AA22&lt;&gt;"Xm"))+((AA22&lt;&gt;"Xp"))+((AA22&lt;&gt;"Xn"))=3,AA$3&amp;", ",AA$3&amp;IF((AA22&lt;&gt;"Xm"),"_m","")&amp;IF((AA22&lt;&gt;"Xp"),"_p","")&amp;IF((AA22&lt;&gt;"Xn"),"_n","")&amp;", ")))</f>
        <v>LEONI, </v>
      </c>
      <c r="BP22" s="1" t="str">
        <f aca="false">IF((AB22="X")+(AB22="Gn")+(AB22="C")+(AB21="Gn")&gt;0,"",IF(((AB22&lt;&gt;"Xm"))+((AB22&lt;&gt;"Xp"))+((AB22&lt;&gt;"Xn"))=0,"",IF(((AB22&lt;&gt;"Xm"))+((AB22&lt;&gt;"Xp"))+((AB22&lt;&gt;"Xn"))=3,AB$3&amp;", ",AB$3&amp;IF((AB22&lt;&gt;"Xm"),"_m","")&amp;IF((AB22&lt;&gt;"Xp"),"_p","")&amp;IF((AB22&lt;&gt;"Xn"),"_n","")&amp;", ")))</f>
        <v>ROSSI M, </v>
      </c>
      <c r="BQ22" s="1" t="str">
        <f aca="false">IF((AC22="X")+(AC22="Gn")+(AC22="C")+(AC21="Gn")&gt;0,"",IF(((AC22&lt;&gt;"Xm"))+((AC22&lt;&gt;"Xp"))+((AC22&lt;&gt;"Xn"))=0,"",IF(((AC22&lt;&gt;"Xm"))+((AC22&lt;&gt;"Xp"))+((AC22&lt;&gt;"Xn"))=3,AC$3&amp;", ",AC$3&amp;IF((AC22&lt;&gt;"Xm"),"_m","")&amp;IF((AC22&lt;&gt;"Xp"),"_p","")&amp;IF((AC22&lt;&gt;"Xn"),"_n","")&amp;", ")))</f>
        <v>ROSSI L, </v>
      </c>
      <c r="BR22" s="1" t="str">
        <f aca="false">IF((AD22="X")+(AD22="Gn")+(AD22="C")+(AD21="Gn")&gt;0,"",IF(((AD22&lt;&gt;"Xm"))+((AD22&lt;&gt;"Xp"))+((AD22&lt;&gt;"Xn"))=0,"",IF(((AD22&lt;&gt;"Xm"))+((AD22&lt;&gt;"Xp"))+((AD22&lt;&gt;"Xn"))=3,AD$3&amp;", ",AD$3&amp;IF((AD22&lt;&gt;"Xm"),"_m","")&amp;IF((AD22&lt;&gt;"Xp"),"_p","")&amp;IF((AD22&lt;&gt;"Xn"),"_n","")&amp;", ")))</f>
        <v/>
      </c>
      <c r="BS22" s="1" t="str">
        <f aca="false">IF((AE22="X")+(AE22="Gn")+(AE22="C")+(AE21="Gn")&gt;0,"",IF(((AE22&lt;&gt;"Xm"))+((AE22&lt;&gt;"Xp"))+((AE22&lt;&gt;"Xn"))=0,"",IF(((AE22&lt;&gt;"Xm"))+((AE22&lt;&gt;"Xp"))+((AE22&lt;&gt;"Xn"))=3,AE$3&amp;", ",AE$3&amp;IF((AE22&lt;&gt;"Xm"),"_m","")&amp;IF((AE22&lt;&gt;"Xp"),"_p","")&amp;IF((AE22&lt;&gt;"Xn"),"_n","")&amp;", ")))</f>
        <v>RUSSO, </v>
      </c>
      <c r="BT22" s="1" t="str">
        <f aca="false">IF((AF22="X")+(AF22="Gn")+(AF22="C")+(AF21="Gn")&gt;0,"",IF(((AF22&lt;&gt;"Xm"))+((AF22&lt;&gt;"Xp"))+((AF22&lt;&gt;"Xn"))=0,"",IF(((AF22&lt;&gt;"Xm"))+((AF22&lt;&gt;"Xp"))+((AF22&lt;&gt;"Xn"))=3,AF$3&amp;", ",AF$3&amp;IF((AF22&lt;&gt;"Xm"),"_m","")&amp;IF((AF22&lt;&gt;"Xp"),"_p","")&amp;IF((AF22&lt;&gt;"Xn"),"_n","")&amp;", ")))</f>
        <v>VERDI, </v>
      </c>
      <c r="BU22" s="1" t="str">
        <f aca="false">IF((AG22="X")+(AG22="Gn")+(AG22="C")+(AG21="Gn")&gt;0,"",IF(((AG22&lt;&gt;"Xm"))+((AG22&lt;&gt;"Xp"))+((AG22&lt;&gt;"Xn"))=0,"",IF(((AG22&lt;&gt;"Xm"))+((AG22&lt;&gt;"Xp"))+((AG22&lt;&gt;"Xn"))=3,AG$3&amp;", ",AG$3&amp;IF((AG22&lt;&gt;"Xm"),"_m","")&amp;IF((AG22&lt;&gt;"Xp"),"_p","")&amp;IF((AG22&lt;&gt;"Xn"),"_n","")&amp;", ")))</f>
        <v>HU, </v>
      </c>
      <c r="BV22" s="1" t="str">
        <f aca="false">IF((AH22="X")+(AH22="Gn")+(AH22="C")+(AH21="Gn")&gt;0,"",IF(((AH22&lt;&gt;"Xm"))+((AH22&lt;&gt;"Xp"))+((AH22&lt;&gt;"Xn"))=0,"",IF(((AH22&lt;&gt;"Xm"))+((AH22&lt;&gt;"Xp"))+((AH22&lt;&gt;"Xn"))=3,AH$3&amp;", ",AH$3&amp;IF((AH22&lt;&gt;"Xm"),"_m","")&amp;IF((AH22&lt;&gt;"Xp"),"_p","")&amp;IF((AH22&lt;&gt;"Xn"),"_n","")&amp;", ")))</f>
        <v>MARINI, </v>
      </c>
      <c r="BW22" s="1" t="str">
        <f aca="false">IF((AI22="X")+(AI22="Gn")+(AI22="C")+(AI21="Gn")&gt;0,"",IF(((AI22&lt;&gt;"Xm"))+((AI22&lt;&gt;"Xp"))+((AI22&lt;&gt;"Xn"))=0,"",IF(((AI22&lt;&gt;"Xm"))+((AI22&lt;&gt;"Xp"))+((AI22&lt;&gt;"Xn"))=3,AI$3&amp;", ",AI$3&amp;IF((AI22&lt;&gt;"Xm"),"_m","")&amp;IF((AI22&lt;&gt;"Xp"),"_p","")&amp;IF((AI22&lt;&gt;"Xn"),"_n","")&amp;", ")))</f>
        <v>CONTI A, </v>
      </c>
      <c r="BX22" s="1" t="str">
        <f aca="false">IF((AJ22="X")+(AJ22="Gn")+(AJ22="C")+(AJ21="Gn")&gt;0,"",IF(((AJ22&lt;&gt;"Xm"))+((AJ22&lt;&gt;"Xp"))+((AJ22&lt;&gt;"Xn"))=0,"",IF(((AJ22&lt;&gt;"Xm"))+((AJ22&lt;&gt;"Xp"))+((AJ22&lt;&gt;"Xn"))=3,AJ$3&amp;", ",AJ$3&amp;IF((AJ22&lt;&gt;"Xm"),"_m","")&amp;IF((AJ22&lt;&gt;"Xp"),"_p","")&amp;IF((AJ22&lt;&gt;"Xn"),"_n","")&amp;", ")))</f>
        <v>CONTI S, </v>
      </c>
      <c r="BY22" s="1" t="str">
        <f aca="false">IF((AK22="X")+(AK22="Gn")+(AK22="C")+(AK21="Gn")&gt;0,"",IF(((AK22&lt;&gt;"Xm"))+((AK22&lt;&gt;"Xp"))+((AK22&lt;&gt;"Xn"))=0,"",IF(((AK22&lt;&gt;"Xm"))+((AK22&lt;&gt;"Xp"))+((AK22&lt;&gt;"Xn"))=3,AK$3&amp;", ",AK$3&amp;IF((AK22&lt;&gt;"Xm"),"_m","")&amp;IF((AK22&lt;&gt;"Xp"),"_p","")&amp;IF((AK22&lt;&gt;"Xn"),"_n","")&amp;", ")))</f>
        <v>FERRARI, </v>
      </c>
      <c r="BZ22" s="1" t="str">
        <f aca="false">IF((AL22="X")+(AL22="Gn")+(AL22="C")+(AL21="Gn")&gt;0,"",IF(((AL22&lt;&gt;"Xm"))+((AL22&lt;&gt;"Xp"))+((AL22&lt;&gt;"Xn"))=0,"",IF(((AL22&lt;&gt;"Xm"))+((AL22&lt;&gt;"Xp"))+((AL22&lt;&gt;"Xn"))=3,AL$3&amp;", ",AL$3&amp;IF((AL22&lt;&gt;"Xm"),"_m","")&amp;IF((AL22&lt;&gt;"Xp"),"_p","")&amp;IF((AL22&lt;&gt;"Xn"),"_n","")&amp;", ")))</f>
        <v>GRECO, </v>
      </c>
      <c r="CA22" s="1" t="str">
        <f aca="false">IF((AM22="X")+(AM22="Gn")+(AM22="C")+(AM21="Gn")&gt;0,"",IF(((AM22&lt;&gt;"Xm"))+((AM22&lt;&gt;"Xp"))+((AM22&lt;&gt;"Xn"))=0,"",IF(((AM22&lt;&gt;"Xm"))+((AM22&lt;&gt;"Xp"))+((AM22&lt;&gt;"Xn"))=3,AM$3&amp;", ",AM$3&amp;IF((AM22&lt;&gt;"Xm"),"_m","")&amp;IF((AM22&lt;&gt;"Xp"),"_p","")&amp;IF((AM22&lt;&gt;"Xn"),"_n","")&amp;", ")))</f>
        <v>SANNA, </v>
      </c>
      <c r="CB22" s="1" t="str">
        <f aca="false">IF((AN22="X")+(AN22="Gn")+(AN22="C")+(AN21="Gn")&gt;0,"",IF(((AN22&lt;&gt;"Xm"))+((AN22&lt;&gt;"Xp"))+((AN22&lt;&gt;"Xn"))=0,"",IF(((AN22&lt;&gt;"Xm"))+((AN22&lt;&gt;"Xp"))+((AN22&lt;&gt;"Xn"))=3,AN$3&amp;", ",AN$3&amp;IF((AN22&lt;&gt;"Xm"),"_m","")&amp;IF((AN22&lt;&gt;"Xp"),"_p","")&amp;IF((AN22&lt;&gt;"Xn"),"_n","")&amp;", ")))</f>
        <v>LI, </v>
      </c>
      <c r="CD22" s="1" t="str">
        <f aca="false">IF((AA22="X")+(AA22="Gn")+(AA22="C")+(AA21="Gn")&gt;0,"",IF(((AA22&lt;&gt;"Xm")*(COUNTIFS($C$3:$P$3,"MAT",$C22:$P22,AA$3)=0)*(COUNTIFS($C$3:$P$3,"NOTTE",$C22:$P22,AA$3)=0))+((AA22&lt;&gt;"Xp")*(COUNTIFS($C$3:$P$3,"POM",$C22:$P22,AA$3)=0)*(COUNTIFS($C$3:$P$3,"NOTTE",$C22:$P22,AA$3)=0))+((AA22&lt;&gt;"Xn")*(COUNTIFS($C$3:$P$3,"MAT",$C22:$P22,AA$3)=0)*(COUNTIFS($C$3:$P$3,"POM",$C22:$P22,AA$3)=0)*(COUNTIFS($C$3:$P$3,"NOTTE",$C22:$P22,AA$3)=0))=0,"",IF(((AA22&lt;&gt;"Xm")*(COUNTIFS($C$3:$P$3,"MAT",$C22:$P22,AA$3)=0)*(COUNTIFS($C$3:$P$3,"NOTTE",$C22:$P22,AA$3)=0))+((AA22&lt;&gt;"Xp")*(COUNTIFS($C$3:$P$3,"POM",$C22:$P22,AA$3)=0)*(COUNTIFS($C$3:$P$3,"NOTTE",$C22:$P22,AA$3)=0))+((AA22&lt;&gt;"Xn")*(COUNTIFS($C$3:$P$3,"MAT",$C22:$P22,AA$3)=0)*(COUNTIFS($C$3:$P$3,"POM",$C22:$P22,AA$3)=0)*(COUNTIFS($C$3:$P$3,"NOTTE",$C22:$P22,AA$3)=0))=3,AA$3&amp;", ",AA$3&amp;IF((AA22&lt;&gt;"Xm")*(COUNTIFS($C$3:$P$3,"MAT",$C22:$P22,AA$3)=0)*(COUNTIFS($C$3:$P$3,"NOTTE",$C22:$P22,AA$3)=0),"_m","")&amp;IF((AA22&lt;&gt;"Xp")*(COUNTIFS($C$3:$P$3,"POM",$C22:$P22,AA$3)=0)*(COUNTIFS($C$3:$P$3,"NOTTE",$C22:$P22,AA$3)=0),"_p","")&amp;IF((AA22&lt;&gt;"Xn")*(COUNTIFS($C$3:$P$3,"MAT",$C22:$P22,AA$3)=0)*(COUNTIFS($C$3:$P$3,"POM",$C22:$P22,AA$3)=0)*(COUNTIFS($C$3:$P$3,"NOTTE",$C22:$P22,AA$3)=0),"_n","")&amp;", ")))</f>
        <v/>
      </c>
      <c r="CE22" s="1" t="str">
        <f aca="false">IF((AB22="X")+(AB22="Gn")+(AB22="C")+(AB21="Gn")&gt;0,"",IF(((AB22&lt;&gt;"Xm")*(COUNTIFS($C$3:$P$3,"MAT",$C22:$P22,AB$3)=0)*(COUNTIFS($C$3:$P$3,"NOTTE",$C22:$P22,AB$3)=0))+((AB22&lt;&gt;"Xp")*(COUNTIFS($C$3:$P$3,"POM",$C22:$P22,AB$3)=0)*(COUNTIFS($C$3:$P$3,"NOTTE",$C22:$P22,AB$3)=0))+((AB22&lt;&gt;"Xn")*(COUNTIFS($C$3:$P$3,"MAT",$C22:$P22,AB$3)=0)*(COUNTIFS($C$3:$P$3,"POM",$C22:$P22,AB$3)=0)*(COUNTIFS($C$3:$P$3,"NOTTE",$C22:$P22,AB$3)=0))=0,"",IF(((AB22&lt;&gt;"Xm")*(COUNTIFS($C$3:$P$3,"MAT",$C22:$P22,AB$3)=0)*(COUNTIFS($C$3:$P$3,"NOTTE",$C22:$P22,AB$3)=0))+((AB22&lt;&gt;"Xp")*(COUNTIFS($C$3:$P$3,"POM",$C22:$P22,AB$3)=0)*(COUNTIFS($C$3:$P$3,"NOTTE",$C22:$P22,AB$3)=0))+((AB22&lt;&gt;"Xn")*(COUNTIFS($C$3:$P$3,"MAT",$C22:$P22,AB$3)=0)*(COUNTIFS($C$3:$P$3,"POM",$C22:$P22,AB$3)=0)*(COUNTIFS($C$3:$P$3,"NOTTE",$C22:$P22,AB$3)=0))=3,AB$3&amp;", ",AB$3&amp;IF((AB22&lt;&gt;"Xm")*(COUNTIFS($C$3:$P$3,"MAT",$C22:$P22,AB$3)=0)*(COUNTIFS($C$3:$P$3,"NOTTE",$C22:$P22,AB$3)=0),"_m","")&amp;IF((AB22&lt;&gt;"Xp")*(COUNTIFS($C$3:$P$3,"POM",$C22:$P22,AB$3)=0)*(COUNTIFS($C$3:$P$3,"NOTTE",$C22:$P22,AB$3)=0),"_p","")&amp;IF((AB22&lt;&gt;"Xn")*(COUNTIFS($C$3:$P$3,"MAT",$C22:$P22,AB$3)=0)*(COUNTIFS($C$3:$P$3,"POM",$C22:$P22,AB$3)=0)*(COUNTIFS($C$3:$P$3,"NOTTE",$C22:$P22,AB$3)=0),"_n","")&amp;", ")))</f>
        <v>ROSSI M, </v>
      </c>
      <c r="CF22" s="1" t="str">
        <f aca="false">IF((AC22="X")+(AC22="Gn")+(AC22="C")+(AC21="Gn")&gt;0,"",IF(((AC22&lt;&gt;"Xm")*(COUNTIFS($C$3:$P$3,"MAT",$C22:$P22,AC$3)=0)*(COUNTIFS($C$3:$P$3,"NOTTE",$C22:$P22,AC$3)=0))+((AC22&lt;&gt;"Xp")*(COUNTIFS($C$3:$P$3,"POM",$C22:$P22,AC$3)=0)*(COUNTIFS($C$3:$P$3,"NOTTE",$C22:$P22,AC$3)=0))+((AC22&lt;&gt;"Xn")*(COUNTIFS($C$3:$P$3,"MAT",$C22:$P22,AC$3)=0)*(COUNTIFS($C$3:$P$3,"POM",$C22:$P22,AC$3)=0)*(COUNTIFS($C$3:$P$3,"NOTTE",$C22:$P22,AC$3)=0))=0,"",IF(((AC22&lt;&gt;"Xm")*(COUNTIFS($C$3:$P$3,"MAT",$C22:$P22,AC$3)=0)*(COUNTIFS($C$3:$P$3,"NOTTE",$C22:$P22,AC$3)=0))+((AC22&lt;&gt;"Xp")*(COUNTIFS($C$3:$P$3,"POM",$C22:$P22,AC$3)=0)*(COUNTIFS($C$3:$P$3,"NOTTE",$C22:$P22,AC$3)=0))+((AC22&lt;&gt;"Xn")*(COUNTIFS($C$3:$P$3,"MAT",$C22:$P22,AC$3)=0)*(COUNTIFS($C$3:$P$3,"POM",$C22:$P22,AC$3)=0)*(COUNTIFS($C$3:$P$3,"NOTTE",$C22:$P22,AC$3)=0))=3,AC$3&amp;", ",AC$3&amp;IF((AC22&lt;&gt;"Xm")*(COUNTIFS($C$3:$P$3,"MAT",$C22:$P22,AC$3)=0)*(COUNTIFS($C$3:$P$3,"NOTTE",$C22:$P22,AC$3)=0),"_m","")&amp;IF((AC22&lt;&gt;"Xp")*(COUNTIFS($C$3:$P$3,"POM",$C22:$P22,AC$3)=0)*(COUNTIFS($C$3:$P$3,"NOTTE",$C22:$P22,AC$3)=0),"_p","")&amp;IF((AC22&lt;&gt;"Xn")*(COUNTIFS($C$3:$P$3,"MAT",$C22:$P22,AC$3)=0)*(COUNTIFS($C$3:$P$3,"POM",$C22:$P22,AC$3)=0)*(COUNTIFS($C$3:$P$3,"NOTTE",$C22:$P22,AC$3)=0),"_n","")&amp;", ")))</f>
        <v/>
      </c>
      <c r="CG22" s="1" t="str">
        <f aca="false">IF((AD22="X")+(AD22="Gn")+(AD22="C")+(AD21="Gn")&gt;0,"",IF(((AD22&lt;&gt;"Xm")*(COUNTIFS($C$3:$P$3,"MAT",$C22:$P22,AD$3)=0)*(COUNTIFS($C$3:$P$3,"NOTTE",$C22:$P22,AD$3)=0))+((AD22&lt;&gt;"Xp")*(COUNTIFS($C$3:$P$3,"POM",$C22:$P22,AD$3)=0)*(COUNTIFS($C$3:$P$3,"NOTTE",$C22:$P22,AD$3)=0))+((AD22&lt;&gt;"Xn")*(COUNTIFS($C$3:$P$3,"MAT",$C22:$P22,AD$3)=0)*(COUNTIFS($C$3:$P$3,"POM",$C22:$P22,AD$3)=0)*(COUNTIFS($C$3:$P$3,"NOTTE",$C22:$P22,AD$3)=0))=0,"",IF(((AD22&lt;&gt;"Xm")*(COUNTIFS($C$3:$P$3,"MAT",$C22:$P22,AD$3)=0)*(COUNTIFS($C$3:$P$3,"NOTTE",$C22:$P22,AD$3)=0))+((AD22&lt;&gt;"Xp")*(COUNTIFS($C$3:$P$3,"POM",$C22:$P22,AD$3)=0)*(COUNTIFS($C$3:$P$3,"NOTTE",$C22:$P22,AD$3)=0))+((AD22&lt;&gt;"Xn")*(COUNTIFS($C$3:$P$3,"MAT",$C22:$P22,AD$3)=0)*(COUNTIFS($C$3:$P$3,"POM",$C22:$P22,AD$3)=0)*(COUNTIFS($C$3:$P$3,"NOTTE",$C22:$P22,AD$3)=0))=3,AD$3&amp;", ",AD$3&amp;IF((AD22&lt;&gt;"Xm")*(COUNTIFS($C$3:$P$3,"MAT",$C22:$P22,AD$3)=0)*(COUNTIFS($C$3:$P$3,"NOTTE",$C22:$P22,AD$3)=0),"_m","")&amp;IF((AD22&lt;&gt;"Xp")*(COUNTIFS($C$3:$P$3,"POM",$C22:$P22,AD$3)=0)*(COUNTIFS($C$3:$P$3,"NOTTE",$C22:$P22,AD$3)=0),"_p","")&amp;IF((AD22&lt;&gt;"Xn")*(COUNTIFS($C$3:$P$3,"MAT",$C22:$P22,AD$3)=0)*(COUNTIFS($C$3:$P$3,"POM",$C22:$P22,AD$3)=0)*(COUNTIFS($C$3:$P$3,"NOTTE",$C22:$P22,AD$3)=0),"_n","")&amp;", ")))</f>
        <v/>
      </c>
      <c r="CH22" s="1" t="str">
        <f aca="false">IF((AE22="X")+(AE22="Gn")+(AE22="C")+(AE21="Gn")&gt;0,"",IF(((AE22&lt;&gt;"Xm")*(COUNTIFS($C$3:$P$3,"MAT",$C22:$P22,AE$3)=0)*(COUNTIFS($C$3:$P$3,"NOTTE",$C22:$P22,AE$3)=0))+((AE22&lt;&gt;"Xp")*(COUNTIFS($C$3:$P$3,"POM",$C22:$P22,AE$3)=0)*(COUNTIFS($C$3:$P$3,"NOTTE",$C22:$P22,AE$3)=0))+((AE22&lt;&gt;"Xn")*(COUNTIFS($C$3:$P$3,"MAT",$C22:$P22,AE$3)=0)*(COUNTIFS($C$3:$P$3,"POM",$C22:$P22,AE$3)=0)*(COUNTIFS($C$3:$P$3,"NOTTE",$C22:$P22,AE$3)=0))=0,"",IF(((AE22&lt;&gt;"Xm")*(COUNTIFS($C$3:$P$3,"MAT",$C22:$P22,AE$3)=0)*(COUNTIFS($C$3:$P$3,"NOTTE",$C22:$P22,AE$3)=0))+((AE22&lt;&gt;"Xp")*(COUNTIFS($C$3:$P$3,"POM",$C22:$P22,AE$3)=0)*(COUNTIFS($C$3:$P$3,"NOTTE",$C22:$P22,AE$3)=0))+((AE22&lt;&gt;"Xn")*(COUNTIFS($C$3:$P$3,"MAT",$C22:$P22,AE$3)=0)*(COUNTIFS($C$3:$P$3,"POM",$C22:$P22,AE$3)=0)*(COUNTIFS($C$3:$P$3,"NOTTE",$C22:$P22,AE$3)=0))=3,AE$3&amp;", ",AE$3&amp;IF((AE22&lt;&gt;"Xm")*(COUNTIFS($C$3:$P$3,"MAT",$C22:$P22,AE$3)=0)*(COUNTIFS($C$3:$P$3,"NOTTE",$C22:$P22,AE$3)=0),"_m","")&amp;IF((AE22&lt;&gt;"Xp")*(COUNTIFS($C$3:$P$3,"POM",$C22:$P22,AE$3)=0)*(COUNTIFS($C$3:$P$3,"NOTTE",$C22:$P22,AE$3)=0),"_p","")&amp;IF((AE22&lt;&gt;"Xn")*(COUNTIFS($C$3:$P$3,"MAT",$C22:$P22,AE$3)=0)*(COUNTIFS($C$3:$P$3,"POM",$C22:$P22,AE$3)=0)*(COUNTIFS($C$3:$P$3,"NOTTE",$C22:$P22,AE$3)=0),"_n","")&amp;", ")))</f>
        <v>RUSSO, </v>
      </c>
      <c r="CI22" s="1" t="str">
        <f aca="false">IF((AF22="X")+(AF22="Gn")+(AF22="C")+(AF21="Gn")&gt;0,"",IF(((AF22&lt;&gt;"Xm")*(COUNTIFS($C$3:$P$3,"MAT",$C22:$P22,AF$3)=0)*(COUNTIFS($C$3:$P$3,"NOTTE",$C22:$P22,AF$3)=0))+((AF22&lt;&gt;"Xp")*(COUNTIFS($C$3:$P$3,"POM",$C22:$P22,AF$3)=0)*(COUNTIFS($C$3:$P$3,"NOTTE",$C22:$P22,AF$3)=0))+((AF22&lt;&gt;"Xn")*(COUNTIFS($C$3:$P$3,"MAT",$C22:$P22,AF$3)=0)*(COUNTIFS($C$3:$P$3,"POM",$C22:$P22,AF$3)=0)*(COUNTIFS($C$3:$P$3,"NOTTE",$C22:$P22,AF$3)=0))=0,"",IF(((AF22&lt;&gt;"Xm")*(COUNTIFS($C$3:$P$3,"MAT",$C22:$P22,AF$3)=0)*(COUNTIFS($C$3:$P$3,"NOTTE",$C22:$P22,AF$3)=0))+((AF22&lt;&gt;"Xp")*(COUNTIFS($C$3:$P$3,"POM",$C22:$P22,AF$3)=0)*(COUNTIFS($C$3:$P$3,"NOTTE",$C22:$P22,AF$3)=0))+((AF22&lt;&gt;"Xn")*(COUNTIFS($C$3:$P$3,"MAT",$C22:$P22,AF$3)=0)*(COUNTIFS($C$3:$P$3,"POM",$C22:$P22,AF$3)=0)*(COUNTIFS($C$3:$P$3,"NOTTE",$C22:$P22,AF$3)=0))=3,AF$3&amp;", ",AF$3&amp;IF((AF22&lt;&gt;"Xm")*(COUNTIFS($C$3:$P$3,"MAT",$C22:$P22,AF$3)=0)*(COUNTIFS($C$3:$P$3,"NOTTE",$C22:$P22,AF$3)=0),"_m","")&amp;IF((AF22&lt;&gt;"Xp")*(COUNTIFS($C$3:$P$3,"POM",$C22:$P22,AF$3)=0)*(COUNTIFS($C$3:$P$3,"NOTTE",$C22:$P22,AF$3)=0),"_p","")&amp;IF((AF22&lt;&gt;"Xn")*(COUNTIFS($C$3:$P$3,"MAT",$C22:$P22,AF$3)=0)*(COUNTIFS($C$3:$P$3,"POM",$C22:$P22,AF$3)=0)*(COUNTIFS($C$3:$P$3,"NOTTE",$C22:$P22,AF$3)=0),"_n","")&amp;", ")))</f>
        <v>VERDI_p, </v>
      </c>
      <c r="CJ22" s="1" t="str">
        <f aca="false">IF((AG22="X")+(AG22="Gn")+(AG22="C")+(AG21="Gn")&gt;0,"",IF(((AG22&lt;&gt;"Xm")*(COUNTIFS($C$3:$P$3,"MAT",$C22:$P22,AG$3)=0)*(COUNTIFS($C$3:$P$3,"NOTTE",$C22:$P22,AG$3)=0))+((AG22&lt;&gt;"Xp")*(COUNTIFS($C$3:$P$3,"POM",$C22:$P22,AG$3)=0)*(COUNTIFS($C$3:$P$3,"NOTTE",$C22:$P22,AG$3)=0))+((AG22&lt;&gt;"Xn")*(COUNTIFS($C$3:$P$3,"MAT",$C22:$P22,AG$3)=0)*(COUNTIFS($C$3:$P$3,"POM",$C22:$P22,AG$3)=0)*(COUNTIFS($C$3:$P$3,"NOTTE",$C22:$P22,AG$3)=0))=0,"",IF(((AG22&lt;&gt;"Xm")*(COUNTIFS($C$3:$P$3,"MAT",$C22:$P22,AG$3)=0)*(COUNTIFS($C$3:$P$3,"NOTTE",$C22:$P22,AG$3)=0))+((AG22&lt;&gt;"Xp")*(COUNTIFS($C$3:$P$3,"POM",$C22:$P22,AG$3)=0)*(COUNTIFS($C$3:$P$3,"NOTTE",$C22:$P22,AG$3)=0))+((AG22&lt;&gt;"Xn")*(COUNTIFS($C$3:$P$3,"MAT",$C22:$P22,AG$3)=0)*(COUNTIFS($C$3:$P$3,"POM",$C22:$P22,AG$3)=0)*(COUNTIFS($C$3:$P$3,"NOTTE",$C22:$P22,AG$3)=0))=3,AG$3&amp;", ",AG$3&amp;IF((AG22&lt;&gt;"Xm")*(COUNTIFS($C$3:$P$3,"MAT",$C22:$P22,AG$3)=0)*(COUNTIFS($C$3:$P$3,"NOTTE",$C22:$P22,AG$3)=0),"_m","")&amp;IF((AG22&lt;&gt;"Xp")*(COUNTIFS($C$3:$P$3,"POM",$C22:$P22,AG$3)=0)*(COUNTIFS($C$3:$P$3,"NOTTE",$C22:$P22,AG$3)=0),"_p","")&amp;IF((AG22&lt;&gt;"Xn")*(COUNTIFS($C$3:$P$3,"MAT",$C22:$P22,AG$3)=0)*(COUNTIFS($C$3:$P$3,"POM",$C22:$P22,AG$3)=0)*(COUNTIFS($C$3:$P$3,"NOTTE",$C22:$P22,AG$3)=0),"_n","")&amp;", ")))</f>
        <v>HU, </v>
      </c>
      <c r="CK22" s="1" t="str">
        <f aca="false">IF((AH22="X")+(AH22="Gn")+(AH22="C")+(AH21="Gn")&gt;0,"",IF(((AH22&lt;&gt;"Xm")*(COUNTIFS($C$3:$P$3,"MAT",$C22:$P22,AH$3)=0)*(COUNTIFS($C$3:$P$3,"NOTTE",$C22:$P22,AH$3)=0))+((AH22&lt;&gt;"Xp")*(COUNTIFS($C$3:$P$3,"POM",$C22:$P22,AH$3)=0)*(COUNTIFS($C$3:$P$3,"NOTTE",$C22:$P22,AH$3)=0))+((AH22&lt;&gt;"Xn")*(COUNTIFS($C$3:$P$3,"MAT",$C22:$P22,AH$3)=0)*(COUNTIFS($C$3:$P$3,"POM",$C22:$P22,AH$3)=0)*(COUNTIFS($C$3:$P$3,"NOTTE",$C22:$P22,AH$3)=0))=0,"",IF(((AH22&lt;&gt;"Xm")*(COUNTIFS($C$3:$P$3,"MAT",$C22:$P22,AH$3)=0)*(COUNTIFS($C$3:$P$3,"NOTTE",$C22:$P22,AH$3)=0))+((AH22&lt;&gt;"Xp")*(COUNTIFS($C$3:$P$3,"POM",$C22:$P22,AH$3)=0)*(COUNTIFS($C$3:$P$3,"NOTTE",$C22:$P22,AH$3)=0))+((AH22&lt;&gt;"Xn")*(COUNTIFS($C$3:$P$3,"MAT",$C22:$P22,AH$3)=0)*(COUNTIFS($C$3:$P$3,"POM",$C22:$P22,AH$3)=0)*(COUNTIFS($C$3:$P$3,"NOTTE",$C22:$P22,AH$3)=0))=3,AH$3&amp;", ",AH$3&amp;IF((AH22&lt;&gt;"Xm")*(COUNTIFS($C$3:$P$3,"MAT",$C22:$P22,AH$3)=0)*(COUNTIFS($C$3:$P$3,"NOTTE",$C22:$P22,AH$3)=0),"_m","")&amp;IF((AH22&lt;&gt;"Xp")*(COUNTIFS($C$3:$P$3,"POM",$C22:$P22,AH$3)=0)*(COUNTIFS($C$3:$P$3,"NOTTE",$C22:$P22,AH$3)=0),"_p","")&amp;IF((AH22&lt;&gt;"Xn")*(COUNTIFS($C$3:$P$3,"MAT",$C22:$P22,AH$3)=0)*(COUNTIFS($C$3:$P$3,"POM",$C22:$P22,AH$3)=0)*(COUNTIFS($C$3:$P$3,"NOTTE",$C22:$P22,AH$3)=0),"_n","")&amp;", ")))</f>
        <v>MARINI, </v>
      </c>
      <c r="CL22" s="1" t="str">
        <f aca="false">IF((AI22="X")+(AI22="Gn")+(AI22="C")+(AI21="Gn")&gt;0,"",IF(((AI22&lt;&gt;"Xm")*(COUNTIFS($C$3:$P$3,"MAT",$C22:$P22,AI$3)=0)*(COUNTIFS($C$3:$P$3,"NOTTE",$C22:$P22,AI$3)=0))+((AI22&lt;&gt;"Xp")*(COUNTIFS($C$3:$P$3,"POM",$C22:$P22,AI$3)=0)*(COUNTIFS($C$3:$P$3,"NOTTE",$C22:$P22,AI$3)=0))+((AI22&lt;&gt;"Xn")*(COUNTIFS($C$3:$P$3,"MAT",$C22:$P22,AI$3)=0)*(COUNTIFS($C$3:$P$3,"POM",$C22:$P22,AI$3)=0)*(COUNTIFS($C$3:$P$3,"NOTTE",$C22:$P22,AI$3)=0))=0,"",IF(((AI22&lt;&gt;"Xm")*(COUNTIFS($C$3:$P$3,"MAT",$C22:$P22,AI$3)=0)*(COUNTIFS($C$3:$P$3,"NOTTE",$C22:$P22,AI$3)=0))+((AI22&lt;&gt;"Xp")*(COUNTIFS($C$3:$P$3,"POM",$C22:$P22,AI$3)=0)*(COUNTIFS($C$3:$P$3,"NOTTE",$C22:$P22,AI$3)=0))+((AI22&lt;&gt;"Xn")*(COUNTIFS($C$3:$P$3,"MAT",$C22:$P22,AI$3)=0)*(COUNTIFS($C$3:$P$3,"POM",$C22:$P22,AI$3)=0)*(COUNTIFS($C$3:$P$3,"NOTTE",$C22:$P22,AI$3)=0))=3,AI$3&amp;", ",AI$3&amp;IF((AI22&lt;&gt;"Xm")*(COUNTIFS($C$3:$P$3,"MAT",$C22:$P22,AI$3)=0)*(COUNTIFS($C$3:$P$3,"NOTTE",$C22:$P22,AI$3)=0),"_m","")&amp;IF((AI22&lt;&gt;"Xp")*(COUNTIFS($C$3:$P$3,"POM",$C22:$P22,AI$3)=0)*(COUNTIFS($C$3:$P$3,"NOTTE",$C22:$P22,AI$3)=0),"_p","")&amp;IF((AI22&lt;&gt;"Xn")*(COUNTIFS($C$3:$P$3,"MAT",$C22:$P22,AI$3)=0)*(COUNTIFS($C$3:$P$3,"POM",$C22:$P22,AI$3)=0)*(COUNTIFS($C$3:$P$3,"NOTTE",$C22:$P22,AI$3)=0),"_n","")&amp;", ")))</f>
        <v/>
      </c>
      <c r="CM22" s="1" t="str">
        <f aca="false">IF((AJ22="X")+(AJ22="Gn")+(AJ22="C")+(AJ21="Gn")&gt;0,"",IF(((AJ22&lt;&gt;"Xm")*(COUNTIFS($C$3:$P$3,"MAT",$C22:$P22,AJ$3)=0)*(COUNTIFS($C$3:$P$3,"NOTTE",$C22:$P22,AJ$3)=0))+((AJ22&lt;&gt;"Xp")*(COUNTIFS($C$3:$P$3,"POM",$C22:$P22,AJ$3)=0)*(COUNTIFS($C$3:$P$3,"NOTTE",$C22:$P22,AJ$3)=0))+((AJ22&lt;&gt;"Xn")*(COUNTIFS($C$3:$P$3,"MAT",$C22:$P22,AJ$3)=0)*(COUNTIFS($C$3:$P$3,"POM",$C22:$P22,AJ$3)=0)*(COUNTIFS($C$3:$P$3,"NOTTE",$C22:$P22,AJ$3)=0))=0,"",IF(((AJ22&lt;&gt;"Xm")*(COUNTIFS($C$3:$P$3,"MAT",$C22:$P22,AJ$3)=0)*(COUNTIFS($C$3:$P$3,"NOTTE",$C22:$P22,AJ$3)=0))+((AJ22&lt;&gt;"Xp")*(COUNTIFS($C$3:$P$3,"POM",$C22:$P22,AJ$3)=0)*(COUNTIFS($C$3:$P$3,"NOTTE",$C22:$P22,AJ$3)=0))+((AJ22&lt;&gt;"Xn")*(COUNTIFS($C$3:$P$3,"MAT",$C22:$P22,AJ$3)=0)*(COUNTIFS($C$3:$P$3,"POM",$C22:$P22,AJ$3)=0)*(COUNTIFS($C$3:$P$3,"NOTTE",$C22:$P22,AJ$3)=0))=3,AJ$3&amp;", ",AJ$3&amp;IF((AJ22&lt;&gt;"Xm")*(COUNTIFS($C$3:$P$3,"MAT",$C22:$P22,AJ$3)=0)*(COUNTIFS($C$3:$P$3,"NOTTE",$C22:$P22,AJ$3)=0),"_m","")&amp;IF((AJ22&lt;&gt;"Xp")*(COUNTIFS($C$3:$P$3,"POM",$C22:$P22,AJ$3)=0)*(COUNTIFS($C$3:$P$3,"NOTTE",$C22:$P22,AJ$3)=0),"_p","")&amp;IF((AJ22&lt;&gt;"Xn")*(COUNTIFS($C$3:$P$3,"MAT",$C22:$P22,AJ$3)=0)*(COUNTIFS($C$3:$P$3,"POM",$C22:$P22,AJ$3)=0)*(COUNTIFS($C$3:$P$3,"NOTTE",$C22:$P22,AJ$3)=0),"_n","")&amp;", ")))</f>
        <v/>
      </c>
      <c r="CN22" s="1" t="str">
        <f aca="false">IF((AK22="X")+(AK22="Gn")+(AK22="C")+(AK21="Gn")&gt;0,"",IF(((AK22&lt;&gt;"Xm")*(COUNTIFS($C$3:$P$3,"MAT",$C22:$P22,AK$3)=0)*(COUNTIFS($C$3:$P$3,"NOTTE",$C22:$P22,AK$3)=0))+((AK22&lt;&gt;"Xp")*(COUNTIFS($C$3:$P$3,"POM",$C22:$P22,AK$3)=0)*(COUNTIFS($C$3:$P$3,"NOTTE",$C22:$P22,AK$3)=0))+((AK22&lt;&gt;"Xn")*(COUNTIFS($C$3:$P$3,"MAT",$C22:$P22,AK$3)=0)*(COUNTIFS($C$3:$P$3,"POM",$C22:$P22,AK$3)=0)*(COUNTIFS($C$3:$P$3,"NOTTE",$C22:$P22,AK$3)=0))=0,"",IF(((AK22&lt;&gt;"Xm")*(COUNTIFS($C$3:$P$3,"MAT",$C22:$P22,AK$3)=0)*(COUNTIFS($C$3:$P$3,"NOTTE",$C22:$P22,AK$3)=0))+((AK22&lt;&gt;"Xp")*(COUNTIFS($C$3:$P$3,"POM",$C22:$P22,AK$3)=0)*(COUNTIFS($C$3:$P$3,"NOTTE",$C22:$P22,AK$3)=0))+((AK22&lt;&gt;"Xn")*(COUNTIFS($C$3:$P$3,"MAT",$C22:$P22,AK$3)=0)*(COUNTIFS($C$3:$P$3,"POM",$C22:$P22,AK$3)=0)*(COUNTIFS($C$3:$P$3,"NOTTE",$C22:$P22,AK$3)=0))=3,AK$3&amp;", ",AK$3&amp;IF((AK22&lt;&gt;"Xm")*(COUNTIFS($C$3:$P$3,"MAT",$C22:$P22,AK$3)=0)*(COUNTIFS($C$3:$P$3,"NOTTE",$C22:$P22,AK$3)=0),"_m","")&amp;IF((AK22&lt;&gt;"Xp")*(COUNTIFS($C$3:$P$3,"POM",$C22:$P22,AK$3)=0)*(COUNTIFS($C$3:$P$3,"NOTTE",$C22:$P22,AK$3)=0),"_p","")&amp;IF((AK22&lt;&gt;"Xn")*(COUNTIFS($C$3:$P$3,"MAT",$C22:$P22,AK$3)=0)*(COUNTIFS($C$3:$P$3,"POM",$C22:$P22,AK$3)=0)*(COUNTIFS($C$3:$P$3,"NOTTE",$C22:$P22,AK$3)=0),"_n","")&amp;", ")))</f>
        <v>FERRARI, </v>
      </c>
      <c r="CO22" s="1" t="str">
        <f aca="false">IF((AL22="X")+(AL22="Gn")+(AL22="C")+(AL21="Gn")&gt;0,"",IF(((AL22&lt;&gt;"Xm")*(COUNTIFS($C$3:$P$3,"MAT",$C22:$P22,AL$3)=0)*(COUNTIFS($C$3:$P$3,"NOTTE",$C22:$P22,AL$3)=0))+((AL22&lt;&gt;"Xp")*(COUNTIFS($C$3:$P$3,"POM",$C22:$P22,AL$3)=0)*(COUNTIFS($C$3:$P$3,"NOTTE",$C22:$P22,AL$3)=0))+((AL22&lt;&gt;"Xn")*(COUNTIFS($C$3:$P$3,"MAT",$C22:$P22,AL$3)=0)*(COUNTIFS($C$3:$P$3,"POM",$C22:$P22,AL$3)=0)*(COUNTIFS($C$3:$P$3,"NOTTE",$C22:$P22,AL$3)=0))=0,"",IF(((AL22&lt;&gt;"Xm")*(COUNTIFS($C$3:$P$3,"MAT",$C22:$P22,AL$3)=0)*(COUNTIFS($C$3:$P$3,"NOTTE",$C22:$P22,AL$3)=0))+((AL22&lt;&gt;"Xp")*(COUNTIFS($C$3:$P$3,"POM",$C22:$P22,AL$3)=0)*(COUNTIFS($C$3:$P$3,"NOTTE",$C22:$P22,AL$3)=0))+((AL22&lt;&gt;"Xn")*(COUNTIFS($C$3:$P$3,"MAT",$C22:$P22,AL$3)=0)*(COUNTIFS($C$3:$P$3,"POM",$C22:$P22,AL$3)=0)*(COUNTIFS($C$3:$P$3,"NOTTE",$C22:$P22,AL$3)=0))=3,AL$3&amp;", ",AL$3&amp;IF((AL22&lt;&gt;"Xm")*(COUNTIFS($C$3:$P$3,"MAT",$C22:$P22,AL$3)=0)*(COUNTIFS($C$3:$P$3,"NOTTE",$C22:$P22,AL$3)=0),"_m","")&amp;IF((AL22&lt;&gt;"Xp")*(COUNTIFS($C$3:$P$3,"POM",$C22:$P22,AL$3)=0)*(COUNTIFS($C$3:$P$3,"NOTTE",$C22:$P22,AL$3)=0),"_p","")&amp;IF((AL22&lt;&gt;"Xn")*(COUNTIFS($C$3:$P$3,"MAT",$C22:$P22,AL$3)=0)*(COUNTIFS($C$3:$P$3,"POM",$C22:$P22,AL$3)=0)*(COUNTIFS($C$3:$P$3,"NOTTE",$C22:$P22,AL$3)=0),"_n","")&amp;", ")))</f>
        <v/>
      </c>
      <c r="CP22" s="1" t="str">
        <f aca="false">IF((AM22="X")+(AM22="Gn")+(AM22="C")+(AM21="Gn")&gt;0,"",IF(((AM22&lt;&gt;"Xm")*(COUNTIFS($C$3:$P$3,"MAT",$C22:$P22,AM$3)=0)*(COUNTIFS($C$3:$P$3,"NOTTE",$C22:$P22,AM$3)=0))+((AM22&lt;&gt;"Xp")*(COUNTIFS($C$3:$P$3,"POM",$C22:$P22,AM$3)=0)*(COUNTIFS($C$3:$P$3,"NOTTE",$C22:$P22,AM$3)=0))+((AM22&lt;&gt;"Xn")*(COUNTIFS($C$3:$P$3,"MAT",$C22:$P22,AM$3)=0)*(COUNTIFS($C$3:$P$3,"POM",$C22:$P22,AM$3)=0)*(COUNTIFS($C$3:$P$3,"NOTTE",$C22:$P22,AM$3)=0))=0,"",IF(((AM22&lt;&gt;"Xm")*(COUNTIFS($C$3:$P$3,"MAT",$C22:$P22,AM$3)=0)*(COUNTIFS($C$3:$P$3,"NOTTE",$C22:$P22,AM$3)=0))+((AM22&lt;&gt;"Xp")*(COUNTIFS($C$3:$P$3,"POM",$C22:$P22,AM$3)=0)*(COUNTIFS($C$3:$P$3,"NOTTE",$C22:$P22,AM$3)=0))+((AM22&lt;&gt;"Xn")*(COUNTIFS($C$3:$P$3,"MAT",$C22:$P22,AM$3)=0)*(COUNTIFS($C$3:$P$3,"POM",$C22:$P22,AM$3)=0)*(COUNTIFS($C$3:$P$3,"NOTTE",$C22:$P22,AM$3)=0))=3,AM$3&amp;", ",AM$3&amp;IF((AM22&lt;&gt;"Xm")*(COUNTIFS($C$3:$P$3,"MAT",$C22:$P22,AM$3)=0)*(COUNTIFS($C$3:$P$3,"NOTTE",$C22:$P22,AM$3)=0),"_m","")&amp;IF((AM22&lt;&gt;"Xp")*(COUNTIFS($C$3:$P$3,"POM",$C22:$P22,AM$3)=0)*(COUNTIFS($C$3:$P$3,"NOTTE",$C22:$P22,AM$3)=0),"_p","")&amp;IF((AM22&lt;&gt;"Xn")*(COUNTIFS($C$3:$P$3,"MAT",$C22:$P22,AM$3)=0)*(COUNTIFS($C$3:$P$3,"POM",$C22:$P22,AM$3)=0)*(COUNTIFS($C$3:$P$3,"NOTTE",$C22:$P22,AM$3)=0),"_n","")&amp;", ")))</f>
        <v>SANNA_m, </v>
      </c>
      <c r="CQ22" s="1" t="str">
        <f aca="false">IF((AN22="X")+(AN22="Gn")+(AN22="C")+(AN21="Gn")&gt;0,"",IF(((AN22&lt;&gt;"Xm")*(COUNTIFS($C$3:$P$3,"MAT",$C22:$P22,AN$3)=0)*(COUNTIFS($C$3:$P$3,"NOTTE",$C22:$P22,AN$3)=0))+((AN22&lt;&gt;"Xp")*(COUNTIFS($C$3:$P$3,"POM",$C22:$P22,AN$3)=0)*(COUNTIFS($C$3:$P$3,"NOTTE",$C22:$P22,AN$3)=0))+((AN22&lt;&gt;"Xn")*(COUNTIFS($C$3:$P$3,"MAT",$C22:$P22,AN$3)=0)*(COUNTIFS($C$3:$P$3,"POM",$C22:$P22,AN$3)=0)*(COUNTIFS($C$3:$P$3,"NOTTE",$C22:$P22,AN$3)=0))=0,"",IF(((AN22&lt;&gt;"Xm")*(COUNTIFS($C$3:$P$3,"MAT",$C22:$P22,AN$3)=0)*(COUNTIFS($C$3:$P$3,"NOTTE",$C22:$P22,AN$3)=0))+((AN22&lt;&gt;"Xp")*(COUNTIFS($C$3:$P$3,"POM",$C22:$P22,AN$3)=0)*(COUNTIFS($C$3:$P$3,"NOTTE",$C22:$P22,AN$3)=0))+((AN22&lt;&gt;"Xn")*(COUNTIFS($C$3:$P$3,"MAT",$C22:$P22,AN$3)=0)*(COUNTIFS($C$3:$P$3,"POM",$C22:$P22,AN$3)=0)*(COUNTIFS($C$3:$P$3,"NOTTE",$C22:$P22,AN$3)=0))=3,AN$3&amp;", ",AN$3&amp;IF((AN22&lt;&gt;"Xm")*(COUNTIFS($C$3:$P$3,"MAT",$C22:$P22,AN$3)=0)*(COUNTIFS($C$3:$P$3,"NOTTE",$C22:$P22,AN$3)=0),"_m","")&amp;IF((AN22&lt;&gt;"Xp")*(COUNTIFS($C$3:$P$3,"POM",$C22:$P22,AN$3)=0)*(COUNTIFS($C$3:$P$3,"NOTTE",$C22:$P22,AN$3)=0),"_p","")&amp;IF((AN22&lt;&gt;"Xn")*(COUNTIFS($C$3:$P$3,"MAT",$C22:$P22,AN$3)=0)*(COUNTIFS($C$3:$P$3,"POM",$C22:$P22,AN$3)=0)*(COUNTIFS($C$3:$P$3,"NOTTE",$C22:$P22,AN$3)=0),"_n","")&amp;", ")))</f>
        <v/>
      </c>
    </row>
    <row r="23" customFormat="false" ht="15" hidden="false" customHeight="true" outlineLevel="0" collapsed="false">
      <c r="A23" s="15" t="str">
        <f aca="false">CHOOSE(WEEKDAY(DATE($B$1,$A$2,B23),2),"lunedì","martedì","mercoledì","giovedì","venerdì","sabato","domenica")</f>
        <v>venerdì</v>
      </c>
      <c r="B23" s="15" t="n">
        <v>20</v>
      </c>
      <c r="C23" s="16" t="s">
        <v>23</v>
      </c>
      <c r="D23" s="16" t="s">
        <v>23</v>
      </c>
      <c r="E23" s="16" t="s">
        <v>33</v>
      </c>
      <c r="F23" s="16" t="s">
        <v>33</v>
      </c>
      <c r="G23" s="16" t="s">
        <v>35</v>
      </c>
      <c r="H23" s="16" t="s">
        <v>35</v>
      </c>
      <c r="I23" s="16" t="s">
        <v>34</v>
      </c>
      <c r="J23" s="16"/>
      <c r="K23" s="16" t="s">
        <v>32</v>
      </c>
      <c r="L23" s="16"/>
      <c r="M23" s="16" t="s">
        <v>29</v>
      </c>
      <c r="N23" s="16" t="s">
        <v>25</v>
      </c>
      <c r="O23" s="16" t="s">
        <v>25</v>
      </c>
      <c r="P23" s="16" t="s">
        <v>26</v>
      </c>
      <c r="Q23" s="16"/>
      <c r="R23" s="16" t="str">
        <f aca="false">IF(SUMPRODUCT(($C$3:$P$3&lt;&gt;"")*($C23:$P23&lt;&gt;"")*(COUNTIFS($C23:$P23,$C23:$P23,$C$3:$P$3,$C$3:$P$3)&gt;1))&gt;0,"X","")</f>
        <v/>
      </c>
      <c r="S23" s="17" t="str">
        <f aca="false"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A_m_p, CONTI S, FERRARI, GRECO_m_n, SANNA, LI</v>
      </c>
      <c r="T23" s="17" t="str">
        <f aca="false"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ROSSI M, RUSSO, VERDI, HU_m, MARINI, CONTI A_m_p, CONTI S_p, LI</v>
      </c>
      <c r="Y23" s="15" t="str">
        <f aca="false">A23</f>
        <v>venerdì</v>
      </c>
      <c r="Z23" s="15" t="n">
        <f aca="false">B23</f>
        <v>20</v>
      </c>
      <c r="AA23" s="16"/>
      <c r="AB23" s="16"/>
      <c r="AC23" s="16"/>
      <c r="AD23" s="16"/>
      <c r="AE23" s="16"/>
      <c r="AF23" s="16"/>
      <c r="AG23" s="16"/>
      <c r="AH23" s="16"/>
      <c r="AI23" s="16" t="s">
        <v>41</v>
      </c>
      <c r="AJ23" s="16"/>
      <c r="AK23" s="16"/>
      <c r="AL23" s="16" t="s">
        <v>43</v>
      </c>
      <c r="AM23" s="16"/>
      <c r="AN23" s="16"/>
      <c r="BO23" s="1" t="str">
        <f aca="false">IF((AA23="X")+(AA23="Gn")+(AA23="C")+(AA22="Gn")&gt;0,"",IF(((AA23&lt;&gt;"Xm"))+((AA23&lt;&gt;"Xp"))+((AA23&lt;&gt;"Xn"))=0,"",IF(((AA23&lt;&gt;"Xm"))+((AA23&lt;&gt;"Xp"))+((AA23&lt;&gt;"Xn"))=3,AA$3&amp;", ",AA$3&amp;IF((AA23&lt;&gt;"Xm"),"_m","")&amp;IF((AA23&lt;&gt;"Xp"),"_p","")&amp;IF((AA23&lt;&gt;"Xn"),"_n","")&amp;", ")))</f>
        <v>LEONI, </v>
      </c>
      <c r="BP23" s="1" t="str">
        <f aca="false">IF((AB23="X")+(AB23="Gn")+(AB23="C")+(AB22="Gn")&gt;0,"",IF(((AB23&lt;&gt;"Xm"))+((AB23&lt;&gt;"Xp"))+((AB23&lt;&gt;"Xn"))=0,"",IF(((AB23&lt;&gt;"Xm"))+((AB23&lt;&gt;"Xp"))+((AB23&lt;&gt;"Xn"))=3,AB$3&amp;", ",AB$3&amp;IF((AB23&lt;&gt;"Xm"),"_m","")&amp;IF((AB23&lt;&gt;"Xp"),"_p","")&amp;IF((AB23&lt;&gt;"Xn"),"_n","")&amp;", ")))</f>
        <v>ROSSI M, </v>
      </c>
      <c r="BQ23" s="1" t="str">
        <f aca="false">IF((AC23="X")+(AC23="Gn")+(AC23="C")+(AC22="Gn")&gt;0,"",IF(((AC23&lt;&gt;"Xm"))+((AC23&lt;&gt;"Xp"))+((AC23&lt;&gt;"Xn"))=0,"",IF(((AC23&lt;&gt;"Xm"))+((AC23&lt;&gt;"Xp"))+((AC23&lt;&gt;"Xn"))=3,AC$3&amp;", ",AC$3&amp;IF((AC23&lt;&gt;"Xm"),"_m","")&amp;IF((AC23&lt;&gt;"Xp"),"_p","")&amp;IF((AC23&lt;&gt;"Xn"),"_n","")&amp;", ")))</f>
        <v>ROSSI L, </v>
      </c>
      <c r="BR23" s="1" t="str">
        <f aca="false">IF((AD23="X")+(AD23="Gn")+(AD23="C")+(AD22="Gn")&gt;0,"",IF(((AD23&lt;&gt;"Xm"))+((AD23&lt;&gt;"Xp"))+((AD23&lt;&gt;"Xn"))=0,"",IF(((AD23&lt;&gt;"Xm"))+((AD23&lt;&gt;"Xp"))+((AD23&lt;&gt;"Xn"))=3,AD$3&amp;", ",AD$3&amp;IF((AD23&lt;&gt;"Xm"),"_m","")&amp;IF((AD23&lt;&gt;"Xp"),"_p","")&amp;IF((AD23&lt;&gt;"Xn"),"_n","")&amp;", ")))</f>
        <v>GALLINA, </v>
      </c>
      <c r="BS23" s="1" t="str">
        <f aca="false">IF((AE23="X")+(AE23="Gn")+(AE23="C")+(AE22="Gn")&gt;0,"",IF(((AE23&lt;&gt;"Xm"))+((AE23&lt;&gt;"Xp"))+((AE23&lt;&gt;"Xn"))=0,"",IF(((AE23&lt;&gt;"Xm"))+((AE23&lt;&gt;"Xp"))+((AE23&lt;&gt;"Xn"))=3,AE$3&amp;", ",AE$3&amp;IF((AE23&lt;&gt;"Xm"),"_m","")&amp;IF((AE23&lt;&gt;"Xp"),"_p","")&amp;IF((AE23&lt;&gt;"Xn"),"_n","")&amp;", ")))</f>
        <v>RUSSO, </v>
      </c>
      <c r="BT23" s="1" t="str">
        <f aca="false">IF((AF23="X")+(AF23="Gn")+(AF23="C")+(AF22="Gn")&gt;0,"",IF(((AF23&lt;&gt;"Xm"))+((AF23&lt;&gt;"Xp"))+((AF23&lt;&gt;"Xn"))=0,"",IF(((AF23&lt;&gt;"Xm"))+((AF23&lt;&gt;"Xp"))+((AF23&lt;&gt;"Xn"))=3,AF$3&amp;", ",AF$3&amp;IF((AF23&lt;&gt;"Xm"),"_m","")&amp;IF((AF23&lt;&gt;"Xp"),"_p","")&amp;IF((AF23&lt;&gt;"Xn"),"_n","")&amp;", ")))</f>
        <v>VERDI, </v>
      </c>
      <c r="BU23" s="1" t="str">
        <f aca="false">IF((AG23="X")+(AG23="Gn")+(AG23="C")+(AG22="Gn")&gt;0,"",IF(((AG23&lt;&gt;"Xm"))+((AG23&lt;&gt;"Xp"))+((AG23&lt;&gt;"Xn"))=0,"",IF(((AG23&lt;&gt;"Xm"))+((AG23&lt;&gt;"Xp"))+((AG23&lt;&gt;"Xn"))=3,AG$3&amp;", ",AG$3&amp;IF((AG23&lt;&gt;"Xm"),"_m","")&amp;IF((AG23&lt;&gt;"Xp"),"_p","")&amp;IF((AG23&lt;&gt;"Xn"),"_n","")&amp;", ")))</f>
        <v>HU, </v>
      </c>
      <c r="BV23" s="1" t="str">
        <f aca="false">IF((AH23="X")+(AH23="Gn")+(AH23="C")+(AH22="Gn")&gt;0,"",IF(((AH23&lt;&gt;"Xm"))+((AH23&lt;&gt;"Xp"))+((AH23&lt;&gt;"Xn"))=0,"",IF(((AH23&lt;&gt;"Xm"))+((AH23&lt;&gt;"Xp"))+((AH23&lt;&gt;"Xn"))=3,AH$3&amp;", ",AH$3&amp;IF((AH23&lt;&gt;"Xm"),"_m","")&amp;IF((AH23&lt;&gt;"Xp"),"_p","")&amp;IF((AH23&lt;&gt;"Xn"),"_n","")&amp;", ")))</f>
        <v>MARINI, </v>
      </c>
      <c r="BW23" s="1" t="str">
        <f aca="false">IF((AI23="X")+(AI23="Gn")+(AI23="C")+(AI22="Gn")&gt;0,"",IF(((AI23&lt;&gt;"Xm"))+((AI23&lt;&gt;"Xp"))+((AI23&lt;&gt;"Xn"))=0,"",IF(((AI23&lt;&gt;"Xm"))+((AI23&lt;&gt;"Xp"))+((AI23&lt;&gt;"Xn"))=3,AI$3&amp;", ",AI$3&amp;IF((AI23&lt;&gt;"Xm"),"_m","")&amp;IF((AI23&lt;&gt;"Xp"),"_p","")&amp;IF((AI23&lt;&gt;"Xn"),"_n","")&amp;", ")))</f>
        <v>CONTI A_m_p, </v>
      </c>
      <c r="BX23" s="1" t="str">
        <f aca="false">IF((AJ23="X")+(AJ23="Gn")+(AJ23="C")+(AJ22="Gn")&gt;0,"",IF(((AJ23&lt;&gt;"Xm"))+((AJ23&lt;&gt;"Xp"))+((AJ23&lt;&gt;"Xn"))=0,"",IF(((AJ23&lt;&gt;"Xm"))+((AJ23&lt;&gt;"Xp"))+((AJ23&lt;&gt;"Xn"))=3,AJ$3&amp;", ",AJ$3&amp;IF((AJ23&lt;&gt;"Xm"),"_m","")&amp;IF((AJ23&lt;&gt;"Xp"),"_p","")&amp;IF((AJ23&lt;&gt;"Xn"),"_n","")&amp;", ")))</f>
        <v>CONTI S, </v>
      </c>
      <c r="BY23" s="1" t="str">
        <f aca="false">IF((AK23="X")+(AK23="Gn")+(AK23="C")+(AK22="Gn")&gt;0,"",IF(((AK23&lt;&gt;"Xm"))+((AK23&lt;&gt;"Xp"))+((AK23&lt;&gt;"Xn"))=0,"",IF(((AK23&lt;&gt;"Xm"))+((AK23&lt;&gt;"Xp"))+((AK23&lt;&gt;"Xn"))=3,AK$3&amp;", ",AK$3&amp;IF((AK23&lt;&gt;"Xm"),"_m","")&amp;IF((AK23&lt;&gt;"Xp"),"_p","")&amp;IF((AK23&lt;&gt;"Xn"),"_n","")&amp;", ")))</f>
        <v>FERRARI, </v>
      </c>
      <c r="BZ23" s="1" t="str">
        <f aca="false">IF((AL23="X")+(AL23="Gn")+(AL23="C")+(AL22="Gn")&gt;0,"",IF(((AL23&lt;&gt;"Xm"))+((AL23&lt;&gt;"Xp"))+((AL23&lt;&gt;"Xn"))=0,"",IF(((AL23&lt;&gt;"Xm"))+((AL23&lt;&gt;"Xp"))+((AL23&lt;&gt;"Xn"))=3,AL$3&amp;", ",AL$3&amp;IF((AL23&lt;&gt;"Xm"),"_m","")&amp;IF((AL23&lt;&gt;"Xp"),"_p","")&amp;IF((AL23&lt;&gt;"Xn"),"_n","")&amp;", ")))</f>
        <v>GRECO_m_n, </v>
      </c>
      <c r="CA23" s="1" t="str">
        <f aca="false">IF((AM23="X")+(AM23="Gn")+(AM23="C")+(AM22="Gn")&gt;0,"",IF(((AM23&lt;&gt;"Xm"))+((AM23&lt;&gt;"Xp"))+((AM23&lt;&gt;"Xn"))=0,"",IF(((AM23&lt;&gt;"Xm"))+((AM23&lt;&gt;"Xp"))+((AM23&lt;&gt;"Xn"))=3,AM$3&amp;", ",AM$3&amp;IF((AM23&lt;&gt;"Xm"),"_m","")&amp;IF((AM23&lt;&gt;"Xp"),"_p","")&amp;IF((AM23&lt;&gt;"Xn"),"_n","")&amp;", ")))</f>
        <v>SANNA, </v>
      </c>
      <c r="CB23" s="1" t="str">
        <f aca="false">IF((AN23="X")+(AN23="Gn")+(AN23="C")+(AN22="Gn")&gt;0,"",IF(((AN23&lt;&gt;"Xm"))+((AN23&lt;&gt;"Xp"))+((AN23&lt;&gt;"Xn"))=0,"",IF(((AN23&lt;&gt;"Xm"))+((AN23&lt;&gt;"Xp"))+((AN23&lt;&gt;"Xn"))=3,AN$3&amp;", ",AN$3&amp;IF((AN23&lt;&gt;"Xm"),"_m","")&amp;IF((AN23&lt;&gt;"Xp"),"_p","")&amp;IF((AN23&lt;&gt;"Xn"),"_n","")&amp;", ")))</f>
        <v>LI, </v>
      </c>
      <c r="CD23" s="1" t="str">
        <f aca="false">IF((AA23="X")+(AA23="Gn")+(AA23="C")+(AA22="Gn")&gt;0,"",IF(((AA23&lt;&gt;"Xm")*(COUNTIFS($C$3:$P$3,"MAT",$C23:$P23,AA$3)=0)*(COUNTIFS($C$3:$P$3,"NOTTE",$C23:$P23,AA$3)=0))+((AA23&lt;&gt;"Xp")*(COUNTIFS($C$3:$P$3,"POM",$C23:$P23,AA$3)=0)*(COUNTIFS($C$3:$P$3,"NOTTE",$C23:$P23,AA$3)=0))+((AA23&lt;&gt;"Xn")*(COUNTIFS($C$3:$P$3,"MAT",$C23:$P23,AA$3)=0)*(COUNTIFS($C$3:$P$3,"POM",$C23:$P23,AA$3)=0)*(COUNTIFS($C$3:$P$3,"NOTTE",$C23:$P23,AA$3)=0))=0,"",IF(((AA23&lt;&gt;"Xm")*(COUNTIFS($C$3:$P$3,"MAT",$C23:$P23,AA$3)=0)*(COUNTIFS($C$3:$P$3,"NOTTE",$C23:$P23,AA$3)=0))+((AA23&lt;&gt;"Xp")*(COUNTIFS($C$3:$P$3,"POM",$C23:$P23,AA$3)=0)*(COUNTIFS($C$3:$P$3,"NOTTE",$C23:$P23,AA$3)=0))+((AA23&lt;&gt;"Xn")*(COUNTIFS($C$3:$P$3,"MAT",$C23:$P23,AA$3)=0)*(COUNTIFS($C$3:$P$3,"POM",$C23:$P23,AA$3)=0)*(COUNTIFS($C$3:$P$3,"NOTTE",$C23:$P23,AA$3)=0))=3,AA$3&amp;", ",AA$3&amp;IF((AA23&lt;&gt;"Xm")*(COUNTIFS($C$3:$P$3,"MAT",$C23:$P23,AA$3)=0)*(COUNTIFS($C$3:$P$3,"NOTTE",$C23:$P23,AA$3)=0),"_m","")&amp;IF((AA23&lt;&gt;"Xp")*(COUNTIFS($C$3:$P$3,"POM",$C23:$P23,AA$3)=0)*(COUNTIFS($C$3:$P$3,"NOTTE",$C23:$P23,AA$3)=0),"_p","")&amp;IF((AA23&lt;&gt;"Xn")*(COUNTIFS($C$3:$P$3,"MAT",$C23:$P23,AA$3)=0)*(COUNTIFS($C$3:$P$3,"POM",$C23:$P23,AA$3)=0)*(COUNTIFS($C$3:$P$3,"NOTTE",$C23:$P23,AA$3)=0),"_n","")&amp;", ")))</f>
        <v/>
      </c>
      <c r="CE23" s="1" t="str">
        <f aca="false">IF((AB23="X")+(AB23="Gn")+(AB23="C")+(AB22="Gn")&gt;0,"",IF(((AB23&lt;&gt;"Xm")*(COUNTIFS($C$3:$P$3,"MAT",$C23:$P23,AB$3)=0)*(COUNTIFS($C$3:$P$3,"NOTTE",$C23:$P23,AB$3)=0))+((AB23&lt;&gt;"Xp")*(COUNTIFS($C$3:$P$3,"POM",$C23:$P23,AB$3)=0)*(COUNTIFS($C$3:$P$3,"NOTTE",$C23:$P23,AB$3)=0))+((AB23&lt;&gt;"Xn")*(COUNTIFS($C$3:$P$3,"MAT",$C23:$P23,AB$3)=0)*(COUNTIFS($C$3:$P$3,"POM",$C23:$P23,AB$3)=0)*(COUNTIFS($C$3:$P$3,"NOTTE",$C23:$P23,AB$3)=0))=0,"",IF(((AB23&lt;&gt;"Xm")*(COUNTIFS($C$3:$P$3,"MAT",$C23:$P23,AB$3)=0)*(COUNTIFS($C$3:$P$3,"NOTTE",$C23:$P23,AB$3)=0))+((AB23&lt;&gt;"Xp")*(COUNTIFS($C$3:$P$3,"POM",$C23:$P23,AB$3)=0)*(COUNTIFS($C$3:$P$3,"NOTTE",$C23:$P23,AB$3)=0))+((AB23&lt;&gt;"Xn")*(COUNTIFS($C$3:$P$3,"MAT",$C23:$P23,AB$3)=0)*(COUNTIFS($C$3:$P$3,"POM",$C23:$P23,AB$3)=0)*(COUNTIFS($C$3:$P$3,"NOTTE",$C23:$P23,AB$3)=0))=3,AB$3&amp;", ",AB$3&amp;IF((AB23&lt;&gt;"Xm")*(COUNTIFS($C$3:$P$3,"MAT",$C23:$P23,AB$3)=0)*(COUNTIFS($C$3:$P$3,"NOTTE",$C23:$P23,AB$3)=0),"_m","")&amp;IF((AB23&lt;&gt;"Xp")*(COUNTIFS($C$3:$P$3,"POM",$C23:$P23,AB$3)=0)*(COUNTIFS($C$3:$P$3,"NOTTE",$C23:$P23,AB$3)=0),"_p","")&amp;IF((AB23&lt;&gt;"Xn")*(COUNTIFS($C$3:$P$3,"MAT",$C23:$P23,AB$3)=0)*(COUNTIFS($C$3:$P$3,"POM",$C23:$P23,AB$3)=0)*(COUNTIFS($C$3:$P$3,"NOTTE",$C23:$P23,AB$3)=0),"_n","")&amp;", ")))</f>
        <v>ROSSI M, </v>
      </c>
      <c r="CF23" s="1" t="str">
        <f aca="false">IF((AC23="X")+(AC23="Gn")+(AC23="C")+(AC22="Gn")&gt;0,"",IF(((AC23&lt;&gt;"Xm")*(COUNTIFS($C$3:$P$3,"MAT",$C23:$P23,AC$3)=0)*(COUNTIFS($C$3:$P$3,"NOTTE",$C23:$P23,AC$3)=0))+((AC23&lt;&gt;"Xp")*(COUNTIFS($C$3:$P$3,"POM",$C23:$P23,AC$3)=0)*(COUNTIFS($C$3:$P$3,"NOTTE",$C23:$P23,AC$3)=0))+((AC23&lt;&gt;"Xn")*(COUNTIFS($C$3:$P$3,"MAT",$C23:$P23,AC$3)=0)*(COUNTIFS($C$3:$P$3,"POM",$C23:$P23,AC$3)=0)*(COUNTIFS($C$3:$P$3,"NOTTE",$C23:$P23,AC$3)=0))=0,"",IF(((AC23&lt;&gt;"Xm")*(COUNTIFS($C$3:$P$3,"MAT",$C23:$P23,AC$3)=0)*(COUNTIFS($C$3:$P$3,"NOTTE",$C23:$P23,AC$3)=0))+((AC23&lt;&gt;"Xp")*(COUNTIFS($C$3:$P$3,"POM",$C23:$P23,AC$3)=0)*(COUNTIFS($C$3:$P$3,"NOTTE",$C23:$P23,AC$3)=0))+((AC23&lt;&gt;"Xn")*(COUNTIFS($C$3:$P$3,"MAT",$C23:$P23,AC$3)=0)*(COUNTIFS($C$3:$P$3,"POM",$C23:$P23,AC$3)=0)*(COUNTIFS($C$3:$P$3,"NOTTE",$C23:$P23,AC$3)=0))=3,AC$3&amp;", ",AC$3&amp;IF((AC23&lt;&gt;"Xm")*(COUNTIFS($C$3:$P$3,"MAT",$C23:$P23,AC$3)=0)*(COUNTIFS($C$3:$P$3,"NOTTE",$C23:$P23,AC$3)=0),"_m","")&amp;IF((AC23&lt;&gt;"Xp")*(COUNTIFS($C$3:$P$3,"POM",$C23:$P23,AC$3)=0)*(COUNTIFS($C$3:$P$3,"NOTTE",$C23:$P23,AC$3)=0),"_p","")&amp;IF((AC23&lt;&gt;"Xn")*(COUNTIFS($C$3:$P$3,"MAT",$C23:$P23,AC$3)=0)*(COUNTIFS($C$3:$P$3,"POM",$C23:$P23,AC$3)=0)*(COUNTIFS($C$3:$P$3,"NOTTE",$C23:$P23,AC$3)=0),"_n","")&amp;", ")))</f>
        <v/>
      </c>
      <c r="CG23" s="1" t="str">
        <f aca="false">IF((AD23="X")+(AD23="Gn")+(AD23="C")+(AD22="Gn")&gt;0,"",IF(((AD23&lt;&gt;"Xm")*(COUNTIFS($C$3:$P$3,"MAT",$C23:$P23,AD$3)=0)*(COUNTIFS($C$3:$P$3,"NOTTE",$C23:$P23,AD$3)=0))+((AD23&lt;&gt;"Xp")*(COUNTIFS($C$3:$P$3,"POM",$C23:$P23,AD$3)=0)*(COUNTIFS($C$3:$P$3,"NOTTE",$C23:$P23,AD$3)=0))+((AD23&lt;&gt;"Xn")*(COUNTIFS($C$3:$P$3,"MAT",$C23:$P23,AD$3)=0)*(COUNTIFS($C$3:$P$3,"POM",$C23:$P23,AD$3)=0)*(COUNTIFS($C$3:$P$3,"NOTTE",$C23:$P23,AD$3)=0))=0,"",IF(((AD23&lt;&gt;"Xm")*(COUNTIFS($C$3:$P$3,"MAT",$C23:$P23,AD$3)=0)*(COUNTIFS($C$3:$P$3,"NOTTE",$C23:$P23,AD$3)=0))+((AD23&lt;&gt;"Xp")*(COUNTIFS($C$3:$P$3,"POM",$C23:$P23,AD$3)=0)*(COUNTIFS($C$3:$P$3,"NOTTE",$C23:$P23,AD$3)=0))+((AD23&lt;&gt;"Xn")*(COUNTIFS($C$3:$P$3,"MAT",$C23:$P23,AD$3)=0)*(COUNTIFS($C$3:$P$3,"POM",$C23:$P23,AD$3)=0)*(COUNTIFS($C$3:$P$3,"NOTTE",$C23:$P23,AD$3)=0))=3,AD$3&amp;", ",AD$3&amp;IF((AD23&lt;&gt;"Xm")*(COUNTIFS($C$3:$P$3,"MAT",$C23:$P23,AD$3)=0)*(COUNTIFS($C$3:$P$3,"NOTTE",$C23:$P23,AD$3)=0),"_m","")&amp;IF((AD23&lt;&gt;"Xp")*(COUNTIFS($C$3:$P$3,"POM",$C23:$P23,AD$3)=0)*(COUNTIFS($C$3:$P$3,"NOTTE",$C23:$P23,AD$3)=0),"_p","")&amp;IF((AD23&lt;&gt;"Xn")*(COUNTIFS($C$3:$P$3,"MAT",$C23:$P23,AD$3)=0)*(COUNTIFS($C$3:$P$3,"POM",$C23:$P23,AD$3)=0)*(COUNTIFS($C$3:$P$3,"NOTTE",$C23:$P23,AD$3)=0),"_n","")&amp;", ")))</f>
        <v/>
      </c>
      <c r="CH23" s="1" t="str">
        <f aca="false">IF((AE23="X")+(AE23="Gn")+(AE23="C")+(AE22="Gn")&gt;0,"",IF(((AE23&lt;&gt;"Xm")*(COUNTIFS($C$3:$P$3,"MAT",$C23:$P23,AE$3)=0)*(COUNTIFS($C$3:$P$3,"NOTTE",$C23:$P23,AE$3)=0))+((AE23&lt;&gt;"Xp")*(COUNTIFS($C$3:$P$3,"POM",$C23:$P23,AE$3)=0)*(COUNTIFS($C$3:$P$3,"NOTTE",$C23:$P23,AE$3)=0))+((AE23&lt;&gt;"Xn")*(COUNTIFS($C$3:$P$3,"MAT",$C23:$P23,AE$3)=0)*(COUNTIFS($C$3:$P$3,"POM",$C23:$P23,AE$3)=0)*(COUNTIFS($C$3:$P$3,"NOTTE",$C23:$P23,AE$3)=0))=0,"",IF(((AE23&lt;&gt;"Xm")*(COUNTIFS($C$3:$P$3,"MAT",$C23:$P23,AE$3)=0)*(COUNTIFS($C$3:$P$3,"NOTTE",$C23:$P23,AE$3)=0))+((AE23&lt;&gt;"Xp")*(COUNTIFS($C$3:$P$3,"POM",$C23:$P23,AE$3)=0)*(COUNTIFS($C$3:$P$3,"NOTTE",$C23:$P23,AE$3)=0))+((AE23&lt;&gt;"Xn")*(COUNTIFS($C$3:$P$3,"MAT",$C23:$P23,AE$3)=0)*(COUNTIFS($C$3:$P$3,"POM",$C23:$P23,AE$3)=0)*(COUNTIFS($C$3:$P$3,"NOTTE",$C23:$P23,AE$3)=0))=3,AE$3&amp;", ",AE$3&amp;IF((AE23&lt;&gt;"Xm")*(COUNTIFS($C$3:$P$3,"MAT",$C23:$P23,AE$3)=0)*(COUNTIFS($C$3:$P$3,"NOTTE",$C23:$P23,AE$3)=0),"_m","")&amp;IF((AE23&lt;&gt;"Xp")*(COUNTIFS($C$3:$P$3,"POM",$C23:$P23,AE$3)=0)*(COUNTIFS($C$3:$P$3,"NOTTE",$C23:$P23,AE$3)=0),"_p","")&amp;IF((AE23&lt;&gt;"Xn")*(COUNTIFS($C$3:$P$3,"MAT",$C23:$P23,AE$3)=0)*(COUNTIFS($C$3:$P$3,"POM",$C23:$P23,AE$3)=0)*(COUNTIFS($C$3:$P$3,"NOTTE",$C23:$P23,AE$3)=0),"_n","")&amp;", ")))</f>
        <v>RUSSO, </v>
      </c>
      <c r="CI23" s="1" t="str">
        <f aca="false">IF((AF23="X")+(AF23="Gn")+(AF23="C")+(AF22="Gn")&gt;0,"",IF(((AF23&lt;&gt;"Xm")*(COUNTIFS($C$3:$P$3,"MAT",$C23:$P23,AF$3)=0)*(COUNTIFS($C$3:$P$3,"NOTTE",$C23:$P23,AF$3)=0))+((AF23&lt;&gt;"Xp")*(COUNTIFS($C$3:$P$3,"POM",$C23:$P23,AF$3)=0)*(COUNTIFS($C$3:$P$3,"NOTTE",$C23:$P23,AF$3)=0))+((AF23&lt;&gt;"Xn")*(COUNTIFS($C$3:$P$3,"MAT",$C23:$P23,AF$3)=0)*(COUNTIFS($C$3:$P$3,"POM",$C23:$P23,AF$3)=0)*(COUNTIFS($C$3:$P$3,"NOTTE",$C23:$P23,AF$3)=0))=0,"",IF(((AF23&lt;&gt;"Xm")*(COUNTIFS($C$3:$P$3,"MAT",$C23:$P23,AF$3)=0)*(COUNTIFS($C$3:$P$3,"NOTTE",$C23:$P23,AF$3)=0))+((AF23&lt;&gt;"Xp")*(COUNTIFS($C$3:$P$3,"POM",$C23:$P23,AF$3)=0)*(COUNTIFS($C$3:$P$3,"NOTTE",$C23:$P23,AF$3)=0))+((AF23&lt;&gt;"Xn")*(COUNTIFS($C$3:$P$3,"MAT",$C23:$P23,AF$3)=0)*(COUNTIFS($C$3:$P$3,"POM",$C23:$P23,AF$3)=0)*(COUNTIFS($C$3:$P$3,"NOTTE",$C23:$P23,AF$3)=0))=3,AF$3&amp;", ",AF$3&amp;IF((AF23&lt;&gt;"Xm")*(COUNTIFS($C$3:$P$3,"MAT",$C23:$P23,AF$3)=0)*(COUNTIFS($C$3:$P$3,"NOTTE",$C23:$P23,AF$3)=0),"_m","")&amp;IF((AF23&lt;&gt;"Xp")*(COUNTIFS($C$3:$P$3,"POM",$C23:$P23,AF$3)=0)*(COUNTIFS($C$3:$P$3,"NOTTE",$C23:$P23,AF$3)=0),"_p","")&amp;IF((AF23&lt;&gt;"Xn")*(COUNTIFS($C$3:$P$3,"MAT",$C23:$P23,AF$3)=0)*(COUNTIFS($C$3:$P$3,"POM",$C23:$P23,AF$3)=0)*(COUNTIFS($C$3:$P$3,"NOTTE",$C23:$P23,AF$3)=0),"_n","")&amp;", ")))</f>
        <v>VERDI, </v>
      </c>
      <c r="CJ23" s="1" t="str">
        <f aca="false">IF((AG23="X")+(AG23="Gn")+(AG23="C")+(AG22="Gn")&gt;0,"",IF(((AG23&lt;&gt;"Xm")*(COUNTIFS($C$3:$P$3,"MAT",$C23:$P23,AG$3)=0)*(COUNTIFS($C$3:$P$3,"NOTTE",$C23:$P23,AG$3)=0))+((AG23&lt;&gt;"Xp")*(COUNTIFS($C$3:$P$3,"POM",$C23:$P23,AG$3)=0)*(COUNTIFS($C$3:$P$3,"NOTTE",$C23:$P23,AG$3)=0))+((AG23&lt;&gt;"Xn")*(COUNTIFS($C$3:$P$3,"MAT",$C23:$P23,AG$3)=0)*(COUNTIFS($C$3:$P$3,"POM",$C23:$P23,AG$3)=0)*(COUNTIFS($C$3:$P$3,"NOTTE",$C23:$P23,AG$3)=0))=0,"",IF(((AG23&lt;&gt;"Xm")*(COUNTIFS($C$3:$P$3,"MAT",$C23:$P23,AG$3)=0)*(COUNTIFS($C$3:$P$3,"NOTTE",$C23:$P23,AG$3)=0))+((AG23&lt;&gt;"Xp")*(COUNTIFS($C$3:$P$3,"POM",$C23:$P23,AG$3)=0)*(COUNTIFS($C$3:$P$3,"NOTTE",$C23:$P23,AG$3)=0))+((AG23&lt;&gt;"Xn")*(COUNTIFS($C$3:$P$3,"MAT",$C23:$P23,AG$3)=0)*(COUNTIFS($C$3:$P$3,"POM",$C23:$P23,AG$3)=0)*(COUNTIFS($C$3:$P$3,"NOTTE",$C23:$P23,AG$3)=0))=3,AG$3&amp;", ",AG$3&amp;IF((AG23&lt;&gt;"Xm")*(COUNTIFS($C$3:$P$3,"MAT",$C23:$P23,AG$3)=0)*(COUNTIFS($C$3:$P$3,"NOTTE",$C23:$P23,AG$3)=0),"_m","")&amp;IF((AG23&lt;&gt;"Xp")*(COUNTIFS($C$3:$P$3,"POM",$C23:$P23,AG$3)=0)*(COUNTIFS($C$3:$P$3,"NOTTE",$C23:$P23,AG$3)=0),"_p","")&amp;IF((AG23&lt;&gt;"Xn")*(COUNTIFS($C$3:$P$3,"MAT",$C23:$P23,AG$3)=0)*(COUNTIFS($C$3:$P$3,"POM",$C23:$P23,AG$3)=0)*(COUNTIFS($C$3:$P$3,"NOTTE",$C23:$P23,AG$3)=0),"_n","")&amp;", ")))</f>
        <v>HU_m, </v>
      </c>
      <c r="CK23" s="1" t="str">
        <f aca="false">IF((AH23="X")+(AH23="Gn")+(AH23="C")+(AH22="Gn")&gt;0,"",IF(((AH23&lt;&gt;"Xm")*(COUNTIFS($C$3:$P$3,"MAT",$C23:$P23,AH$3)=0)*(COUNTIFS($C$3:$P$3,"NOTTE",$C23:$P23,AH$3)=0))+((AH23&lt;&gt;"Xp")*(COUNTIFS($C$3:$P$3,"POM",$C23:$P23,AH$3)=0)*(COUNTIFS($C$3:$P$3,"NOTTE",$C23:$P23,AH$3)=0))+((AH23&lt;&gt;"Xn")*(COUNTIFS($C$3:$P$3,"MAT",$C23:$P23,AH$3)=0)*(COUNTIFS($C$3:$P$3,"POM",$C23:$P23,AH$3)=0)*(COUNTIFS($C$3:$P$3,"NOTTE",$C23:$P23,AH$3)=0))=0,"",IF(((AH23&lt;&gt;"Xm")*(COUNTIFS($C$3:$P$3,"MAT",$C23:$P23,AH$3)=0)*(COUNTIFS($C$3:$P$3,"NOTTE",$C23:$P23,AH$3)=0))+((AH23&lt;&gt;"Xp")*(COUNTIFS($C$3:$P$3,"POM",$C23:$P23,AH$3)=0)*(COUNTIFS($C$3:$P$3,"NOTTE",$C23:$P23,AH$3)=0))+((AH23&lt;&gt;"Xn")*(COUNTIFS($C$3:$P$3,"MAT",$C23:$P23,AH$3)=0)*(COUNTIFS($C$3:$P$3,"POM",$C23:$P23,AH$3)=0)*(COUNTIFS($C$3:$P$3,"NOTTE",$C23:$P23,AH$3)=0))=3,AH$3&amp;", ",AH$3&amp;IF((AH23&lt;&gt;"Xm")*(COUNTIFS($C$3:$P$3,"MAT",$C23:$P23,AH$3)=0)*(COUNTIFS($C$3:$P$3,"NOTTE",$C23:$P23,AH$3)=0),"_m","")&amp;IF((AH23&lt;&gt;"Xp")*(COUNTIFS($C$3:$P$3,"POM",$C23:$P23,AH$3)=0)*(COUNTIFS($C$3:$P$3,"NOTTE",$C23:$P23,AH$3)=0),"_p","")&amp;IF((AH23&lt;&gt;"Xn")*(COUNTIFS($C$3:$P$3,"MAT",$C23:$P23,AH$3)=0)*(COUNTIFS($C$3:$P$3,"POM",$C23:$P23,AH$3)=0)*(COUNTIFS($C$3:$P$3,"NOTTE",$C23:$P23,AH$3)=0),"_n","")&amp;", ")))</f>
        <v>MARINI, </v>
      </c>
      <c r="CL23" s="1" t="str">
        <f aca="false">IF((AI23="X")+(AI23="Gn")+(AI23="C")+(AI22="Gn")&gt;0,"",IF(((AI23&lt;&gt;"Xm")*(COUNTIFS($C$3:$P$3,"MAT",$C23:$P23,AI$3)=0)*(COUNTIFS($C$3:$P$3,"NOTTE",$C23:$P23,AI$3)=0))+((AI23&lt;&gt;"Xp")*(COUNTIFS($C$3:$P$3,"POM",$C23:$P23,AI$3)=0)*(COUNTIFS($C$3:$P$3,"NOTTE",$C23:$P23,AI$3)=0))+((AI23&lt;&gt;"Xn")*(COUNTIFS($C$3:$P$3,"MAT",$C23:$P23,AI$3)=0)*(COUNTIFS($C$3:$P$3,"POM",$C23:$P23,AI$3)=0)*(COUNTIFS($C$3:$P$3,"NOTTE",$C23:$P23,AI$3)=0))=0,"",IF(((AI23&lt;&gt;"Xm")*(COUNTIFS($C$3:$P$3,"MAT",$C23:$P23,AI$3)=0)*(COUNTIFS($C$3:$P$3,"NOTTE",$C23:$P23,AI$3)=0))+((AI23&lt;&gt;"Xp")*(COUNTIFS($C$3:$P$3,"POM",$C23:$P23,AI$3)=0)*(COUNTIFS($C$3:$P$3,"NOTTE",$C23:$P23,AI$3)=0))+((AI23&lt;&gt;"Xn")*(COUNTIFS($C$3:$P$3,"MAT",$C23:$P23,AI$3)=0)*(COUNTIFS($C$3:$P$3,"POM",$C23:$P23,AI$3)=0)*(COUNTIFS($C$3:$P$3,"NOTTE",$C23:$P23,AI$3)=0))=3,AI$3&amp;", ",AI$3&amp;IF((AI23&lt;&gt;"Xm")*(COUNTIFS($C$3:$P$3,"MAT",$C23:$P23,AI$3)=0)*(COUNTIFS($C$3:$P$3,"NOTTE",$C23:$P23,AI$3)=0),"_m","")&amp;IF((AI23&lt;&gt;"Xp")*(COUNTIFS($C$3:$P$3,"POM",$C23:$P23,AI$3)=0)*(COUNTIFS($C$3:$P$3,"NOTTE",$C23:$P23,AI$3)=0),"_p","")&amp;IF((AI23&lt;&gt;"Xn")*(COUNTIFS($C$3:$P$3,"MAT",$C23:$P23,AI$3)=0)*(COUNTIFS($C$3:$P$3,"POM",$C23:$P23,AI$3)=0)*(COUNTIFS($C$3:$P$3,"NOTTE",$C23:$P23,AI$3)=0),"_n","")&amp;", ")))</f>
        <v>CONTI A_m_p, </v>
      </c>
      <c r="CM23" s="1" t="str">
        <f aca="false">IF((AJ23="X")+(AJ23="Gn")+(AJ23="C")+(AJ22="Gn")&gt;0,"",IF(((AJ23&lt;&gt;"Xm")*(COUNTIFS($C$3:$P$3,"MAT",$C23:$P23,AJ$3)=0)*(COUNTIFS($C$3:$P$3,"NOTTE",$C23:$P23,AJ$3)=0))+((AJ23&lt;&gt;"Xp")*(COUNTIFS($C$3:$P$3,"POM",$C23:$P23,AJ$3)=0)*(COUNTIFS($C$3:$P$3,"NOTTE",$C23:$P23,AJ$3)=0))+((AJ23&lt;&gt;"Xn")*(COUNTIFS($C$3:$P$3,"MAT",$C23:$P23,AJ$3)=0)*(COUNTIFS($C$3:$P$3,"POM",$C23:$P23,AJ$3)=0)*(COUNTIFS($C$3:$P$3,"NOTTE",$C23:$P23,AJ$3)=0))=0,"",IF(((AJ23&lt;&gt;"Xm")*(COUNTIFS($C$3:$P$3,"MAT",$C23:$P23,AJ$3)=0)*(COUNTIFS($C$3:$P$3,"NOTTE",$C23:$P23,AJ$3)=0))+((AJ23&lt;&gt;"Xp")*(COUNTIFS($C$3:$P$3,"POM",$C23:$P23,AJ$3)=0)*(COUNTIFS($C$3:$P$3,"NOTTE",$C23:$P23,AJ$3)=0))+((AJ23&lt;&gt;"Xn")*(COUNTIFS($C$3:$P$3,"MAT",$C23:$P23,AJ$3)=0)*(COUNTIFS($C$3:$P$3,"POM",$C23:$P23,AJ$3)=0)*(COUNTIFS($C$3:$P$3,"NOTTE",$C23:$P23,AJ$3)=0))=3,AJ$3&amp;", ",AJ$3&amp;IF((AJ23&lt;&gt;"Xm")*(COUNTIFS($C$3:$P$3,"MAT",$C23:$P23,AJ$3)=0)*(COUNTIFS($C$3:$P$3,"NOTTE",$C23:$P23,AJ$3)=0),"_m","")&amp;IF((AJ23&lt;&gt;"Xp")*(COUNTIFS($C$3:$P$3,"POM",$C23:$P23,AJ$3)=0)*(COUNTIFS($C$3:$P$3,"NOTTE",$C23:$P23,AJ$3)=0),"_p","")&amp;IF((AJ23&lt;&gt;"Xn")*(COUNTIFS($C$3:$P$3,"MAT",$C23:$P23,AJ$3)=0)*(COUNTIFS($C$3:$P$3,"POM",$C23:$P23,AJ$3)=0)*(COUNTIFS($C$3:$P$3,"NOTTE",$C23:$P23,AJ$3)=0),"_n","")&amp;", ")))</f>
        <v>CONTI S_p, </v>
      </c>
      <c r="CN23" s="1" t="str">
        <f aca="false">IF((AK23="X")+(AK23="Gn")+(AK23="C")+(AK22="Gn")&gt;0,"",IF(((AK23&lt;&gt;"Xm")*(COUNTIFS($C$3:$P$3,"MAT",$C23:$P23,AK$3)=0)*(COUNTIFS($C$3:$P$3,"NOTTE",$C23:$P23,AK$3)=0))+((AK23&lt;&gt;"Xp")*(COUNTIFS($C$3:$P$3,"POM",$C23:$P23,AK$3)=0)*(COUNTIFS($C$3:$P$3,"NOTTE",$C23:$P23,AK$3)=0))+((AK23&lt;&gt;"Xn")*(COUNTIFS($C$3:$P$3,"MAT",$C23:$P23,AK$3)=0)*(COUNTIFS($C$3:$P$3,"POM",$C23:$P23,AK$3)=0)*(COUNTIFS($C$3:$P$3,"NOTTE",$C23:$P23,AK$3)=0))=0,"",IF(((AK23&lt;&gt;"Xm")*(COUNTIFS($C$3:$P$3,"MAT",$C23:$P23,AK$3)=0)*(COUNTIFS($C$3:$P$3,"NOTTE",$C23:$P23,AK$3)=0))+((AK23&lt;&gt;"Xp")*(COUNTIFS($C$3:$P$3,"POM",$C23:$P23,AK$3)=0)*(COUNTIFS($C$3:$P$3,"NOTTE",$C23:$P23,AK$3)=0))+((AK23&lt;&gt;"Xn")*(COUNTIFS($C$3:$P$3,"MAT",$C23:$P23,AK$3)=0)*(COUNTIFS($C$3:$P$3,"POM",$C23:$P23,AK$3)=0)*(COUNTIFS($C$3:$P$3,"NOTTE",$C23:$P23,AK$3)=0))=3,AK$3&amp;", ",AK$3&amp;IF((AK23&lt;&gt;"Xm")*(COUNTIFS($C$3:$P$3,"MAT",$C23:$P23,AK$3)=0)*(COUNTIFS($C$3:$P$3,"NOTTE",$C23:$P23,AK$3)=0),"_m","")&amp;IF((AK23&lt;&gt;"Xp")*(COUNTIFS($C$3:$P$3,"POM",$C23:$P23,AK$3)=0)*(COUNTIFS($C$3:$P$3,"NOTTE",$C23:$P23,AK$3)=0),"_p","")&amp;IF((AK23&lt;&gt;"Xn")*(COUNTIFS($C$3:$P$3,"MAT",$C23:$P23,AK$3)=0)*(COUNTIFS($C$3:$P$3,"POM",$C23:$P23,AK$3)=0)*(COUNTIFS($C$3:$P$3,"NOTTE",$C23:$P23,AK$3)=0),"_n","")&amp;", ")))</f>
        <v/>
      </c>
      <c r="CO23" s="1" t="str">
        <f aca="false">IF((AL23="X")+(AL23="Gn")+(AL23="C")+(AL22="Gn")&gt;0,"",IF(((AL23&lt;&gt;"Xm")*(COUNTIFS($C$3:$P$3,"MAT",$C23:$P23,AL$3)=0)*(COUNTIFS($C$3:$P$3,"NOTTE",$C23:$P23,AL$3)=0))+((AL23&lt;&gt;"Xp")*(COUNTIFS($C$3:$P$3,"POM",$C23:$P23,AL$3)=0)*(COUNTIFS($C$3:$P$3,"NOTTE",$C23:$P23,AL$3)=0))+((AL23&lt;&gt;"Xn")*(COUNTIFS($C$3:$P$3,"MAT",$C23:$P23,AL$3)=0)*(COUNTIFS($C$3:$P$3,"POM",$C23:$P23,AL$3)=0)*(COUNTIFS($C$3:$P$3,"NOTTE",$C23:$P23,AL$3)=0))=0,"",IF(((AL23&lt;&gt;"Xm")*(COUNTIFS($C$3:$P$3,"MAT",$C23:$P23,AL$3)=0)*(COUNTIFS($C$3:$P$3,"NOTTE",$C23:$P23,AL$3)=0))+((AL23&lt;&gt;"Xp")*(COUNTIFS($C$3:$P$3,"POM",$C23:$P23,AL$3)=0)*(COUNTIFS($C$3:$P$3,"NOTTE",$C23:$P23,AL$3)=0))+((AL23&lt;&gt;"Xn")*(COUNTIFS($C$3:$P$3,"MAT",$C23:$P23,AL$3)=0)*(COUNTIFS($C$3:$P$3,"POM",$C23:$P23,AL$3)=0)*(COUNTIFS($C$3:$P$3,"NOTTE",$C23:$P23,AL$3)=0))=3,AL$3&amp;", ",AL$3&amp;IF((AL23&lt;&gt;"Xm")*(COUNTIFS($C$3:$P$3,"MAT",$C23:$P23,AL$3)=0)*(COUNTIFS($C$3:$P$3,"NOTTE",$C23:$P23,AL$3)=0),"_m","")&amp;IF((AL23&lt;&gt;"Xp")*(COUNTIFS($C$3:$P$3,"POM",$C23:$P23,AL$3)=0)*(COUNTIFS($C$3:$P$3,"NOTTE",$C23:$P23,AL$3)=0),"_p","")&amp;IF((AL23&lt;&gt;"Xn")*(COUNTIFS($C$3:$P$3,"MAT",$C23:$P23,AL$3)=0)*(COUNTIFS($C$3:$P$3,"POM",$C23:$P23,AL$3)=0)*(COUNTIFS($C$3:$P$3,"NOTTE",$C23:$P23,AL$3)=0),"_n","")&amp;", ")))</f>
        <v/>
      </c>
      <c r="CP23" s="1" t="str">
        <f aca="false">IF((AM23="X")+(AM23="Gn")+(AM23="C")+(AM22="Gn")&gt;0,"",IF(((AM23&lt;&gt;"Xm")*(COUNTIFS($C$3:$P$3,"MAT",$C23:$P23,AM$3)=0)*(COUNTIFS($C$3:$P$3,"NOTTE",$C23:$P23,AM$3)=0))+((AM23&lt;&gt;"Xp")*(COUNTIFS($C$3:$P$3,"POM",$C23:$P23,AM$3)=0)*(COUNTIFS($C$3:$P$3,"NOTTE",$C23:$P23,AM$3)=0))+((AM23&lt;&gt;"Xn")*(COUNTIFS($C$3:$P$3,"MAT",$C23:$P23,AM$3)=0)*(COUNTIFS($C$3:$P$3,"POM",$C23:$P23,AM$3)=0)*(COUNTIFS($C$3:$P$3,"NOTTE",$C23:$P23,AM$3)=0))=0,"",IF(((AM23&lt;&gt;"Xm")*(COUNTIFS($C$3:$P$3,"MAT",$C23:$P23,AM$3)=0)*(COUNTIFS($C$3:$P$3,"NOTTE",$C23:$P23,AM$3)=0))+((AM23&lt;&gt;"Xp")*(COUNTIFS($C$3:$P$3,"POM",$C23:$P23,AM$3)=0)*(COUNTIFS($C$3:$P$3,"NOTTE",$C23:$P23,AM$3)=0))+((AM23&lt;&gt;"Xn")*(COUNTIFS($C$3:$P$3,"MAT",$C23:$P23,AM$3)=0)*(COUNTIFS($C$3:$P$3,"POM",$C23:$P23,AM$3)=0)*(COUNTIFS($C$3:$P$3,"NOTTE",$C23:$P23,AM$3)=0))=3,AM$3&amp;", ",AM$3&amp;IF((AM23&lt;&gt;"Xm")*(COUNTIFS($C$3:$P$3,"MAT",$C23:$P23,AM$3)=0)*(COUNTIFS($C$3:$P$3,"NOTTE",$C23:$P23,AM$3)=0),"_m","")&amp;IF((AM23&lt;&gt;"Xp")*(COUNTIFS($C$3:$P$3,"POM",$C23:$P23,AM$3)=0)*(COUNTIFS($C$3:$P$3,"NOTTE",$C23:$P23,AM$3)=0),"_p","")&amp;IF((AM23&lt;&gt;"Xn")*(COUNTIFS($C$3:$P$3,"MAT",$C23:$P23,AM$3)=0)*(COUNTIFS($C$3:$P$3,"POM",$C23:$P23,AM$3)=0)*(COUNTIFS($C$3:$P$3,"NOTTE",$C23:$P23,AM$3)=0),"_n","")&amp;", ")))</f>
        <v/>
      </c>
      <c r="CQ23" s="1" t="str">
        <f aca="false">IF((AN23="X")+(AN23="Gn")+(AN23="C")+(AN22="Gn")&gt;0,"",IF(((AN23&lt;&gt;"Xm")*(COUNTIFS($C$3:$P$3,"MAT",$C23:$P23,AN$3)=0)*(COUNTIFS($C$3:$P$3,"NOTTE",$C23:$P23,AN$3)=0))+((AN23&lt;&gt;"Xp")*(COUNTIFS($C$3:$P$3,"POM",$C23:$P23,AN$3)=0)*(COUNTIFS($C$3:$P$3,"NOTTE",$C23:$P23,AN$3)=0))+((AN23&lt;&gt;"Xn")*(COUNTIFS($C$3:$P$3,"MAT",$C23:$P23,AN$3)=0)*(COUNTIFS($C$3:$P$3,"POM",$C23:$P23,AN$3)=0)*(COUNTIFS($C$3:$P$3,"NOTTE",$C23:$P23,AN$3)=0))=0,"",IF(((AN23&lt;&gt;"Xm")*(COUNTIFS($C$3:$P$3,"MAT",$C23:$P23,AN$3)=0)*(COUNTIFS($C$3:$P$3,"NOTTE",$C23:$P23,AN$3)=0))+((AN23&lt;&gt;"Xp")*(COUNTIFS($C$3:$P$3,"POM",$C23:$P23,AN$3)=0)*(COUNTIFS($C$3:$P$3,"NOTTE",$C23:$P23,AN$3)=0))+((AN23&lt;&gt;"Xn")*(COUNTIFS($C$3:$P$3,"MAT",$C23:$P23,AN$3)=0)*(COUNTIFS($C$3:$P$3,"POM",$C23:$P23,AN$3)=0)*(COUNTIFS($C$3:$P$3,"NOTTE",$C23:$P23,AN$3)=0))=3,AN$3&amp;", ",AN$3&amp;IF((AN23&lt;&gt;"Xm")*(COUNTIFS($C$3:$P$3,"MAT",$C23:$P23,AN$3)=0)*(COUNTIFS($C$3:$P$3,"NOTTE",$C23:$P23,AN$3)=0),"_m","")&amp;IF((AN23&lt;&gt;"Xp")*(COUNTIFS($C$3:$P$3,"POM",$C23:$P23,AN$3)=0)*(COUNTIFS($C$3:$P$3,"NOTTE",$C23:$P23,AN$3)=0),"_p","")&amp;IF((AN23&lt;&gt;"Xn")*(COUNTIFS($C$3:$P$3,"MAT",$C23:$P23,AN$3)=0)*(COUNTIFS($C$3:$P$3,"POM",$C23:$P23,AN$3)=0)*(COUNTIFS($C$3:$P$3,"NOTTE",$C23:$P23,AN$3)=0),"_n","")&amp;", ")))</f>
        <v>LI, </v>
      </c>
    </row>
    <row r="24" customFormat="false" ht="15" hidden="false" customHeight="true" outlineLevel="0" collapsed="false">
      <c r="A24" s="8" t="str">
        <f aca="false">CHOOSE(WEEKDAY(DATE($B$1,$A$2,B24),2),"lunedì","martedì","mercoledì","giovedì","venerdì","sabato","domenica")</f>
        <v>sabato</v>
      </c>
      <c r="B24" s="8" t="n">
        <v>21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 t="s">
        <v>25</v>
      </c>
      <c r="O24" s="8" t="s">
        <v>25</v>
      </c>
      <c r="P24" s="8" t="s">
        <v>31</v>
      </c>
      <c r="Q24" s="8"/>
      <c r="R24" s="8" t="str">
        <f aca="false">IF(SUMPRODUCT(($C$3:$P$3&lt;&gt;"")*($C24:$P24&lt;&gt;"")*(COUNTIFS($C24:$P24,$C24:$P24,$C$3:$P$3,$C$3:$P$3)&gt;1))&gt;0,"X","")</f>
        <v/>
      </c>
      <c r="S24" s="9" t="str">
        <f aca="false"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LEONI_p_n, ROSSI M_m_n, ROSSI L, GALLINA, RUSSO, VERDI, HU, CONTI A, CONTI S, FERRARI, GRECO, SANNA, LI</v>
      </c>
      <c r="T24" s="9" t="str">
        <f aca="false"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LEONI_p_n, ROSSI M_m_n, GALLINA, RUSSO, VERDI, HU, CONTI S, FERRARI, GRECO, SANNA, LI</v>
      </c>
      <c r="Y24" s="8" t="str">
        <f aca="false">A24</f>
        <v>sabato</v>
      </c>
      <c r="Z24" s="8" t="n">
        <f aca="false">B24</f>
        <v>21</v>
      </c>
      <c r="AA24" s="10" t="s">
        <v>46</v>
      </c>
      <c r="AB24" s="10" t="s">
        <v>43</v>
      </c>
      <c r="AC24" s="10"/>
      <c r="AD24" s="10"/>
      <c r="AE24" s="10"/>
      <c r="AF24" s="10"/>
      <c r="AG24" s="10"/>
      <c r="AH24" s="10" t="s">
        <v>44</v>
      </c>
      <c r="AI24" s="10"/>
      <c r="AJ24" s="10"/>
      <c r="AK24" s="10"/>
      <c r="AL24" s="10"/>
      <c r="AM24" s="10"/>
      <c r="AN24" s="10"/>
      <c r="BO24" s="1" t="str">
        <f aca="false">IF((AA24="X")+(AA24="Gn")+(AA24="C")+(AA23="Gn")&gt;0,"",IF(((AA24&lt;&gt;"Xm"))+((AA24&lt;&gt;"Xp"))+((AA24&lt;&gt;"Xn"))=0,"",IF(((AA24&lt;&gt;"Xm"))+((AA24&lt;&gt;"Xp"))+((AA24&lt;&gt;"Xn"))=3,AA$3&amp;", ",AA$3&amp;IF((AA24&lt;&gt;"Xm"),"_m","")&amp;IF((AA24&lt;&gt;"Xp"),"_p","")&amp;IF((AA24&lt;&gt;"Xn"),"_n","")&amp;", ")))</f>
        <v>LEONI_p_n, </v>
      </c>
      <c r="BP24" s="1" t="str">
        <f aca="false">IF((AB24="X")+(AB24="Gn")+(AB24="C")+(AB23="Gn")&gt;0,"",IF(((AB24&lt;&gt;"Xm"))+((AB24&lt;&gt;"Xp"))+((AB24&lt;&gt;"Xn"))=0,"",IF(((AB24&lt;&gt;"Xm"))+((AB24&lt;&gt;"Xp"))+((AB24&lt;&gt;"Xn"))=3,AB$3&amp;", ",AB$3&amp;IF((AB24&lt;&gt;"Xm"),"_m","")&amp;IF((AB24&lt;&gt;"Xp"),"_p","")&amp;IF((AB24&lt;&gt;"Xn"),"_n","")&amp;", ")))</f>
        <v>ROSSI M_m_n, </v>
      </c>
      <c r="BQ24" s="1" t="str">
        <f aca="false">IF((AC24="X")+(AC24="Gn")+(AC24="C")+(AC23="Gn")&gt;0,"",IF(((AC24&lt;&gt;"Xm"))+((AC24&lt;&gt;"Xp"))+((AC24&lt;&gt;"Xn"))=0,"",IF(((AC24&lt;&gt;"Xm"))+((AC24&lt;&gt;"Xp"))+((AC24&lt;&gt;"Xn"))=3,AC$3&amp;", ",AC$3&amp;IF((AC24&lt;&gt;"Xm"),"_m","")&amp;IF((AC24&lt;&gt;"Xp"),"_p","")&amp;IF((AC24&lt;&gt;"Xn"),"_n","")&amp;", ")))</f>
        <v>ROSSI L, </v>
      </c>
      <c r="BR24" s="1" t="str">
        <f aca="false">IF((AD24="X")+(AD24="Gn")+(AD24="C")+(AD23="Gn")&gt;0,"",IF(((AD24&lt;&gt;"Xm"))+((AD24&lt;&gt;"Xp"))+((AD24&lt;&gt;"Xn"))=0,"",IF(((AD24&lt;&gt;"Xm"))+((AD24&lt;&gt;"Xp"))+((AD24&lt;&gt;"Xn"))=3,AD$3&amp;", ",AD$3&amp;IF((AD24&lt;&gt;"Xm"),"_m","")&amp;IF((AD24&lt;&gt;"Xp"),"_p","")&amp;IF((AD24&lt;&gt;"Xn"),"_n","")&amp;", ")))</f>
        <v>GALLINA, </v>
      </c>
      <c r="BS24" s="1" t="str">
        <f aca="false">IF((AE24="X")+(AE24="Gn")+(AE24="C")+(AE23="Gn")&gt;0,"",IF(((AE24&lt;&gt;"Xm"))+((AE24&lt;&gt;"Xp"))+((AE24&lt;&gt;"Xn"))=0,"",IF(((AE24&lt;&gt;"Xm"))+((AE24&lt;&gt;"Xp"))+((AE24&lt;&gt;"Xn"))=3,AE$3&amp;", ",AE$3&amp;IF((AE24&lt;&gt;"Xm"),"_m","")&amp;IF((AE24&lt;&gt;"Xp"),"_p","")&amp;IF((AE24&lt;&gt;"Xn"),"_n","")&amp;", ")))</f>
        <v>RUSSO, </v>
      </c>
      <c r="BT24" s="1" t="str">
        <f aca="false">IF((AF24="X")+(AF24="Gn")+(AF24="C")+(AF23="Gn")&gt;0,"",IF(((AF24&lt;&gt;"Xm"))+((AF24&lt;&gt;"Xp"))+((AF24&lt;&gt;"Xn"))=0,"",IF(((AF24&lt;&gt;"Xm"))+((AF24&lt;&gt;"Xp"))+((AF24&lt;&gt;"Xn"))=3,AF$3&amp;", ",AF$3&amp;IF((AF24&lt;&gt;"Xm"),"_m","")&amp;IF((AF24&lt;&gt;"Xp"),"_p","")&amp;IF((AF24&lt;&gt;"Xn"),"_n","")&amp;", ")))</f>
        <v>VERDI, </v>
      </c>
      <c r="BU24" s="1" t="str">
        <f aca="false">IF((AG24="X")+(AG24="Gn")+(AG24="C")+(AG23="Gn")&gt;0,"",IF(((AG24&lt;&gt;"Xm"))+((AG24&lt;&gt;"Xp"))+((AG24&lt;&gt;"Xn"))=0,"",IF(((AG24&lt;&gt;"Xm"))+((AG24&lt;&gt;"Xp"))+((AG24&lt;&gt;"Xn"))=3,AG$3&amp;", ",AG$3&amp;IF((AG24&lt;&gt;"Xm"),"_m","")&amp;IF((AG24&lt;&gt;"Xp"),"_p","")&amp;IF((AG24&lt;&gt;"Xn"),"_n","")&amp;", ")))</f>
        <v>HU, </v>
      </c>
      <c r="BV24" s="1" t="str">
        <f aca="false">IF((AH24="X")+(AH24="Gn")+(AH24="C")+(AH23="Gn")&gt;0,"",IF(((AH24&lt;&gt;"Xm"))+((AH24&lt;&gt;"Xp"))+((AH24&lt;&gt;"Xn"))=0,"",IF(((AH24&lt;&gt;"Xm"))+((AH24&lt;&gt;"Xp"))+((AH24&lt;&gt;"Xn"))=3,AH$3&amp;", ",AH$3&amp;IF((AH24&lt;&gt;"Xm"),"_m","")&amp;IF((AH24&lt;&gt;"Xp"),"_p","")&amp;IF((AH24&lt;&gt;"Xn"),"_n","")&amp;", ")))</f>
        <v/>
      </c>
      <c r="BW24" s="1" t="str">
        <f aca="false">IF((AI24="X")+(AI24="Gn")+(AI24="C")+(AI23="Gn")&gt;0,"",IF(((AI24&lt;&gt;"Xm"))+((AI24&lt;&gt;"Xp"))+((AI24&lt;&gt;"Xn"))=0,"",IF(((AI24&lt;&gt;"Xm"))+((AI24&lt;&gt;"Xp"))+((AI24&lt;&gt;"Xn"))=3,AI$3&amp;", ",AI$3&amp;IF((AI24&lt;&gt;"Xm"),"_m","")&amp;IF((AI24&lt;&gt;"Xp"),"_p","")&amp;IF((AI24&lt;&gt;"Xn"),"_n","")&amp;", ")))</f>
        <v>CONTI A, </v>
      </c>
      <c r="BX24" s="1" t="str">
        <f aca="false">IF((AJ24="X")+(AJ24="Gn")+(AJ24="C")+(AJ23="Gn")&gt;0,"",IF(((AJ24&lt;&gt;"Xm"))+((AJ24&lt;&gt;"Xp"))+((AJ24&lt;&gt;"Xn"))=0,"",IF(((AJ24&lt;&gt;"Xm"))+((AJ24&lt;&gt;"Xp"))+((AJ24&lt;&gt;"Xn"))=3,AJ$3&amp;", ",AJ$3&amp;IF((AJ24&lt;&gt;"Xm"),"_m","")&amp;IF((AJ24&lt;&gt;"Xp"),"_p","")&amp;IF((AJ24&lt;&gt;"Xn"),"_n","")&amp;", ")))</f>
        <v>CONTI S, </v>
      </c>
      <c r="BY24" s="1" t="str">
        <f aca="false">IF((AK24="X")+(AK24="Gn")+(AK24="C")+(AK23="Gn")&gt;0,"",IF(((AK24&lt;&gt;"Xm"))+((AK24&lt;&gt;"Xp"))+((AK24&lt;&gt;"Xn"))=0,"",IF(((AK24&lt;&gt;"Xm"))+((AK24&lt;&gt;"Xp"))+((AK24&lt;&gt;"Xn"))=3,AK$3&amp;", ",AK$3&amp;IF((AK24&lt;&gt;"Xm"),"_m","")&amp;IF((AK24&lt;&gt;"Xp"),"_p","")&amp;IF((AK24&lt;&gt;"Xn"),"_n","")&amp;", ")))</f>
        <v>FERRARI, </v>
      </c>
      <c r="BZ24" s="1" t="str">
        <f aca="false">IF((AL24="X")+(AL24="Gn")+(AL24="C")+(AL23="Gn")&gt;0,"",IF(((AL24&lt;&gt;"Xm"))+((AL24&lt;&gt;"Xp"))+((AL24&lt;&gt;"Xn"))=0,"",IF(((AL24&lt;&gt;"Xm"))+((AL24&lt;&gt;"Xp"))+((AL24&lt;&gt;"Xn"))=3,AL$3&amp;", ",AL$3&amp;IF((AL24&lt;&gt;"Xm"),"_m","")&amp;IF((AL24&lt;&gt;"Xp"),"_p","")&amp;IF((AL24&lt;&gt;"Xn"),"_n","")&amp;", ")))</f>
        <v>GRECO, </v>
      </c>
      <c r="CA24" s="1" t="str">
        <f aca="false">IF((AM24="X")+(AM24="Gn")+(AM24="C")+(AM23="Gn")&gt;0,"",IF(((AM24&lt;&gt;"Xm"))+((AM24&lt;&gt;"Xp"))+((AM24&lt;&gt;"Xn"))=0,"",IF(((AM24&lt;&gt;"Xm"))+((AM24&lt;&gt;"Xp"))+((AM24&lt;&gt;"Xn"))=3,AM$3&amp;", ",AM$3&amp;IF((AM24&lt;&gt;"Xm"),"_m","")&amp;IF((AM24&lt;&gt;"Xp"),"_p","")&amp;IF((AM24&lt;&gt;"Xn"),"_n","")&amp;", ")))</f>
        <v>SANNA, </v>
      </c>
      <c r="CB24" s="1" t="str">
        <f aca="false">IF((AN24="X")+(AN24="Gn")+(AN24="C")+(AN23="Gn")&gt;0,"",IF(((AN24&lt;&gt;"Xm"))+((AN24&lt;&gt;"Xp"))+((AN24&lt;&gt;"Xn"))=0,"",IF(((AN24&lt;&gt;"Xm"))+((AN24&lt;&gt;"Xp"))+((AN24&lt;&gt;"Xn"))=3,AN$3&amp;", ",AN$3&amp;IF((AN24&lt;&gt;"Xm"),"_m","")&amp;IF((AN24&lt;&gt;"Xp"),"_p","")&amp;IF((AN24&lt;&gt;"Xn"),"_n","")&amp;", ")))</f>
        <v>LI, </v>
      </c>
      <c r="CD24" s="1" t="str">
        <f aca="false">IF((AA24="X")+(AA24="Gn")+(AA24="C")+(AA23="Gn")&gt;0,"",IF(((AA24&lt;&gt;"Xm")*(COUNTIFS($C$3:$P$3,"MAT",$C24:$P24,AA$3)=0)*(COUNTIFS($C$3:$P$3,"NOTTE",$C24:$P24,AA$3)=0))+((AA24&lt;&gt;"Xp")*(COUNTIFS($C$3:$P$3,"POM",$C24:$P24,AA$3)=0)*(COUNTIFS($C$3:$P$3,"NOTTE",$C24:$P24,AA$3)=0))+((AA24&lt;&gt;"Xn")*(COUNTIFS($C$3:$P$3,"MAT",$C24:$P24,AA$3)=0)*(COUNTIFS($C$3:$P$3,"POM",$C24:$P24,AA$3)=0)*(COUNTIFS($C$3:$P$3,"NOTTE",$C24:$P24,AA$3)=0))=0,"",IF(((AA24&lt;&gt;"Xm")*(COUNTIFS($C$3:$P$3,"MAT",$C24:$P24,AA$3)=0)*(COUNTIFS($C$3:$P$3,"NOTTE",$C24:$P24,AA$3)=0))+((AA24&lt;&gt;"Xp")*(COUNTIFS($C$3:$P$3,"POM",$C24:$P24,AA$3)=0)*(COUNTIFS($C$3:$P$3,"NOTTE",$C24:$P24,AA$3)=0))+((AA24&lt;&gt;"Xn")*(COUNTIFS($C$3:$P$3,"MAT",$C24:$P24,AA$3)=0)*(COUNTIFS($C$3:$P$3,"POM",$C24:$P24,AA$3)=0)*(COUNTIFS($C$3:$P$3,"NOTTE",$C24:$P24,AA$3)=0))=3,AA$3&amp;", ",AA$3&amp;IF((AA24&lt;&gt;"Xm")*(COUNTIFS($C$3:$P$3,"MAT",$C24:$P24,AA$3)=0)*(COUNTIFS($C$3:$P$3,"NOTTE",$C24:$P24,AA$3)=0),"_m","")&amp;IF((AA24&lt;&gt;"Xp")*(COUNTIFS($C$3:$P$3,"POM",$C24:$P24,AA$3)=0)*(COUNTIFS($C$3:$P$3,"NOTTE",$C24:$P24,AA$3)=0),"_p","")&amp;IF((AA24&lt;&gt;"Xn")*(COUNTIFS($C$3:$P$3,"MAT",$C24:$P24,AA$3)=0)*(COUNTIFS($C$3:$P$3,"POM",$C24:$P24,AA$3)=0)*(COUNTIFS($C$3:$P$3,"NOTTE",$C24:$P24,AA$3)=0),"_n","")&amp;", ")))</f>
        <v>LEONI_p_n, </v>
      </c>
      <c r="CE24" s="1" t="str">
        <f aca="false">IF((AB24="X")+(AB24="Gn")+(AB24="C")+(AB23="Gn")&gt;0,"",IF(((AB24&lt;&gt;"Xm")*(COUNTIFS($C$3:$P$3,"MAT",$C24:$P24,AB$3)=0)*(COUNTIFS($C$3:$P$3,"NOTTE",$C24:$P24,AB$3)=0))+((AB24&lt;&gt;"Xp")*(COUNTIFS($C$3:$P$3,"POM",$C24:$P24,AB$3)=0)*(COUNTIFS($C$3:$P$3,"NOTTE",$C24:$P24,AB$3)=0))+((AB24&lt;&gt;"Xn")*(COUNTIFS($C$3:$P$3,"MAT",$C24:$P24,AB$3)=0)*(COUNTIFS($C$3:$P$3,"POM",$C24:$P24,AB$3)=0)*(COUNTIFS($C$3:$P$3,"NOTTE",$C24:$P24,AB$3)=0))=0,"",IF(((AB24&lt;&gt;"Xm")*(COUNTIFS($C$3:$P$3,"MAT",$C24:$P24,AB$3)=0)*(COUNTIFS($C$3:$P$3,"NOTTE",$C24:$P24,AB$3)=0))+((AB24&lt;&gt;"Xp")*(COUNTIFS($C$3:$P$3,"POM",$C24:$P24,AB$3)=0)*(COUNTIFS($C$3:$P$3,"NOTTE",$C24:$P24,AB$3)=0))+((AB24&lt;&gt;"Xn")*(COUNTIFS($C$3:$P$3,"MAT",$C24:$P24,AB$3)=0)*(COUNTIFS($C$3:$P$3,"POM",$C24:$P24,AB$3)=0)*(COUNTIFS($C$3:$P$3,"NOTTE",$C24:$P24,AB$3)=0))=3,AB$3&amp;", ",AB$3&amp;IF((AB24&lt;&gt;"Xm")*(COUNTIFS($C$3:$P$3,"MAT",$C24:$P24,AB$3)=0)*(COUNTIFS($C$3:$P$3,"NOTTE",$C24:$P24,AB$3)=0),"_m","")&amp;IF((AB24&lt;&gt;"Xp")*(COUNTIFS($C$3:$P$3,"POM",$C24:$P24,AB$3)=0)*(COUNTIFS($C$3:$P$3,"NOTTE",$C24:$P24,AB$3)=0),"_p","")&amp;IF((AB24&lt;&gt;"Xn")*(COUNTIFS($C$3:$P$3,"MAT",$C24:$P24,AB$3)=0)*(COUNTIFS($C$3:$P$3,"POM",$C24:$P24,AB$3)=0)*(COUNTIFS($C$3:$P$3,"NOTTE",$C24:$P24,AB$3)=0),"_n","")&amp;", ")))</f>
        <v>ROSSI M_m_n, </v>
      </c>
      <c r="CF24" s="1" t="str">
        <f aca="false">IF((AC24="X")+(AC24="Gn")+(AC24="C")+(AC23="Gn")&gt;0,"",IF(((AC24&lt;&gt;"Xm")*(COUNTIFS($C$3:$P$3,"MAT",$C24:$P24,AC$3)=0)*(COUNTIFS($C$3:$P$3,"NOTTE",$C24:$P24,AC$3)=0))+((AC24&lt;&gt;"Xp")*(COUNTIFS($C$3:$P$3,"POM",$C24:$P24,AC$3)=0)*(COUNTIFS($C$3:$P$3,"NOTTE",$C24:$P24,AC$3)=0))+((AC24&lt;&gt;"Xn")*(COUNTIFS($C$3:$P$3,"MAT",$C24:$P24,AC$3)=0)*(COUNTIFS($C$3:$P$3,"POM",$C24:$P24,AC$3)=0)*(COUNTIFS($C$3:$P$3,"NOTTE",$C24:$P24,AC$3)=0))=0,"",IF(((AC24&lt;&gt;"Xm")*(COUNTIFS($C$3:$P$3,"MAT",$C24:$P24,AC$3)=0)*(COUNTIFS($C$3:$P$3,"NOTTE",$C24:$P24,AC$3)=0))+((AC24&lt;&gt;"Xp")*(COUNTIFS($C$3:$P$3,"POM",$C24:$P24,AC$3)=0)*(COUNTIFS($C$3:$P$3,"NOTTE",$C24:$P24,AC$3)=0))+((AC24&lt;&gt;"Xn")*(COUNTIFS($C$3:$P$3,"MAT",$C24:$P24,AC$3)=0)*(COUNTIFS($C$3:$P$3,"POM",$C24:$P24,AC$3)=0)*(COUNTIFS($C$3:$P$3,"NOTTE",$C24:$P24,AC$3)=0))=3,AC$3&amp;", ",AC$3&amp;IF((AC24&lt;&gt;"Xm")*(COUNTIFS($C$3:$P$3,"MAT",$C24:$P24,AC$3)=0)*(COUNTIFS($C$3:$P$3,"NOTTE",$C24:$P24,AC$3)=0),"_m","")&amp;IF((AC24&lt;&gt;"Xp")*(COUNTIFS($C$3:$P$3,"POM",$C24:$P24,AC$3)=0)*(COUNTIFS($C$3:$P$3,"NOTTE",$C24:$P24,AC$3)=0),"_p","")&amp;IF((AC24&lt;&gt;"Xn")*(COUNTIFS($C$3:$P$3,"MAT",$C24:$P24,AC$3)=0)*(COUNTIFS($C$3:$P$3,"POM",$C24:$P24,AC$3)=0)*(COUNTIFS($C$3:$P$3,"NOTTE",$C24:$P24,AC$3)=0),"_n","")&amp;", ")))</f>
        <v/>
      </c>
      <c r="CG24" s="1" t="str">
        <f aca="false">IF((AD24="X")+(AD24="Gn")+(AD24="C")+(AD23="Gn")&gt;0,"",IF(((AD24&lt;&gt;"Xm")*(COUNTIFS($C$3:$P$3,"MAT",$C24:$P24,AD$3)=0)*(COUNTIFS($C$3:$P$3,"NOTTE",$C24:$P24,AD$3)=0))+((AD24&lt;&gt;"Xp")*(COUNTIFS($C$3:$P$3,"POM",$C24:$P24,AD$3)=0)*(COUNTIFS($C$3:$P$3,"NOTTE",$C24:$P24,AD$3)=0))+((AD24&lt;&gt;"Xn")*(COUNTIFS($C$3:$P$3,"MAT",$C24:$P24,AD$3)=0)*(COUNTIFS($C$3:$P$3,"POM",$C24:$P24,AD$3)=0)*(COUNTIFS($C$3:$P$3,"NOTTE",$C24:$P24,AD$3)=0))=0,"",IF(((AD24&lt;&gt;"Xm")*(COUNTIFS($C$3:$P$3,"MAT",$C24:$P24,AD$3)=0)*(COUNTIFS($C$3:$P$3,"NOTTE",$C24:$P24,AD$3)=0))+((AD24&lt;&gt;"Xp")*(COUNTIFS($C$3:$P$3,"POM",$C24:$P24,AD$3)=0)*(COUNTIFS($C$3:$P$3,"NOTTE",$C24:$P24,AD$3)=0))+((AD24&lt;&gt;"Xn")*(COUNTIFS($C$3:$P$3,"MAT",$C24:$P24,AD$3)=0)*(COUNTIFS($C$3:$P$3,"POM",$C24:$P24,AD$3)=0)*(COUNTIFS($C$3:$P$3,"NOTTE",$C24:$P24,AD$3)=0))=3,AD$3&amp;", ",AD$3&amp;IF((AD24&lt;&gt;"Xm")*(COUNTIFS($C$3:$P$3,"MAT",$C24:$P24,AD$3)=0)*(COUNTIFS($C$3:$P$3,"NOTTE",$C24:$P24,AD$3)=0),"_m","")&amp;IF((AD24&lt;&gt;"Xp")*(COUNTIFS($C$3:$P$3,"POM",$C24:$P24,AD$3)=0)*(COUNTIFS($C$3:$P$3,"NOTTE",$C24:$P24,AD$3)=0),"_p","")&amp;IF((AD24&lt;&gt;"Xn")*(COUNTIFS($C$3:$P$3,"MAT",$C24:$P24,AD$3)=0)*(COUNTIFS($C$3:$P$3,"POM",$C24:$P24,AD$3)=0)*(COUNTIFS($C$3:$P$3,"NOTTE",$C24:$P24,AD$3)=0),"_n","")&amp;", ")))</f>
        <v>GALLINA, </v>
      </c>
      <c r="CH24" s="1" t="str">
        <f aca="false">IF((AE24="X")+(AE24="Gn")+(AE24="C")+(AE23="Gn")&gt;0,"",IF(((AE24&lt;&gt;"Xm")*(COUNTIFS($C$3:$P$3,"MAT",$C24:$P24,AE$3)=0)*(COUNTIFS($C$3:$P$3,"NOTTE",$C24:$P24,AE$3)=0))+((AE24&lt;&gt;"Xp")*(COUNTIFS($C$3:$P$3,"POM",$C24:$P24,AE$3)=0)*(COUNTIFS($C$3:$P$3,"NOTTE",$C24:$P24,AE$3)=0))+((AE24&lt;&gt;"Xn")*(COUNTIFS($C$3:$P$3,"MAT",$C24:$P24,AE$3)=0)*(COUNTIFS($C$3:$P$3,"POM",$C24:$P24,AE$3)=0)*(COUNTIFS($C$3:$P$3,"NOTTE",$C24:$P24,AE$3)=0))=0,"",IF(((AE24&lt;&gt;"Xm")*(COUNTIFS($C$3:$P$3,"MAT",$C24:$P24,AE$3)=0)*(COUNTIFS($C$3:$P$3,"NOTTE",$C24:$P24,AE$3)=0))+((AE24&lt;&gt;"Xp")*(COUNTIFS($C$3:$P$3,"POM",$C24:$P24,AE$3)=0)*(COUNTIFS($C$3:$P$3,"NOTTE",$C24:$P24,AE$3)=0))+((AE24&lt;&gt;"Xn")*(COUNTIFS($C$3:$P$3,"MAT",$C24:$P24,AE$3)=0)*(COUNTIFS($C$3:$P$3,"POM",$C24:$P24,AE$3)=0)*(COUNTIFS($C$3:$P$3,"NOTTE",$C24:$P24,AE$3)=0))=3,AE$3&amp;", ",AE$3&amp;IF((AE24&lt;&gt;"Xm")*(COUNTIFS($C$3:$P$3,"MAT",$C24:$P24,AE$3)=0)*(COUNTIFS($C$3:$P$3,"NOTTE",$C24:$P24,AE$3)=0),"_m","")&amp;IF((AE24&lt;&gt;"Xp")*(COUNTIFS($C$3:$P$3,"POM",$C24:$P24,AE$3)=0)*(COUNTIFS($C$3:$P$3,"NOTTE",$C24:$P24,AE$3)=0),"_p","")&amp;IF((AE24&lt;&gt;"Xn")*(COUNTIFS($C$3:$P$3,"MAT",$C24:$P24,AE$3)=0)*(COUNTIFS($C$3:$P$3,"POM",$C24:$P24,AE$3)=0)*(COUNTIFS($C$3:$P$3,"NOTTE",$C24:$P24,AE$3)=0),"_n","")&amp;", ")))</f>
        <v>RUSSO, </v>
      </c>
      <c r="CI24" s="1" t="str">
        <f aca="false">IF((AF24="X")+(AF24="Gn")+(AF24="C")+(AF23="Gn")&gt;0,"",IF(((AF24&lt;&gt;"Xm")*(COUNTIFS($C$3:$P$3,"MAT",$C24:$P24,AF$3)=0)*(COUNTIFS($C$3:$P$3,"NOTTE",$C24:$P24,AF$3)=0))+((AF24&lt;&gt;"Xp")*(COUNTIFS($C$3:$P$3,"POM",$C24:$P24,AF$3)=0)*(COUNTIFS($C$3:$P$3,"NOTTE",$C24:$P24,AF$3)=0))+((AF24&lt;&gt;"Xn")*(COUNTIFS($C$3:$P$3,"MAT",$C24:$P24,AF$3)=0)*(COUNTIFS($C$3:$P$3,"POM",$C24:$P24,AF$3)=0)*(COUNTIFS($C$3:$P$3,"NOTTE",$C24:$P24,AF$3)=0))=0,"",IF(((AF24&lt;&gt;"Xm")*(COUNTIFS($C$3:$P$3,"MAT",$C24:$P24,AF$3)=0)*(COUNTIFS($C$3:$P$3,"NOTTE",$C24:$P24,AF$3)=0))+((AF24&lt;&gt;"Xp")*(COUNTIFS($C$3:$P$3,"POM",$C24:$P24,AF$3)=0)*(COUNTIFS($C$3:$P$3,"NOTTE",$C24:$P24,AF$3)=0))+((AF24&lt;&gt;"Xn")*(COUNTIFS($C$3:$P$3,"MAT",$C24:$P24,AF$3)=0)*(COUNTIFS($C$3:$P$3,"POM",$C24:$P24,AF$3)=0)*(COUNTIFS($C$3:$P$3,"NOTTE",$C24:$P24,AF$3)=0))=3,AF$3&amp;", ",AF$3&amp;IF((AF24&lt;&gt;"Xm")*(COUNTIFS($C$3:$P$3,"MAT",$C24:$P24,AF$3)=0)*(COUNTIFS($C$3:$P$3,"NOTTE",$C24:$P24,AF$3)=0),"_m","")&amp;IF((AF24&lt;&gt;"Xp")*(COUNTIFS($C$3:$P$3,"POM",$C24:$P24,AF$3)=0)*(COUNTIFS($C$3:$P$3,"NOTTE",$C24:$P24,AF$3)=0),"_p","")&amp;IF((AF24&lt;&gt;"Xn")*(COUNTIFS($C$3:$P$3,"MAT",$C24:$P24,AF$3)=0)*(COUNTIFS($C$3:$P$3,"POM",$C24:$P24,AF$3)=0)*(COUNTIFS($C$3:$P$3,"NOTTE",$C24:$P24,AF$3)=0),"_n","")&amp;", ")))</f>
        <v>VERDI, </v>
      </c>
      <c r="CJ24" s="1" t="str">
        <f aca="false">IF((AG24="X")+(AG24="Gn")+(AG24="C")+(AG23="Gn")&gt;0,"",IF(((AG24&lt;&gt;"Xm")*(COUNTIFS($C$3:$P$3,"MAT",$C24:$P24,AG$3)=0)*(COUNTIFS($C$3:$P$3,"NOTTE",$C24:$P24,AG$3)=0))+((AG24&lt;&gt;"Xp")*(COUNTIFS($C$3:$P$3,"POM",$C24:$P24,AG$3)=0)*(COUNTIFS($C$3:$P$3,"NOTTE",$C24:$P24,AG$3)=0))+((AG24&lt;&gt;"Xn")*(COUNTIFS($C$3:$P$3,"MAT",$C24:$P24,AG$3)=0)*(COUNTIFS($C$3:$P$3,"POM",$C24:$P24,AG$3)=0)*(COUNTIFS($C$3:$P$3,"NOTTE",$C24:$P24,AG$3)=0))=0,"",IF(((AG24&lt;&gt;"Xm")*(COUNTIFS($C$3:$P$3,"MAT",$C24:$P24,AG$3)=0)*(COUNTIFS($C$3:$P$3,"NOTTE",$C24:$P24,AG$3)=0))+((AG24&lt;&gt;"Xp")*(COUNTIFS($C$3:$P$3,"POM",$C24:$P24,AG$3)=0)*(COUNTIFS($C$3:$P$3,"NOTTE",$C24:$P24,AG$3)=0))+((AG24&lt;&gt;"Xn")*(COUNTIFS($C$3:$P$3,"MAT",$C24:$P24,AG$3)=0)*(COUNTIFS($C$3:$P$3,"POM",$C24:$P24,AG$3)=0)*(COUNTIFS($C$3:$P$3,"NOTTE",$C24:$P24,AG$3)=0))=3,AG$3&amp;", ",AG$3&amp;IF((AG24&lt;&gt;"Xm")*(COUNTIFS($C$3:$P$3,"MAT",$C24:$P24,AG$3)=0)*(COUNTIFS($C$3:$P$3,"NOTTE",$C24:$P24,AG$3)=0),"_m","")&amp;IF((AG24&lt;&gt;"Xp")*(COUNTIFS($C$3:$P$3,"POM",$C24:$P24,AG$3)=0)*(COUNTIFS($C$3:$P$3,"NOTTE",$C24:$P24,AG$3)=0),"_p","")&amp;IF((AG24&lt;&gt;"Xn")*(COUNTIFS($C$3:$P$3,"MAT",$C24:$P24,AG$3)=0)*(COUNTIFS($C$3:$P$3,"POM",$C24:$P24,AG$3)=0)*(COUNTIFS($C$3:$P$3,"NOTTE",$C24:$P24,AG$3)=0),"_n","")&amp;", ")))</f>
        <v>HU, </v>
      </c>
      <c r="CK24" s="1" t="str">
        <f aca="false">IF((AH24="X")+(AH24="Gn")+(AH24="C")+(AH23="Gn")&gt;0,"",IF(((AH24&lt;&gt;"Xm")*(COUNTIFS($C$3:$P$3,"MAT",$C24:$P24,AH$3)=0)*(COUNTIFS($C$3:$P$3,"NOTTE",$C24:$P24,AH$3)=0))+((AH24&lt;&gt;"Xp")*(COUNTIFS($C$3:$P$3,"POM",$C24:$P24,AH$3)=0)*(COUNTIFS($C$3:$P$3,"NOTTE",$C24:$P24,AH$3)=0))+((AH24&lt;&gt;"Xn")*(COUNTIFS($C$3:$P$3,"MAT",$C24:$P24,AH$3)=0)*(COUNTIFS($C$3:$P$3,"POM",$C24:$P24,AH$3)=0)*(COUNTIFS($C$3:$P$3,"NOTTE",$C24:$P24,AH$3)=0))=0,"",IF(((AH24&lt;&gt;"Xm")*(COUNTIFS($C$3:$P$3,"MAT",$C24:$P24,AH$3)=0)*(COUNTIFS($C$3:$P$3,"NOTTE",$C24:$P24,AH$3)=0))+((AH24&lt;&gt;"Xp")*(COUNTIFS($C$3:$P$3,"POM",$C24:$P24,AH$3)=0)*(COUNTIFS($C$3:$P$3,"NOTTE",$C24:$P24,AH$3)=0))+((AH24&lt;&gt;"Xn")*(COUNTIFS($C$3:$P$3,"MAT",$C24:$P24,AH$3)=0)*(COUNTIFS($C$3:$P$3,"POM",$C24:$P24,AH$3)=0)*(COUNTIFS($C$3:$P$3,"NOTTE",$C24:$P24,AH$3)=0))=3,AH$3&amp;", ",AH$3&amp;IF((AH24&lt;&gt;"Xm")*(COUNTIFS($C$3:$P$3,"MAT",$C24:$P24,AH$3)=0)*(COUNTIFS($C$3:$P$3,"NOTTE",$C24:$P24,AH$3)=0),"_m","")&amp;IF((AH24&lt;&gt;"Xp")*(COUNTIFS($C$3:$P$3,"POM",$C24:$P24,AH$3)=0)*(COUNTIFS($C$3:$P$3,"NOTTE",$C24:$P24,AH$3)=0),"_p","")&amp;IF((AH24&lt;&gt;"Xn")*(COUNTIFS($C$3:$P$3,"MAT",$C24:$P24,AH$3)=0)*(COUNTIFS($C$3:$P$3,"POM",$C24:$P24,AH$3)=0)*(COUNTIFS($C$3:$P$3,"NOTTE",$C24:$P24,AH$3)=0),"_n","")&amp;", ")))</f>
        <v/>
      </c>
      <c r="CL24" s="1" t="str">
        <f aca="false">IF((AI24="X")+(AI24="Gn")+(AI24="C")+(AI23="Gn")&gt;0,"",IF(((AI24&lt;&gt;"Xm")*(COUNTIFS($C$3:$P$3,"MAT",$C24:$P24,AI$3)=0)*(COUNTIFS($C$3:$P$3,"NOTTE",$C24:$P24,AI$3)=0))+((AI24&lt;&gt;"Xp")*(COUNTIFS($C$3:$P$3,"POM",$C24:$P24,AI$3)=0)*(COUNTIFS($C$3:$P$3,"NOTTE",$C24:$P24,AI$3)=0))+((AI24&lt;&gt;"Xn")*(COUNTIFS($C$3:$P$3,"MAT",$C24:$P24,AI$3)=0)*(COUNTIFS($C$3:$P$3,"POM",$C24:$P24,AI$3)=0)*(COUNTIFS($C$3:$P$3,"NOTTE",$C24:$P24,AI$3)=0))=0,"",IF(((AI24&lt;&gt;"Xm")*(COUNTIFS($C$3:$P$3,"MAT",$C24:$P24,AI$3)=0)*(COUNTIFS($C$3:$P$3,"NOTTE",$C24:$P24,AI$3)=0))+((AI24&lt;&gt;"Xp")*(COUNTIFS($C$3:$P$3,"POM",$C24:$P24,AI$3)=0)*(COUNTIFS($C$3:$P$3,"NOTTE",$C24:$P24,AI$3)=0))+((AI24&lt;&gt;"Xn")*(COUNTIFS($C$3:$P$3,"MAT",$C24:$P24,AI$3)=0)*(COUNTIFS($C$3:$P$3,"POM",$C24:$P24,AI$3)=0)*(COUNTIFS($C$3:$P$3,"NOTTE",$C24:$P24,AI$3)=0))=3,AI$3&amp;", ",AI$3&amp;IF((AI24&lt;&gt;"Xm")*(COUNTIFS($C$3:$P$3,"MAT",$C24:$P24,AI$3)=0)*(COUNTIFS($C$3:$P$3,"NOTTE",$C24:$P24,AI$3)=0),"_m","")&amp;IF((AI24&lt;&gt;"Xp")*(COUNTIFS($C$3:$P$3,"POM",$C24:$P24,AI$3)=0)*(COUNTIFS($C$3:$P$3,"NOTTE",$C24:$P24,AI$3)=0),"_p","")&amp;IF((AI24&lt;&gt;"Xn")*(COUNTIFS($C$3:$P$3,"MAT",$C24:$P24,AI$3)=0)*(COUNTIFS($C$3:$P$3,"POM",$C24:$P24,AI$3)=0)*(COUNTIFS($C$3:$P$3,"NOTTE",$C24:$P24,AI$3)=0),"_n","")&amp;", ")))</f>
        <v/>
      </c>
      <c r="CM24" s="1" t="str">
        <f aca="false">IF((AJ24="X")+(AJ24="Gn")+(AJ24="C")+(AJ23="Gn")&gt;0,"",IF(((AJ24&lt;&gt;"Xm")*(COUNTIFS($C$3:$P$3,"MAT",$C24:$P24,AJ$3)=0)*(COUNTIFS($C$3:$P$3,"NOTTE",$C24:$P24,AJ$3)=0))+((AJ24&lt;&gt;"Xp")*(COUNTIFS($C$3:$P$3,"POM",$C24:$P24,AJ$3)=0)*(COUNTIFS($C$3:$P$3,"NOTTE",$C24:$P24,AJ$3)=0))+((AJ24&lt;&gt;"Xn")*(COUNTIFS($C$3:$P$3,"MAT",$C24:$P24,AJ$3)=0)*(COUNTIFS($C$3:$P$3,"POM",$C24:$P24,AJ$3)=0)*(COUNTIFS($C$3:$P$3,"NOTTE",$C24:$P24,AJ$3)=0))=0,"",IF(((AJ24&lt;&gt;"Xm")*(COUNTIFS($C$3:$P$3,"MAT",$C24:$P24,AJ$3)=0)*(COUNTIFS($C$3:$P$3,"NOTTE",$C24:$P24,AJ$3)=0))+((AJ24&lt;&gt;"Xp")*(COUNTIFS($C$3:$P$3,"POM",$C24:$P24,AJ$3)=0)*(COUNTIFS($C$3:$P$3,"NOTTE",$C24:$P24,AJ$3)=0))+((AJ24&lt;&gt;"Xn")*(COUNTIFS($C$3:$P$3,"MAT",$C24:$P24,AJ$3)=0)*(COUNTIFS($C$3:$P$3,"POM",$C24:$P24,AJ$3)=0)*(COUNTIFS($C$3:$P$3,"NOTTE",$C24:$P24,AJ$3)=0))=3,AJ$3&amp;", ",AJ$3&amp;IF((AJ24&lt;&gt;"Xm")*(COUNTIFS($C$3:$P$3,"MAT",$C24:$P24,AJ$3)=0)*(COUNTIFS($C$3:$P$3,"NOTTE",$C24:$P24,AJ$3)=0),"_m","")&amp;IF((AJ24&lt;&gt;"Xp")*(COUNTIFS($C$3:$P$3,"POM",$C24:$P24,AJ$3)=0)*(COUNTIFS($C$3:$P$3,"NOTTE",$C24:$P24,AJ$3)=0),"_p","")&amp;IF((AJ24&lt;&gt;"Xn")*(COUNTIFS($C$3:$P$3,"MAT",$C24:$P24,AJ$3)=0)*(COUNTIFS($C$3:$P$3,"POM",$C24:$P24,AJ$3)=0)*(COUNTIFS($C$3:$P$3,"NOTTE",$C24:$P24,AJ$3)=0),"_n","")&amp;", ")))</f>
        <v>CONTI S, </v>
      </c>
      <c r="CN24" s="1" t="str">
        <f aca="false">IF((AK24="X")+(AK24="Gn")+(AK24="C")+(AK23="Gn")&gt;0,"",IF(((AK24&lt;&gt;"Xm")*(COUNTIFS($C$3:$P$3,"MAT",$C24:$P24,AK$3)=0)*(COUNTIFS($C$3:$P$3,"NOTTE",$C24:$P24,AK$3)=0))+((AK24&lt;&gt;"Xp")*(COUNTIFS($C$3:$P$3,"POM",$C24:$P24,AK$3)=0)*(COUNTIFS($C$3:$P$3,"NOTTE",$C24:$P24,AK$3)=0))+((AK24&lt;&gt;"Xn")*(COUNTIFS($C$3:$P$3,"MAT",$C24:$P24,AK$3)=0)*(COUNTIFS($C$3:$P$3,"POM",$C24:$P24,AK$3)=0)*(COUNTIFS($C$3:$P$3,"NOTTE",$C24:$P24,AK$3)=0))=0,"",IF(((AK24&lt;&gt;"Xm")*(COUNTIFS($C$3:$P$3,"MAT",$C24:$P24,AK$3)=0)*(COUNTIFS($C$3:$P$3,"NOTTE",$C24:$P24,AK$3)=0))+((AK24&lt;&gt;"Xp")*(COUNTIFS($C$3:$P$3,"POM",$C24:$P24,AK$3)=0)*(COUNTIFS($C$3:$P$3,"NOTTE",$C24:$P24,AK$3)=0))+((AK24&lt;&gt;"Xn")*(COUNTIFS($C$3:$P$3,"MAT",$C24:$P24,AK$3)=0)*(COUNTIFS($C$3:$P$3,"POM",$C24:$P24,AK$3)=0)*(COUNTIFS($C$3:$P$3,"NOTTE",$C24:$P24,AK$3)=0))=3,AK$3&amp;", ",AK$3&amp;IF((AK24&lt;&gt;"Xm")*(COUNTIFS($C$3:$P$3,"MAT",$C24:$P24,AK$3)=0)*(COUNTIFS($C$3:$P$3,"NOTTE",$C24:$P24,AK$3)=0),"_m","")&amp;IF((AK24&lt;&gt;"Xp")*(COUNTIFS($C$3:$P$3,"POM",$C24:$P24,AK$3)=0)*(COUNTIFS($C$3:$P$3,"NOTTE",$C24:$P24,AK$3)=0),"_p","")&amp;IF((AK24&lt;&gt;"Xn")*(COUNTIFS($C$3:$P$3,"MAT",$C24:$P24,AK$3)=0)*(COUNTIFS($C$3:$P$3,"POM",$C24:$P24,AK$3)=0)*(COUNTIFS($C$3:$P$3,"NOTTE",$C24:$P24,AK$3)=0),"_n","")&amp;", ")))</f>
        <v>FERRARI, </v>
      </c>
      <c r="CO24" s="1" t="str">
        <f aca="false">IF((AL24="X")+(AL24="Gn")+(AL24="C")+(AL23="Gn")&gt;0,"",IF(((AL24&lt;&gt;"Xm")*(COUNTIFS($C$3:$P$3,"MAT",$C24:$P24,AL$3)=0)*(COUNTIFS($C$3:$P$3,"NOTTE",$C24:$P24,AL$3)=0))+((AL24&lt;&gt;"Xp")*(COUNTIFS($C$3:$P$3,"POM",$C24:$P24,AL$3)=0)*(COUNTIFS($C$3:$P$3,"NOTTE",$C24:$P24,AL$3)=0))+((AL24&lt;&gt;"Xn")*(COUNTIFS($C$3:$P$3,"MAT",$C24:$P24,AL$3)=0)*(COUNTIFS($C$3:$P$3,"POM",$C24:$P24,AL$3)=0)*(COUNTIFS($C$3:$P$3,"NOTTE",$C24:$P24,AL$3)=0))=0,"",IF(((AL24&lt;&gt;"Xm")*(COUNTIFS($C$3:$P$3,"MAT",$C24:$P24,AL$3)=0)*(COUNTIFS($C$3:$P$3,"NOTTE",$C24:$P24,AL$3)=0))+((AL24&lt;&gt;"Xp")*(COUNTIFS($C$3:$P$3,"POM",$C24:$P24,AL$3)=0)*(COUNTIFS($C$3:$P$3,"NOTTE",$C24:$P24,AL$3)=0))+((AL24&lt;&gt;"Xn")*(COUNTIFS($C$3:$P$3,"MAT",$C24:$P24,AL$3)=0)*(COUNTIFS($C$3:$P$3,"POM",$C24:$P24,AL$3)=0)*(COUNTIFS($C$3:$P$3,"NOTTE",$C24:$P24,AL$3)=0))=3,AL$3&amp;", ",AL$3&amp;IF((AL24&lt;&gt;"Xm")*(COUNTIFS($C$3:$P$3,"MAT",$C24:$P24,AL$3)=0)*(COUNTIFS($C$3:$P$3,"NOTTE",$C24:$P24,AL$3)=0),"_m","")&amp;IF((AL24&lt;&gt;"Xp")*(COUNTIFS($C$3:$P$3,"POM",$C24:$P24,AL$3)=0)*(COUNTIFS($C$3:$P$3,"NOTTE",$C24:$P24,AL$3)=0),"_p","")&amp;IF((AL24&lt;&gt;"Xn")*(COUNTIFS($C$3:$P$3,"MAT",$C24:$P24,AL$3)=0)*(COUNTIFS($C$3:$P$3,"POM",$C24:$P24,AL$3)=0)*(COUNTIFS($C$3:$P$3,"NOTTE",$C24:$P24,AL$3)=0),"_n","")&amp;", ")))</f>
        <v>GRECO, </v>
      </c>
      <c r="CP24" s="1" t="str">
        <f aca="false">IF((AM24="X")+(AM24="Gn")+(AM24="C")+(AM23="Gn")&gt;0,"",IF(((AM24&lt;&gt;"Xm")*(COUNTIFS($C$3:$P$3,"MAT",$C24:$P24,AM$3)=0)*(COUNTIFS($C$3:$P$3,"NOTTE",$C24:$P24,AM$3)=0))+((AM24&lt;&gt;"Xp")*(COUNTIFS($C$3:$P$3,"POM",$C24:$P24,AM$3)=0)*(COUNTIFS($C$3:$P$3,"NOTTE",$C24:$P24,AM$3)=0))+((AM24&lt;&gt;"Xn")*(COUNTIFS($C$3:$P$3,"MAT",$C24:$P24,AM$3)=0)*(COUNTIFS($C$3:$P$3,"POM",$C24:$P24,AM$3)=0)*(COUNTIFS($C$3:$P$3,"NOTTE",$C24:$P24,AM$3)=0))=0,"",IF(((AM24&lt;&gt;"Xm")*(COUNTIFS($C$3:$P$3,"MAT",$C24:$P24,AM$3)=0)*(COUNTIFS($C$3:$P$3,"NOTTE",$C24:$P24,AM$3)=0))+((AM24&lt;&gt;"Xp")*(COUNTIFS($C$3:$P$3,"POM",$C24:$P24,AM$3)=0)*(COUNTIFS($C$3:$P$3,"NOTTE",$C24:$P24,AM$3)=0))+((AM24&lt;&gt;"Xn")*(COUNTIFS($C$3:$P$3,"MAT",$C24:$P24,AM$3)=0)*(COUNTIFS($C$3:$P$3,"POM",$C24:$P24,AM$3)=0)*(COUNTIFS($C$3:$P$3,"NOTTE",$C24:$P24,AM$3)=0))=3,AM$3&amp;", ",AM$3&amp;IF((AM24&lt;&gt;"Xm")*(COUNTIFS($C$3:$P$3,"MAT",$C24:$P24,AM$3)=0)*(COUNTIFS($C$3:$P$3,"NOTTE",$C24:$P24,AM$3)=0),"_m","")&amp;IF((AM24&lt;&gt;"Xp")*(COUNTIFS($C$3:$P$3,"POM",$C24:$P24,AM$3)=0)*(COUNTIFS($C$3:$P$3,"NOTTE",$C24:$P24,AM$3)=0),"_p","")&amp;IF((AM24&lt;&gt;"Xn")*(COUNTIFS($C$3:$P$3,"MAT",$C24:$P24,AM$3)=0)*(COUNTIFS($C$3:$P$3,"POM",$C24:$P24,AM$3)=0)*(COUNTIFS($C$3:$P$3,"NOTTE",$C24:$P24,AM$3)=0),"_n","")&amp;", ")))</f>
        <v>SANNA, </v>
      </c>
      <c r="CQ24" s="1" t="str">
        <f aca="false">IF((AN24="X")+(AN24="Gn")+(AN24="C")+(AN23="Gn")&gt;0,"",IF(((AN24&lt;&gt;"Xm")*(COUNTIFS($C$3:$P$3,"MAT",$C24:$P24,AN$3)=0)*(COUNTIFS($C$3:$P$3,"NOTTE",$C24:$P24,AN$3)=0))+((AN24&lt;&gt;"Xp")*(COUNTIFS($C$3:$P$3,"POM",$C24:$P24,AN$3)=0)*(COUNTIFS($C$3:$P$3,"NOTTE",$C24:$P24,AN$3)=0))+((AN24&lt;&gt;"Xn")*(COUNTIFS($C$3:$P$3,"MAT",$C24:$P24,AN$3)=0)*(COUNTIFS($C$3:$P$3,"POM",$C24:$P24,AN$3)=0)*(COUNTIFS($C$3:$P$3,"NOTTE",$C24:$P24,AN$3)=0))=0,"",IF(((AN24&lt;&gt;"Xm")*(COUNTIFS($C$3:$P$3,"MAT",$C24:$P24,AN$3)=0)*(COUNTIFS($C$3:$P$3,"NOTTE",$C24:$P24,AN$3)=0))+((AN24&lt;&gt;"Xp")*(COUNTIFS($C$3:$P$3,"POM",$C24:$P24,AN$3)=0)*(COUNTIFS($C$3:$P$3,"NOTTE",$C24:$P24,AN$3)=0))+((AN24&lt;&gt;"Xn")*(COUNTIFS($C$3:$P$3,"MAT",$C24:$P24,AN$3)=0)*(COUNTIFS($C$3:$P$3,"POM",$C24:$P24,AN$3)=0)*(COUNTIFS($C$3:$P$3,"NOTTE",$C24:$P24,AN$3)=0))=3,AN$3&amp;", ",AN$3&amp;IF((AN24&lt;&gt;"Xm")*(COUNTIFS($C$3:$P$3,"MAT",$C24:$P24,AN$3)=0)*(COUNTIFS($C$3:$P$3,"NOTTE",$C24:$P24,AN$3)=0),"_m","")&amp;IF((AN24&lt;&gt;"Xp")*(COUNTIFS($C$3:$P$3,"POM",$C24:$P24,AN$3)=0)*(COUNTIFS($C$3:$P$3,"NOTTE",$C24:$P24,AN$3)=0),"_p","")&amp;IF((AN24&lt;&gt;"Xn")*(COUNTIFS($C$3:$P$3,"MAT",$C24:$P24,AN$3)=0)*(COUNTIFS($C$3:$P$3,"POM",$C24:$P24,AN$3)=0)*(COUNTIFS($C$3:$P$3,"NOTTE",$C24:$P24,AN$3)=0),"_n","")&amp;", ")))</f>
        <v>LI, </v>
      </c>
    </row>
    <row r="25" customFormat="false" ht="15" hidden="false" customHeight="true" outlineLevel="0" collapsed="false">
      <c r="A25" s="8" t="str">
        <f aca="false">CHOOSE(WEEKDAY(DATE($B$1,$A$2,B25),2),"lunedì","martedì","mercoledì","giovedì","venerdì","sabato","domenica")</f>
        <v>domenica</v>
      </c>
      <c r="B25" s="8" t="n">
        <v>22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 t="s">
        <v>25</v>
      </c>
      <c r="O25" s="8" t="s">
        <v>25</v>
      </c>
      <c r="P25" s="8" t="s">
        <v>28</v>
      </c>
      <c r="Q25" s="8"/>
      <c r="R25" s="8" t="str">
        <f aca="false">IF(SUMPRODUCT(($C$3:$P$3&lt;&gt;"")*($C25:$P25&lt;&gt;"")*(COUNTIFS($C25:$P25,$C25:$P25,$C$3:$P$3,$C$3:$P$3)&gt;1))&gt;0,"X","")</f>
        <v/>
      </c>
      <c r="S25" s="9" t="str">
        <f aca="false"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LEONI_m_n, ROSSI M, ROSSI L, GALLINA, RUSSO, VERDI, HU, CONTI A, CONTI S, FERRARI, GRECO, SANNA, LI</v>
      </c>
      <c r="T25" s="9" t="str">
        <f aca="false"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LEONI_m_n, ROSSI M, GALLINA, RUSSO, HU, CONTI A, CONTI S, FERRARI, GRECO, SANNA, LI</v>
      </c>
      <c r="Y25" s="8" t="str">
        <f aca="false">A25</f>
        <v>domenica</v>
      </c>
      <c r="Z25" s="8" t="n">
        <f aca="false">B25</f>
        <v>22</v>
      </c>
      <c r="AA25" s="10" t="s">
        <v>43</v>
      </c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BO25" s="1" t="str">
        <f aca="false">IF((AA25="X")+(AA25="Gn")+(AA25="C")+(AA24="Gn")&gt;0,"",IF(((AA25&lt;&gt;"Xm"))+((AA25&lt;&gt;"Xp"))+((AA25&lt;&gt;"Xn"))=0,"",IF(((AA25&lt;&gt;"Xm"))+((AA25&lt;&gt;"Xp"))+((AA25&lt;&gt;"Xn"))=3,AA$3&amp;", ",AA$3&amp;IF((AA25&lt;&gt;"Xm"),"_m","")&amp;IF((AA25&lt;&gt;"Xp"),"_p","")&amp;IF((AA25&lt;&gt;"Xn"),"_n","")&amp;", ")))</f>
        <v>LEONI_m_n, </v>
      </c>
      <c r="BP25" s="1" t="str">
        <f aca="false">IF((AB25="X")+(AB25="Gn")+(AB25="C")+(AB24="Gn")&gt;0,"",IF(((AB25&lt;&gt;"Xm"))+((AB25&lt;&gt;"Xp"))+((AB25&lt;&gt;"Xn"))=0,"",IF(((AB25&lt;&gt;"Xm"))+((AB25&lt;&gt;"Xp"))+((AB25&lt;&gt;"Xn"))=3,AB$3&amp;", ",AB$3&amp;IF((AB25&lt;&gt;"Xm"),"_m","")&amp;IF((AB25&lt;&gt;"Xp"),"_p","")&amp;IF((AB25&lt;&gt;"Xn"),"_n","")&amp;", ")))</f>
        <v>ROSSI M, </v>
      </c>
      <c r="BQ25" s="1" t="str">
        <f aca="false">IF((AC25="X")+(AC25="Gn")+(AC25="C")+(AC24="Gn")&gt;0,"",IF(((AC25&lt;&gt;"Xm"))+((AC25&lt;&gt;"Xp"))+((AC25&lt;&gt;"Xn"))=0,"",IF(((AC25&lt;&gt;"Xm"))+((AC25&lt;&gt;"Xp"))+((AC25&lt;&gt;"Xn"))=3,AC$3&amp;", ",AC$3&amp;IF((AC25&lt;&gt;"Xm"),"_m","")&amp;IF((AC25&lt;&gt;"Xp"),"_p","")&amp;IF((AC25&lt;&gt;"Xn"),"_n","")&amp;", ")))</f>
        <v>ROSSI L, </v>
      </c>
      <c r="BR25" s="1" t="str">
        <f aca="false">IF((AD25="X")+(AD25="Gn")+(AD25="C")+(AD24="Gn")&gt;0,"",IF(((AD25&lt;&gt;"Xm"))+((AD25&lt;&gt;"Xp"))+((AD25&lt;&gt;"Xn"))=0,"",IF(((AD25&lt;&gt;"Xm"))+((AD25&lt;&gt;"Xp"))+((AD25&lt;&gt;"Xn"))=3,AD$3&amp;", ",AD$3&amp;IF((AD25&lt;&gt;"Xm"),"_m","")&amp;IF((AD25&lt;&gt;"Xp"),"_p","")&amp;IF((AD25&lt;&gt;"Xn"),"_n","")&amp;", ")))</f>
        <v>GALLINA, </v>
      </c>
      <c r="BS25" s="1" t="str">
        <f aca="false">IF((AE25="X")+(AE25="Gn")+(AE25="C")+(AE24="Gn")&gt;0,"",IF(((AE25&lt;&gt;"Xm"))+((AE25&lt;&gt;"Xp"))+((AE25&lt;&gt;"Xn"))=0,"",IF(((AE25&lt;&gt;"Xm"))+((AE25&lt;&gt;"Xp"))+((AE25&lt;&gt;"Xn"))=3,AE$3&amp;", ",AE$3&amp;IF((AE25&lt;&gt;"Xm"),"_m","")&amp;IF((AE25&lt;&gt;"Xp"),"_p","")&amp;IF((AE25&lt;&gt;"Xn"),"_n","")&amp;", ")))</f>
        <v>RUSSO, </v>
      </c>
      <c r="BT25" s="1" t="str">
        <f aca="false">IF((AF25="X")+(AF25="Gn")+(AF25="C")+(AF24="Gn")&gt;0,"",IF(((AF25&lt;&gt;"Xm"))+((AF25&lt;&gt;"Xp"))+((AF25&lt;&gt;"Xn"))=0,"",IF(((AF25&lt;&gt;"Xm"))+((AF25&lt;&gt;"Xp"))+((AF25&lt;&gt;"Xn"))=3,AF$3&amp;", ",AF$3&amp;IF((AF25&lt;&gt;"Xm"),"_m","")&amp;IF((AF25&lt;&gt;"Xp"),"_p","")&amp;IF((AF25&lt;&gt;"Xn"),"_n","")&amp;", ")))</f>
        <v>VERDI, </v>
      </c>
      <c r="BU25" s="1" t="str">
        <f aca="false">IF((AG25="X")+(AG25="Gn")+(AG25="C")+(AG24="Gn")&gt;0,"",IF(((AG25&lt;&gt;"Xm"))+((AG25&lt;&gt;"Xp"))+((AG25&lt;&gt;"Xn"))=0,"",IF(((AG25&lt;&gt;"Xm"))+((AG25&lt;&gt;"Xp"))+((AG25&lt;&gt;"Xn"))=3,AG$3&amp;", ",AG$3&amp;IF((AG25&lt;&gt;"Xm"),"_m","")&amp;IF((AG25&lt;&gt;"Xp"),"_p","")&amp;IF((AG25&lt;&gt;"Xn"),"_n","")&amp;", ")))</f>
        <v>HU, </v>
      </c>
      <c r="BV25" s="1" t="str">
        <f aca="false">IF((AH25="X")+(AH25="Gn")+(AH25="C")+(AH24="Gn")&gt;0,"",IF(((AH25&lt;&gt;"Xm"))+((AH25&lt;&gt;"Xp"))+((AH25&lt;&gt;"Xn"))=0,"",IF(((AH25&lt;&gt;"Xm"))+((AH25&lt;&gt;"Xp"))+((AH25&lt;&gt;"Xn"))=3,AH$3&amp;", ",AH$3&amp;IF((AH25&lt;&gt;"Xm"),"_m","")&amp;IF((AH25&lt;&gt;"Xp"),"_p","")&amp;IF((AH25&lt;&gt;"Xn"),"_n","")&amp;", ")))</f>
        <v/>
      </c>
      <c r="BW25" s="1" t="str">
        <f aca="false">IF((AI25="X")+(AI25="Gn")+(AI25="C")+(AI24="Gn")&gt;0,"",IF(((AI25&lt;&gt;"Xm"))+((AI25&lt;&gt;"Xp"))+((AI25&lt;&gt;"Xn"))=0,"",IF(((AI25&lt;&gt;"Xm"))+((AI25&lt;&gt;"Xp"))+((AI25&lt;&gt;"Xn"))=3,AI$3&amp;", ",AI$3&amp;IF((AI25&lt;&gt;"Xm"),"_m","")&amp;IF((AI25&lt;&gt;"Xp"),"_p","")&amp;IF((AI25&lt;&gt;"Xn"),"_n","")&amp;", ")))</f>
        <v>CONTI A, </v>
      </c>
      <c r="BX25" s="1" t="str">
        <f aca="false">IF((AJ25="X")+(AJ25="Gn")+(AJ25="C")+(AJ24="Gn")&gt;0,"",IF(((AJ25&lt;&gt;"Xm"))+((AJ25&lt;&gt;"Xp"))+((AJ25&lt;&gt;"Xn"))=0,"",IF(((AJ25&lt;&gt;"Xm"))+((AJ25&lt;&gt;"Xp"))+((AJ25&lt;&gt;"Xn"))=3,AJ$3&amp;", ",AJ$3&amp;IF((AJ25&lt;&gt;"Xm"),"_m","")&amp;IF((AJ25&lt;&gt;"Xp"),"_p","")&amp;IF((AJ25&lt;&gt;"Xn"),"_n","")&amp;", ")))</f>
        <v>CONTI S, </v>
      </c>
      <c r="BY25" s="1" t="str">
        <f aca="false">IF((AK25="X")+(AK25="Gn")+(AK25="C")+(AK24="Gn")&gt;0,"",IF(((AK25&lt;&gt;"Xm"))+((AK25&lt;&gt;"Xp"))+((AK25&lt;&gt;"Xn"))=0,"",IF(((AK25&lt;&gt;"Xm"))+((AK25&lt;&gt;"Xp"))+((AK25&lt;&gt;"Xn"))=3,AK$3&amp;", ",AK$3&amp;IF((AK25&lt;&gt;"Xm"),"_m","")&amp;IF((AK25&lt;&gt;"Xp"),"_p","")&amp;IF((AK25&lt;&gt;"Xn"),"_n","")&amp;", ")))</f>
        <v>FERRARI, </v>
      </c>
      <c r="BZ25" s="1" t="str">
        <f aca="false">IF((AL25="X")+(AL25="Gn")+(AL25="C")+(AL24="Gn")&gt;0,"",IF(((AL25&lt;&gt;"Xm"))+((AL25&lt;&gt;"Xp"))+((AL25&lt;&gt;"Xn"))=0,"",IF(((AL25&lt;&gt;"Xm"))+((AL25&lt;&gt;"Xp"))+((AL25&lt;&gt;"Xn"))=3,AL$3&amp;", ",AL$3&amp;IF((AL25&lt;&gt;"Xm"),"_m","")&amp;IF((AL25&lt;&gt;"Xp"),"_p","")&amp;IF((AL25&lt;&gt;"Xn"),"_n","")&amp;", ")))</f>
        <v>GRECO, </v>
      </c>
      <c r="CA25" s="1" t="str">
        <f aca="false">IF((AM25="X")+(AM25="Gn")+(AM25="C")+(AM24="Gn")&gt;0,"",IF(((AM25&lt;&gt;"Xm"))+((AM25&lt;&gt;"Xp"))+((AM25&lt;&gt;"Xn"))=0,"",IF(((AM25&lt;&gt;"Xm"))+((AM25&lt;&gt;"Xp"))+((AM25&lt;&gt;"Xn"))=3,AM$3&amp;", ",AM$3&amp;IF((AM25&lt;&gt;"Xm"),"_m","")&amp;IF((AM25&lt;&gt;"Xp"),"_p","")&amp;IF((AM25&lt;&gt;"Xn"),"_n","")&amp;", ")))</f>
        <v>SANNA, </v>
      </c>
      <c r="CB25" s="1" t="str">
        <f aca="false">IF((AN25="X")+(AN25="Gn")+(AN25="C")+(AN24="Gn")&gt;0,"",IF(((AN25&lt;&gt;"Xm"))+((AN25&lt;&gt;"Xp"))+((AN25&lt;&gt;"Xn"))=0,"",IF(((AN25&lt;&gt;"Xm"))+((AN25&lt;&gt;"Xp"))+((AN25&lt;&gt;"Xn"))=3,AN$3&amp;", ",AN$3&amp;IF((AN25&lt;&gt;"Xm"),"_m","")&amp;IF((AN25&lt;&gt;"Xp"),"_p","")&amp;IF((AN25&lt;&gt;"Xn"),"_n","")&amp;", ")))</f>
        <v>LI, </v>
      </c>
      <c r="CD25" s="1" t="str">
        <f aca="false">IF((AA25="X")+(AA25="Gn")+(AA25="C")+(AA24="Gn")&gt;0,"",IF(((AA25&lt;&gt;"Xm")*(COUNTIFS($C$3:$P$3,"MAT",$C25:$P25,AA$3)=0)*(COUNTIFS($C$3:$P$3,"NOTTE",$C25:$P25,AA$3)=0))+((AA25&lt;&gt;"Xp")*(COUNTIFS($C$3:$P$3,"POM",$C25:$P25,AA$3)=0)*(COUNTIFS($C$3:$P$3,"NOTTE",$C25:$P25,AA$3)=0))+((AA25&lt;&gt;"Xn")*(COUNTIFS($C$3:$P$3,"MAT",$C25:$P25,AA$3)=0)*(COUNTIFS($C$3:$P$3,"POM",$C25:$P25,AA$3)=0)*(COUNTIFS($C$3:$P$3,"NOTTE",$C25:$P25,AA$3)=0))=0,"",IF(((AA25&lt;&gt;"Xm")*(COUNTIFS($C$3:$P$3,"MAT",$C25:$P25,AA$3)=0)*(COUNTIFS($C$3:$P$3,"NOTTE",$C25:$P25,AA$3)=0))+((AA25&lt;&gt;"Xp")*(COUNTIFS($C$3:$P$3,"POM",$C25:$P25,AA$3)=0)*(COUNTIFS($C$3:$P$3,"NOTTE",$C25:$P25,AA$3)=0))+((AA25&lt;&gt;"Xn")*(COUNTIFS($C$3:$P$3,"MAT",$C25:$P25,AA$3)=0)*(COUNTIFS($C$3:$P$3,"POM",$C25:$P25,AA$3)=0)*(COUNTIFS($C$3:$P$3,"NOTTE",$C25:$P25,AA$3)=0))=3,AA$3&amp;", ",AA$3&amp;IF((AA25&lt;&gt;"Xm")*(COUNTIFS($C$3:$P$3,"MAT",$C25:$P25,AA$3)=0)*(COUNTIFS($C$3:$P$3,"NOTTE",$C25:$P25,AA$3)=0),"_m","")&amp;IF((AA25&lt;&gt;"Xp")*(COUNTIFS($C$3:$P$3,"POM",$C25:$P25,AA$3)=0)*(COUNTIFS($C$3:$P$3,"NOTTE",$C25:$P25,AA$3)=0),"_p","")&amp;IF((AA25&lt;&gt;"Xn")*(COUNTIFS($C$3:$P$3,"MAT",$C25:$P25,AA$3)=0)*(COUNTIFS($C$3:$P$3,"POM",$C25:$P25,AA$3)=0)*(COUNTIFS($C$3:$P$3,"NOTTE",$C25:$P25,AA$3)=0),"_n","")&amp;", ")))</f>
        <v>LEONI_m_n, </v>
      </c>
      <c r="CE25" s="1" t="str">
        <f aca="false">IF((AB25="X")+(AB25="Gn")+(AB25="C")+(AB24="Gn")&gt;0,"",IF(((AB25&lt;&gt;"Xm")*(COUNTIFS($C$3:$P$3,"MAT",$C25:$P25,AB$3)=0)*(COUNTIFS($C$3:$P$3,"NOTTE",$C25:$P25,AB$3)=0))+((AB25&lt;&gt;"Xp")*(COUNTIFS($C$3:$P$3,"POM",$C25:$P25,AB$3)=0)*(COUNTIFS($C$3:$P$3,"NOTTE",$C25:$P25,AB$3)=0))+((AB25&lt;&gt;"Xn")*(COUNTIFS($C$3:$P$3,"MAT",$C25:$P25,AB$3)=0)*(COUNTIFS($C$3:$P$3,"POM",$C25:$P25,AB$3)=0)*(COUNTIFS($C$3:$P$3,"NOTTE",$C25:$P25,AB$3)=0))=0,"",IF(((AB25&lt;&gt;"Xm")*(COUNTIFS($C$3:$P$3,"MAT",$C25:$P25,AB$3)=0)*(COUNTIFS($C$3:$P$3,"NOTTE",$C25:$P25,AB$3)=0))+((AB25&lt;&gt;"Xp")*(COUNTIFS($C$3:$P$3,"POM",$C25:$P25,AB$3)=0)*(COUNTIFS($C$3:$P$3,"NOTTE",$C25:$P25,AB$3)=0))+((AB25&lt;&gt;"Xn")*(COUNTIFS($C$3:$P$3,"MAT",$C25:$P25,AB$3)=0)*(COUNTIFS($C$3:$P$3,"POM",$C25:$P25,AB$3)=0)*(COUNTIFS($C$3:$P$3,"NOTTE",$C25:$P25,AB$3)=0))=3,AB$3&amp;", ",AB$3&amp;IF((AB25&lt;&gt;"Xm")*(COUNTIFS($C$3:$P$3,"MAT",$C25:$P25,AB$3)=0)*(COUNTIFS($C$3:$P$3,"NOTTE",$C25:$P25,AB$3)=0),"_m","")&amp;IF((AB25&lt;&gt;"Xp")*(COUNTIFS($C$3:$P$3,"POM",$C25:$P25,AB$3)=0)*(COUNTIFS($C$3:$P$3,"NOTTE",$C25:$P25,AB$3)=0),"_p","")&amp;IF((AB25&lt;&gt;"Xn")*(COUNTIFS($C$3:$P$3,"MAT",$C25:$P25,AB$3)=0)*(COUNTIFS($C$3:$P$3,"POM",$C25:$P25,AB$3)=0)*(COUNTIFS($C$3:$P$3,"NOTTE",$C25:$P25,AB$3)=0),"_n","")&amp;", ")))</f>
        <v>ROSSI M, </v>
      </c>
      <c r="CF25" s="1" t="str">
        <f aca="false">IF((AC25="X")+(AC25="Gn")+(AC25="C")+(AC24="Gn")&gt;0,"",IF(((AC25&lt;&gt;"Xm")*(COUNTIFS($C$3:$P$3,"MAT",$C25:$P25,AC$3)=0)*(COUNTIFS($C$3:$P$3,"NOTTE",$C25:$P25,AC$3)=0))+((AC25&lt;&gt;"Xp")*(COUNTIFS($C$3:$P$3,"POM",$C25:$P25,AC$3)=0)*(COUNTIFS($C$3:$P$3,"NOTTE",$C25:$P25,AC$3)=0))+((AC25&lt;&gt;"Xn")*(COUNTIFS($C$3:$P$3,"MAT",$C25:$P25,AC$3)=0)*(COUNTIFS($C$3:$P$3,"POM",$C25:$P25,AC$3)=0)*(COUNTIFS($C$3:$P$3,"NOTTE",$C25:$P25,AC$3)=0))=0,"",IF(((AC25&lt;&gt;"Xm")*(COUNTIFS($C$3:$P$3,"MAT",$C25:$P25,AC$3)=0)*(COUNTIFS($C$3:$P$3,"NOTTE",$C25:$P25,AC$3)=0))+((AC25&lt;&gt;"Xp")*(COUNTIFS($C$3:$P$3,"POM",$C25:$P25,AC$3)=0)*(COUNTIFS($C$3:$P$3,"NOTTE",$C25:$P25,AC$3)=0))+((AC25&lt;&gt;"Xn")*(COUNTIFS($C$3:$P$3,"MAT",$C25:$P25,AC$3)=0)*(COUNTIFS($C$3:$P$3,"POM",$C25:$P25,AC$3)=0)*(COUNTIFS($C$3:$P$3,"NOTTE",$C25:$P25,AC$3)=0))=3,AC$3&amp;", ",AC$3&amp;IF((AC25&lt;&gt;"Xm")*(COUNTIFS($C$3:$P$3,"MAT",$C25:$P25,AC$3)=0)*(COUNTIFS($C$3:$P$3,"NOTTE",$C25:$P25,AC$3)=0),"_m","")&amp;IF((AC25&lt;&gt;"Xp")*(COUNTIFS($C$3:$P$3,"POM",$C25:$P25,AC$3)=0)*(COUNTIFS($C$3:$P$3,"NOTTE",$C25:$P25,AC$3)=0),"_p","")&amp;IF((AC25&lt;&gt;"Xn")*(COUNTIFS($C$3:$P$3,"MAT",$C25:$P25,AC$3)=0)*(COUNTIFS($C$3:$P$3,"POM",$C25:$P25,AC$3)=0)*(COUNTIFS($C$3:$P$3,"NOTTE",$C25:$P25,AC$3)=0),"_n","")&amp;", ")))</f>
        <v/>
      </c>
      <c r="CG25" s="1" t="str">
        <f aca="false">IF((AD25="X")+(AD25="Gn")+(AD25="C")+(AD24="Gn")&gt;0,"",IF(((AD25&lt;&gt;"Xm")*(COUNTIFS($C$3:$P$3,"MAT",$C25:$P25,AD$3)=0)*(COUNTIFS($C$3:$P$3,"NOTTE",$C25:$P25,AD$3)=0))+((AD25&lt;&gt;"Xp")*(COUNTIFS($C$3:$P$3,"POM",$C25:$P25,AD$3)=0)*(COUNTIFS($C$3:$P$3,"NOTTE",$C25:$P25,AD$3)=0))+((AD25&lt;&gt;"Xn")*(COUNTIFS($C$3:$P$3,"MAT",$C25:$P25,AD$3)=0)*(COUNTIFS($C$3:$P$3,"POM",$C25:$P25,AD$3)=0)*(COUNTIFS($C$3:$P$3,"NOTTE",$C25:$P25,AD$3)=0))=0,"",IF(((AD25&lt;&gt;"Xm")*(COUNTIFS($C$3:$P$3,"MAT",$C25:$P25,AD$3)=0)*(COUNTIFS($C$3:$P$3,"NOTTE",$C25:$P25,AD$3)=0))+((AD25&lt;&gt;"Xp")*(COUNTIFS($C$3:$P$3,"POM",$C25:$P25,AD$3)=0)*(COUNTIFS($C$3:$P$3,"NOTTE",$C25:$P25,AD$3)=0))+((AD25&lt;&gt;"Xn")*(COUNTIFS($C$3:$P$3,"MAT",$C25:$P25,AD$3)=0)*(COUNTIFS($C$3:$P$3,"POM",$C25:$P25,AD$3)=0)*(COUNTIFS($C$3:$P$3,"NOTTE",$C25:$P25,AD$3)=0))=3,AD$3&amp;", ",AD$3&amp;IF((AD25&lt;&gt;"Xm")*(COUNTIFS($C$3:$P$3,"MAT",$C25:$P25,AD$3)=0)*(COUNTIFS($C$3:$P$3,"NOTTE",$C25:$P25,AD$3)=0),"_m","")&amp;IF((AD25&lt;&gt;"Xp")*(COUNTIFS($C$3:$P$3,"POM",$C25:$P25,AD$3)=0)*(COUNTIFS($C$3:$P$3,"NOTTE",$C25:$P25,AD$3)=0),"_p","")&amp;IF((AD25&lt;&gt;"Xn")*(COUNTIFS($C$3:$P$3,"MAT",$C25:$P25,AD$3)=0)*(COUNTIFS($C$3:$P$3,"POM",$C25:$P25,AD$3)=0)*(COUNTIFS($C$3:$P$3,"NOTTE",$C25:$P25,AD$3)=0),"_n","")&amp;", ")))</f>
        <v>GALLINA, </v>
      </c>
      <c r="CH25" s="1" t="str">
        <f aca="false">IF((AE25="X")+(AE25="Gn")+(AE25="C")+(AE24="Gn")&gt;0,"",IF(((AE25&lt;&gt;"Xm")*(COUNTIFS($C$3:$P$3,"MAT",$C25:$P25,AE$3)=0)*(COUNTIFS($C$3:$P$3,"NOTTE",$C25:$P25,AE$3)=0))+((AE25&lt;&gt;"Xp")*(COUNTIFS($C$3:$P$3,"POM",$C25:$P25,AE$3)=0)*(COUNTIFS($C$3:$P$3,"NOTTE",$C25:$P25,AE$3)=0))+((AE25&lt;&gt;"Xn")*(COUNTIFS($C$3:$P$3,"MAT",$C25:$P25,AE$3)=0)*(COUNTIFS($C$3:$P$3,"POM",$C25:$P25,AE$3)=0)*(COUNTIFS($C$3:$P$3,"NOTTE",$C25:$P25,AE$3)=0))=0,"",IF(((AE25&lt;&gt;"Xm")*(COUNTIFS($C$3:$P$3,"MAT",$C25:$P25,AE$3)=0)*(COUNTIFS($C$3:$P$3,"NOTTE",$C25:$P25,AE$3)=0))+((AE25&lt;&gt;"Xp")*(COUNTIFS($C$3:$P$3,"POM",$C25:$P25,AE$3)=0)*(COUNTIFS($C$3:$P$3,"NOTTE",$C25:$P25,AE$3)=0))+((AE25&lt;&gt;"Xn")*(COUNTIFS($C$3:$P$3,"MAT",$C25:$P25,AE$3)=0)*(COUNTIFS($C$3:$P$3,"POM",$C25:$P25,AE$3)=0)*(COUNTIFS($C$3:$P$3,"NOTTE",$C25:$P25,AE$3)=0))=3,AE$3&amp;", ",AE$3&amp;IF((AE25&lt;&gt;"Xm")*(COUNTIFS($C$3:$P$3,"MAT",$C25:$P25,AE$3)=0)*(COUNTIFS($C$3:$P$3,"NOTTE",$C25:$P25,AE$3)=0),"_m","")&amp;IF((AE25&lt;&gt;"Xp")*(COUNTIFS($C$3:$P$3,"POM",$C25:$P25,AE$3)=0)*(COUNTIFS($C$3:$P$3,"NOTTE",$C25:$P25,AE$3)=0),"_p","")&amp;IF((AE25&lt;&gt;"Xn")*(COUNTIFS($C$3:$P$3,"MAT",$C25:$P25,AE$3)=0)*(COUNTIFS($C$3:$P$3,"POM",$C25:$P25,AE$3)=0)*(COUNTIFS($C$3:$P$3,"NOTTE",$C25:$P25,AE$3)=0),"_n","")&amp;", ")))</f>
        <v>RUSSO, </v>
      </c>
      <c r="CI25" s="1" t="str">
        <f aca="false">IF((AF25="X")+(AF25="Gn")+(AF25="C")+(AF24="Gn")&gt;0,"",IF(((AF25&lt;&gt;"Xm")*(COUNTIFS($C$3:$P$3,"MAT",$C25:$P25,AF$3)=0)*(COUNTIFS($C$3:$P$3,"NOTTE",$C25:$P25,AF$3)=0))+((AF25&lt;&gt;"Xp")*(COUNTIFS($C$3:$P$3,"POM",$C25:$P25,AF$3)=0)*(COUNTIFS($C$3:$P$3,"NOTTE",$C25:$P25,AF$3)=0))+((AF25&lt;&gt;"Xn")*(COUNTIFS($C$3:$P$3,"MAT",$C25:$P25,AF$3)=0)*(COUNTIFS($C$3:$P$3,"POM",$C25:$P25,AF$3)=0)*(COUNTIFS($C$3:$P$3,"NOTTE",$C25:$P25,AF$3)=0))=0,"",IF(((AF25&lt;&gt;"Xm")*(COUNTIFS($C$3:$P$3,"MAT",$C25:$P25,AF$3)=0)*(COUNTIFS($C$3:$P$3,"NOTTE",$C25:$P25,AF$3)=0))+((AF25&lt;&gt;"Xp")*(COUNTIFS($C$3:$P$3,"POM",$C25:$P25,AF$3)=0)*(COUNTIFS($C$3:$P$3,"NOTTE",$C25:$P25,AF$3)=0))+((AF25&lt;&gt;"Xn")*(COUNTIFS($C$3:$P$3,"MAT",$C25:$P25,AF$3)=0)*(COUNTIFS($C$3:$P$3,"POM",$C25:$P25,AF$3)=0)*(COUNTIFS($C$3:$P$3,"NOTTE",$C25:$P25,AF$3)=0))=3,AF$3&amp;", ",AF$3&amp;IF((AF25&lt;&gt;"Xm")*(COUNTIFS($C$3:$P$3,"MAT",$C25:$P25,AF$3)=0)*(COUNTIFS($C$3:$P$3,"NOTTE",$C25:$P25,AF$3)=0),"_m","")&amp;IF((AF25&lt;&gt;"Xp")*(COUNTIFS($C$3:$P$3,"POM",$C25:$P25,AF$3)=0)*(COUNTIFS($C$3:$P$3,"NOTTE",$C25:$P25,AF$3)=0),"_p","")&amp;IF((AF25&lt;&gt;"Xn")*(COUNTIFS($C$3:$P$3,"MAT",$C25:$P25,AF$3)=0)*(COUNTIFS($C$3:$P$3,"POM",$C25:$P25,AF$3)=0)*(COUNTIFS($C$3:$P$3,"NOTTE",$C25:$P25,AF$3)=0),"_n","")&amp;", ")))</f>
        <v/>
      </c>
      <c r="CJ25" s="1" t="str">
        <f aca="false">IF((AG25="X")+(AG25="Gn")+(AG25="C")+(AG24="Gn")&gt;0,"",IF(((AG25&lt;&gt;"Xm")*(COUNTIFS($C$3:$P$3,"MAT",$C25:$P25,AG$3)=0)*(COUNTIFS($C$3:$P$3,"NOTTE",$C25:$P25,AG$3)=0))+((AG25&lt;&gt;"Xp")*(COUNTIFS($C$3:$P$3,"POM",$C25:$P25,AG$3)=0)*(COUNTIFS($C$3:$P$3,"NOTTE",$C25:$P25,AG$3)=0))+((AG25&lt;&gt;"Xn")*(COUNTIFS($C$3:$P$3,"MAT",$C25:$P25,AG$3)=0)*(COUNTIFS($C$3:$P$3,"POM",$C25:$P25,AG$3)=0)*(COUNTIFS($C$3:$P$3,"NOTTE",$C25:$P25,AG$3)=0))=0,"",IF(((AG25&lt;&gt;"Xm")*(COUNTIFS($C$3:$P$3,"MAT",$C25:$P25,AG$3)=0)*(COUNTIFS($C$3:$P$3,"NOTTE",$C25:$P25,AG$3)=0))+((AG25&lt;&gt;"Xp")*(COUNTIFS($C$3:$P$3,"POM",$C25:$P25,AG$3)=0)*(COUNTIFS($C$3:$P$3,"NOTTE",$C25:$P25,AG$3)=0))+((AG25&lt;&gt;"Xn")*(COUNTIFS($C$3:$P$3,"MAT",$C25:$P25,AG$3)=0)*(COUNTIFS($C$3:$P$3,"POM",$C25:$P25,AG$3)=0)*(COUNTIFS($C$3:$P$3,"NOTTE",$C25:$P25,AG$3)=0))=3,AG$3&amp;", ",AG$3&amp;IF((AG25&lt;&gt;"Xm")*(COUNTIFS($C$3:$P$3,"MAT",$C25:$P25,AG$3)=0)*(COUNTIFS($C$3:$P$3,"NOTTE",$C25:$P25,AG$3)=0),"_m","")&amp;IF((AG25&lt;&gt;"Xp")*(COUNTIFS($C$3:$P$3,"POM",$C25:$P25,AG$3)=0)*(COUNTIFS($C$3:$P$3,"NOTTE",$C25:$P25,AG$3)=0),"_p","")&amp;IF((AG25&lt;&gt;"Xn")*(COUNTIFS($C$3:$P$3,"MAT",$C25:$P25,AG$3)=0)*(COUNTIFS($C$3:$P$3,"POM",$C25:$P25,AG$3)=0)*(COUNTIFS($C$3:$P$3,"NOTTE",$C25:$P25,AG$3)=0),"_n","")&amp;", ")))</f>
        <v>HU, </v>
      </c>
      <c r="CK25" s="1" t="str">
        <f aca="false">IF((AH25="X")+(AH25="Gn")+(AH25="C")+(AH24="Gn")&gt;0,"",IF(((AH25&lt;&gt;"Xm")*(COUNTIFS($C$3:$P$3,"MAT",$C25:$P25,AH$3)=0)*(COUNTIFS($C$3:$P$3,"NOTTE",$C25:$P25,AH$3)=0))+((AH25&lt;&gt;"Xp")*(COUNTIFS($C$3:$P$3,"POM",$C25:$P25,AH$3)=0)*(COUNTIFS($C$3:$P$3,"NOTTE",$C25:$P25,AH$3)=0))+((AH25&lt;&gt;"Xn")*(COUNTIFS($C$3:$P$3,"MAT",$C25:$P25,AH$3)=0)*(COUNTIFS($C$3:$P$3,"POM",$C25:$P25,AH$3)=0)*(COUNTIFS($C$3:$P$3,"NOTTE",$C25:$P25,AH$3)=0))=0,"",IF(((AH25&lt;&gt;"Xm")*(COUNTIFS($C$3:$P$3,"MAT",$C25:$P25,AH$3)=0)*(COUNTIFS($C$3:$P$3,"NOTTE",$C25:$P25,AH$3)=0))+((AH25&lt;&gt;"Xp")*(COUNTIFS($C$3:$P$3,"POM",$C25:$P25,AH$3)=0)*(COUNTIFS($C$3:$P$3,"NOTTE",$C25:$P25,AH$3)=0))+((AH25&lt;&gt;"Xn")*(COUNTIFS($C$3:$P$3,"MAT",$C25:$P25,AH$3)=0)*(COUNTIFS($C$3:$P$3,"POM",$C25:$P25,AH$3)=0)*(COUNTIFS($C$3:$P$3,"NOTTE",$C25:$P25,AH$3)=0))=3,AH$3&amp;", ",AH$3&amp;IF((AH25&lt;&gt;"Xm")*(COUNTIFS($C$3:$P$3,"MAT",$C25:$P25,AH$3)=0)*(COUNTIFS($C$3:$P$3,"NOTTE",$C25:$P25,AH$3)=0),"_m","")&amp;IF((AH25&lt;&gt;"Xp")*(COUNTIFS($C$3:$P$3,"POM",$C25:$P25,AH$3)=0)*(COUNTIFS($C$3:$P$3,"NOTTE",$C25:$P25,AH$3)=0),"_p","")&amp;IF((AH25&lt;&gt;"Xn")*(COUNTIFS($C$3:$P$3,"MAT",$C25:$P25,AH$3)=0)*(COUNTIFS($C$3:$P$3,"POM",$C25:$P25,AH$3)=0)*(COUNTIFS($C$3:$P$3,"NOTTE",$C25:$P25,AH$3)=0),"_n","")&amp;", ")))</f>
        <v/>
      </c>
      <c r="CL25" s="1" t="str">
        <f aca="false">IF((AI25="X")+(AI25="Gn")+(AI25="C")+(AI24="Gn")&gt;0,"",IF(((AI25&lt;&gt;"Xm")*(COUNTIFS($C$3:$P$3,"MAT",$C25:$P25,AI$3)=0)*(COUNTIFS($C$3:$P$3,"NOTTE",$C25:$P25,AI$3)=0))+((AI25&lt;&gt;"Xp")*(COUNTIFS($C$3:$P$3,"POM",$C25:$P25,AI$3)=0)*(COUNTIFS($C$3:$P$3,"NOTTE",$C25:$P25,AI$3)=0))+((AI25&lt;&gt;"Xn")*(COUNTIFS($C$3:$P$3,"MAT",$C25:$P25,AI$3)=0)*(COUNTIFS($C$3:$P$3,"POM",$C25:$P25,AI$3)=0)*(COUNTIFS($C$3:$P$3,"NOTTE",$C25:$P25,AI$3)=0))=0,"",IF(((AI25&lt;&gt;"Xm")*(COUNTIFS($C$3:$P$3,"MAT",$C25:$P25,AI$3)=0)*(COUNTIFS($C$3:$P$3,"NOTTE",$C25:$P25,AI$3)=0))+((AI25&lt;&gt;"Xp")*(COUNTIFS($C$3:$P$3,"POM",$C25:$P25,AI$3)=0)*(COUNTIFS($C$3:$P$3,"NOTTE",$C25:$P25,AI$3)=0))+((AI25&lt;&gt;"Xn")*(COUNTIFS($C$3:$P$3,"MAT",$C25:$P25,AI$3)=0)*(COUNTIFS($C$3:$P$3,"POM",$C25:$P25,AI$3)=0)*(COUNTIFS($C$3:$P$3,"NOTTE",$C25:$P25,AI$3)=0))=3,AI$3&amp;", ",AI$3&amp;IF((AI25&lt;&gt;"Xm")*(COUNTIFS($C$3:$P$3,"MAT",$C25:$P25,AI$3)=0)*(COUNTIFS($C$3:$P$3,"NOTTE",$C25:$P25,AI$3)=0),"_m","")&amp;IF((AI25&lt;&gt;"Xp")*(COUNTIFS($C$3:$P$3,"POM",$C25:$P25,AI$3)=0)*(COUNTIFS($C$3:$P$3,"NOTTE",$C25:$P25,AI$3)=0),"_p","")&amp;IF((AI25&lt;&gt;"Xn")*(COUNTIFS($C$3:$P$3,"MAT",$C25:$P25,AI$3)=0)*(COUNTIFS($C$3:$P$3,"POM",$C25:$P25,AI$3)=0)*(COUNTIFS($C$3:$P$3,"NOTTE",$C25:$P25,AI$3)=0),"_n","")&amp;", ")))</f>
        <v>CONTI A, </v>
      </c>
      <c r="CM25" s="1" t="str">
        <f aca="false">IF((AJ25="X")+(AJ25="Gn")+(AJ25="C")+(AJ24="Gn")&gt;0,"",IF(((AJ25&lt;&gt;"Xm")*(COUNTIFS($C$3:$P$3,"MAT",$C25:$P25,AJ$3)=0)*(COUNTIFS($C$3:$P$3,"NOTTE",$C25:$P25,AJ$3)=0))+((AJ25&lt;&gt;"Xp")*(COUNTIFS($C$3:$P$3,"POM",$C25:$P25,AJ$3)=0)*(COUNTIFS($C$3:$P$3,"NOTTE",$C25:$P25,AJ$3)=0))+((AJ25&lt;&gt;"Xn")*(COUNTIFS($C$3:$P$3,"MAT",$C25:$P25,AJ$3)=0)*(COUNTIFS($C$3:$P$3,"POM",$C25:$P25,AJ$3)=0)*(COUNTIFS($C$3:$P$3,"NOTTE",$C25:$P25,AJ$3)=0))=0,"",IF(((AJ25&lt;&gt;"Xm")*(COUNTIFS($C$3:$P$3,"MAT",$C25:$P25,AJ$3)=0)*(COUNTIFS($C$3:$P$3,"NOTTE",$C25:$P25,AJ$3)=0))+((AJ25&lt;&gt;"Xp")*(COUNTIFS($C$3:$P$3,"POM",$C25:$P25,AJ$3)=0)*(COUNTIFS($C$3:$P$3,"NOTTE",$C25:$P25,AJ$3)=0))+((AJ25&lt;&gt;"Xn")*(COUNTIFS($C$3:$P$3,"MAT",$C25:$P25,AJ$3)=0)*(COUNTIFS($C$3:$P$3,"POM",$C25:$P25,AJ$3)=0)*(COUNTIFS($C$3:$P$3,"NOTTE",$C25:$P25,AJ$3)=0))=3,AJ$3&amp;", ",AJ$3&amp;IF((AJ25&lt;&gt;"Xm")*(COUNTIFS($C$3:$P$3,"MAT",$C25:$P25,AJ$3)=0)*(COUNTIFS($C$3:$P$3,"NOTTE",$C25:$P25,AJ$3)=0),"_m","")&amp;IF((AJ25&lt;&gt;"Xp")*(COUNTIFS($C$3:$P$3,"POM",$C25:$P25,AJ$3)=0)*(COUNTIFS($C$3:$P$3,"NOTTE",$C25:$P25,AJ$3)=0),"_p","")&amp;IF((AJ25&lt;&gt;"Xn")*(COUNTIFS($C$3:$P$3,"MAT",$C25:$P25,AJ$3)=0)*(COUNTIFS($C$3:$P$3,"POM",$C25:$P25,AJ$3)=0)*(COUNTIFS($C$3:$P$3,"NOTTE",$C25:$P25,AJ$3)=0),"_n","")&amp;", ")))</f>
        <v>CONTI S, </v>
      </c>
      <c r="CN25" s="1" t="str">
        <f aca="false">IF((AK25="X")+(AK25="Gn")+(AK25="C")+(AK24="Gn")&gt;0,"",IF(((AK25&lt;&gt;"Xm")*(COUNTIFS($C$3:$P$3,"MAT",$C25:$P25,AK$3)=0)*(COUNTIFS($C$3:$P$3,"NOTTE",$C25:$P25,AK$3)=0))+((AK25&lt;&gt;"Xp")*(COUNTIFS($C$3:$P$3,"POM",$C25:$P25,AK$3)=0)*(COUNTIFS($C$3:$P$3,"NOTTE",$C25:$P25,AK$3)=0))+((AK25&lt;&gt;"Xn")*(COUNTIFS($C$3:$P$3,"MAT",$C25:$P25,AK$3)=0)*(COUNTIFS($C$3:$P$3,"POM",$C25:$P25,AK$3)=0)*(COUNTIFS($C$3:$P$3,"NOTTE",$C25:$P25,AK$3)=0))=0,"",IF(((AK25&lt;&gt;"Xm")*(COUNTIFS($C$3:$P$3,"MAT",$C25:$P25,AK$3)=0)*(COUNTIFS($C$3:$P$3,"NOTTE",$C25:$P25,AK$3)=0))+((AK25&lt;&gt;"Xp")*(COUNTIFS($C$3:$P$3,"POM",$C25:$P25,AK$3)=0)*(COUNTIFS($C$3:$P$3,"NOTTE",$C25:$P25,AK$3)=0))+((AK25&lt;&gt;"Xn")*(COUNTIFS($C$3:$P$3,"MAT",$C25:$P25,AK$3)=0)*(COUNTIFS($C$3:$P$3,"POM",$C25:$P25,AK$3)=0)*(COUNTIFS($C$3:$P$3,"NOTTE",$C25:$P25,AK$3)=0))=3,AK$3&amp;", ",AK$3&amp;IF((AK25&lt;&gt;"Xm")*(COUNTIFS($C$3:$P$3,"MAT",$C25:$P25,AK$3)=0)*(COUNTIFS($C$3:$P$3,"NOTTE",$C25:$P25,AK$3)=0),"_m","")&amp;IF((AK25&lt;&gt;"Xp")*(COUNTIFS($C$3:$P$3,"POM",$C25:$P25,AK$3)=0)*(COUNTIFS($C$3:$P$3,"NOTTE",$C25:$P25,AK$3)=0),"_p","")&amp;IF((AK25&lt;&gt;"Xn")*(COUNTIFS($C$3:$P$3,"MAT",$C25:$P25,AK$3)=0)*(COUNTIFS($C$3:$P$3,"POM",$C25:$P25,AK$3)=0)*(COUNTIFS($C$3:$P$3,"NOTTE",$C25:$P25,AK$3)=0),"_n","")&amp;", ")))</f>
        <v>FERRARI, </v>
      </c>
      <c r="CO25" s="1" t="str">
        <f aca="false">IF((AL25="X")+(AL25="Gn")+(AL25="C")+(AL24="Gn")&gt;0,"",IF(((AL25&lt;&gt;"Xm")*(COUNTIFS($C$3:$P$3,"MAT",$C25:$P25,AL$3)=0)*(COUNTIFS($C$3:$P$3,"NOTTE",$C25:$P25,AL$3)=0))+((AL25&lt;&gt;"Xp")*(COUNTIFS($C$3:$P$3,"POM",$C25:$P25,AL$3)=0)*(COUNTIFS($C$3:$P$3,"NOTTE",$C25:$P25,AL$3)=0))+((AL25&lt;&gt;"Xn")*(COUNTIFS($C$3:$P$3,"MAT",$C25:$P25,AL$3)=0)*(COUNTIFS($C$3:$P$3,"POM",$C25:$P25,AL$3)=0)*(COUNTIFS($C$3:$P$3,"NOTTE",$C25:$P25,AL$3)=0))=0,"",IF(((AL25&lt;&gt;"Xm")*(COUNTIFS($C$3:$P$3,"MAT",$C25:$P25,AL$3)=0)*(COUNTIFS($C$3:$P$3,"NOTTE",$C25:$P25,AL$3)=0))+((AL25&lt;&gt;"Xp")*(COUNTIFS($C$3:$P$3,"POM",$C25:$P25,AL$3)=0)*(COUNTIFS($C$3:$P$3,"NOTTE",$C25:$P25,AL$3)=0))+((AL25&lt;&gt;"Xn")*(COUNTIFS($C$3:$P$3,"MAT",$C25:$P25,AL$3)=0)*(COUNTIFS($C$3:$P$3,"POM",$C25:$P25,AL$3)=0)*(COUNTIFS($C$3:$P$3,"NOTTE",$C25:$P25,AL$3)=0))=3,AL$3&amp;", ",AL$3&amp;IF((AL25&lt;&gt;"Xm")*(COUNTIFS($C$3:$P$3,"MAT",$C25:$P25,AL$3)=0)*(COUNTIFS($C$3:$P$3,"NOTTE",$C25:$P25,AL$3)=0),"_m","")&amp;IF((AL25&lt;&gt;"Xp")*(COUNTIFS($C$3:$P$3,"POM",$C25:$P25,AL$3)=0)*(COUNTIFS($C$3:$P$3,"NOTTE",$C25:$P25,AL$3)=0),"_p","")&amp;IF((AL25&lt;&gt;"Xn")*(COUNTIFS($C$3:$P$3,"MAT",$C25:$P25,AL$3)=0)*(COUNTIFS($C$3:$P$3,"POM",$C25:$P25,AL$3)=0)*(COUNTIFS($C$3:$P$3,"NOTTE",$C25:$P25,AL$3)=0),"_n","")&amp;", ")))</f>
        <v>GRECO, </v>
      </c>
      <c r="CP25" s="1" t="str">
        <f aca="false">IF((AM25="X")+(AM25="Gn")+(AM25="C")+(AM24="Gn")&gt;0,"",IF(((AM25&lt;&gt;"Xm")*(COUNTIFS($C$3:$P$3,"MAT",$C25:$P25,AM$3)=0)*(COUNTIFS($C$3:$P$3,"NOTTE",$C25:$P25,AM$3)=0))+((AM25&lt;&gt;"Xp")*(COUNTIFS($C$3:$P$3,"POM",$C25:$P25,AM$3)=0)*(COUNTIFS($C$3:$P$3,"NOTTE",$C25:$P25,AM$3)=0))+((AM25&lt;&gt;"Xn")*(COUNTIFS($C$3:$P$3,"MAT",$C25:$P25,AM$3)=0)*(COUNTIFS($C$3:$P$3,"POM",$C25:$P25,AM$3)=0)*(COUNTIFS($C$3:$P$3,"NOTTE",$C25:$P25,AM$3)=0))=0,"",IF(((AM25&lt;&gt;"Xm")*(COUNTIFS($C$3:$P$3,"MAT",$C25:$P25,AM$3)=0)*(COUNTIFS($C$3:$P$3,"NOTTE",$C25:$P25,AM$3)=0))+((AM25&lt;&gt;"Xp")*(COUNTIFS($C$3:$P$3,"POM",$C25:$P25,AM$3)=0)*(COUNTIFS($C$3:$P$3,"NOTTE",$C25:$P25,AM$3)=0))+((AM25&lt;&gt;"Xn")*(COUNTIFS($C$3:$P$3,"MAT",$C25:$P25,AM$3)=0)*(COUNTIFS($C$3:$P$3,"POM",$C25:$P25,AM$3)=0)*(COUNTIFS($C$3:$P$3,"NOTTE",$C25:$P25,AM$3)=0))=3,AM$3&amp;", ",AM$3&amp;IF((AM25&lt;&gt;"Xm")*(COUNTIFS($C$3:$P$3,"MAT",$C25:$P25,AM$3)=0)*(COUNTIFS($C$3:$P$3,"NOTTE",$C25:$P25,AM$3)=0),"_m","")&amp;IF((AM25&lt;&gt;"Xp")*(COUNTIFS($C$3:$P$3,"POM",$C25:$P25,AM$3)=0)*(COUNTIFS($C$3:$P$3,"NOTTE",$C25:$P25,AM$3)=0),"_p","")&amp;IF((AM25&lt;&gt;"Xn")*(COUNTIFS($C$3:$P$3,"MAT",$C25:$P25,AM$3)=0)*(COUNTIFS($C$3:$P$3,"POM",$C25:$P25,AM$3)=0)*(COUNTIFS($C$3:$P$3,"NOTTE",$C25:$P25,AM$3)=0),"_n","")&amp;", ")))</f>
        <v>SANNA, </v>
      </c>
      <c r="CQ25" s="1" t="str">
        <f aca="false">IF((AN25="X")+(AN25="Gn")+(AN25="C")+(AN24="Gn")&gt;0,"",IF(((AN25&lt;&gt;"Xm")*(COUNTIFS($C$3:$P$3,"MAT",$C25:$P25,AN$3)=0)*(COUNTIFS($C$3:$P$3,"NOTTE",$C25:$P25,AN$3)=0))+((AN25&lt;&gt;"Xp")*(COUNTIFS($C$3:$P$3,"POM",$C25:$P25,AN$3)=0)*(COUNTIFS($C$3:$P$3,"NOTTE",$C25:$P25,AN$3)=0))+((AN25&lt;&gt;"Xn")*(COUNTIFS($C$3:$P$3,"MAT",$C25:$P25,AN$3)=0)*(COUNTIFS($C$3:$P$3,"POM",$C25:$P25,AN$3)=0)*(COUNTIFS($C$3:$P$3,"NOTTE",$C25:$P25,AN$3)=0))=0,"",IF(((AN25&lt;&gt;"Xm")*(COUNTIFS($C$3:$P$3,"MAT",$C25:$P25,AN$3)=0)*(COUNTIFS($C$3:$P$3,"NOTTE",$C25:$P25,AN$3)=0))+((AN25&lt;&gt;"Xp")*(COUNTIFS($C$3:$P$3,"POM",$C25:$P25,AN$3)=0)*(COUNTIFS($C$3:$P$3,"NOTTE",$C25:$P25,AN$3)=0))+((AN25&lt;&gt;"Xn")*(COUNTIFS($C$3:$P$3,"MAT",$C25:$P25,AN$3)=0)*(COUNTIFS($C$3:$P$3,"POM",$C25:$P25,AN$3)=0)*(COUNTIFS($C$3:$P$3,"NOTTE",$C25:$P25,AN$3)=0))=3,AN$3&amp;", ",AN$3&amp;IF((AN25&lt;&gt;"Xm")*(COUNTIFS($C$3:$P$3,"MAT",$C25:$P25,AN$3)=0)*(COUNTIFS($C$3:$P$3,"NOTTE",$C25:$P25,AN$3)=0),"_m","")&amp;IF((AN25&lt;&gt;"Xp")*(COUNTIFS($C$3:$P$3,"POM",$C25:$P25,AN$3)=0)*(COUNTIFS($C$3:$P$3,"NOTTE",$C25:$P25,AN$3)=0),"_p","")&amp;IF((AN25&lt;&gt;"Xn")*(COUNTIFS($C$3:$P$3,"MAT",$C25:$P25,AN$3)=0)*(COUNTIFS($C$3:$P$3,"POM",$C25:$P25,AN$3)=0)*(COUNTIFS($C$3:$P$3,"NOTTE",$C25:$P25,AN$3)=0),"_n","")&amp;", ")))</f>
        <v>LI, </v>
      </c>
    </row>
    <row r="26" customFormat="false" ht="15" hidden="false" customHeight="true" outlineLevel="0" collapsed="false">
      <c r="A26" s="15" t="str">
        <f aca="false">CHOOSE(WEEKDAY(DATE($B$1,$A$2,B26),2),"lunedì","martedì","mercoledì","giovedì","venerdì","sabato","domenica")</f>
        <v>lunedì</v>
      </c>
      <c r="B26" s="15" t="n">
        <v>23</v>
      </c>
      <c r="C26" s="16" t="s">
        <v>23</v>
      </c>
      <c r="D26" s="16" t="s">
        <v>23</v>
      </c>
      <c r="E26" s="16" t="s">
        <v>30</v>
      </c>
      <c r="F26" s="16" t="s">
        <v>30</v>
      </c>
      <c r="G26" s="16" t="s">
        <v>26</v>
      </c>
      <c r="H26" s="16" t="s">
        <v>26</v>
      </c>
      <c r="I26" s="16" t="s">
        <v>34</v>
      </c>
      <c r="J26" s="16"/>
      <c r="K26" s="16" t="s">
        <v>36</v>
      </c>
      <c r="L26" s="16"/>
      <c r="M26" s="16" t="s">
        <v>32</v>
      </c>
      <c r="N26" s="16" t="s">
        <v>24</v>
      </c>
      <c r="O26" s="16" t="s">
        <v>24</v>
      </c>
      <c r="P26" s="16" t="s">
        <v>31</v>
      </c>
      <c r="Q26" s="16"/>
      <c r="R26" s="16" t="str">
        <f aca="false">IF(SUMPRODUCT(($C$3:$P$3&lt;&gt;"")*($C26:$P26&lt;&gt;"")*(COUNTIFS($C26:$P26,$C26:$P26,$C$3:$P$3,$C$3:$P$3)&gt;1))&gt;0,"X","")</f>
        <v/>
      </c>
      <c r="S26" s="17" t="str">
        <f aca="false"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GALLINA, HU, MARINI, CONTI A, CONTI S, FERRARI, GRECO_m_n, SANNA, LI</v>
      </c>
      <c r="T26" s="17" t="str">
        <f aca="false"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HU, CONTI S_m, FERRARI, SANNA, LI_p</v>
      </c>
      <c r="Y26" s="15" t="str">
        <f aca="false">A26</f>
        <v>lunedì</v>
      </c>
      <c r="Z26" s="15" t="n">
        <f aca="false">B26</f>
        <v>23</v>
      </c>
      <c r="AA26" s="16"/>
      <c r="AB26" s="16"/>
      <c r="AC26" s="16" t="s">
        <v>51</v>
      </c>
      <c r="AD26" s="16"/>
      <c r="AE26" s="16" t="s">
        <v>42</v>
      </c>
      <c r="AF26" s="16" t="s">
        <v>51</v>
      </c>
      <c r="AG26" s="16"/>
      <c r="AH26" s="16"/>
      <c r="AI26" s="16"/>
      <c r="AJ26" s="16"/>
      <c r="AK26" s="16"/>
      <c r="AL26" s="16" t="s">
        <v>43</v>
      </c>
      <c r="AM26" s="16"/>
      <c r="AN26" s="16"/>
      <c r="BO26" s="1" t="str">
        <f aca="false">IF((AA26="X")+(AA26="Gn")+(AA26="C")+(AA25="Gn")&gt;0,"",IF(((AA26&lt;&gt;"Xm"))+((AA26&lt;&gt;"Xp"))+((AA26&lt;&gt;"Xn"))=0,"",IF(((AA26&lt;&gt;"Xm"))+((AA26&lt;&gt;"Xp"))+((AA26&lt;&gt;"Xn"))=3,AA$3&amp;", ",AA$3&amp;IF((AA26&lt;&gt;"Xm"),"_m","")&amp;IF((AA26&lt;&gt;"Xp"),"_p","")&amp;IF((AA26&lt;&gt;"Xn"),"_n","")&amp;", ")))</f>
        <v>LEONI, </v>
      </c>
      <c r="BP26" s="1" t="str">
        <f aca="false">IF((AB26="X")+(AB26="Gn")+(AB26="C")+(AB25="Gn")&gt;0,"",IF(((AB26&lt;&gt;"Xm"))+((AB26&lt;&gt;"Xp"))+((AB26&lt;&gt;"Xn"))=0,"",IF(((AB26&lt;&gt;"Xm"))+((AB26&lt;&gt;"Xp"))+((AB26&lt;&gt;"Xn"))=3,AB$3&amp;", ",AB$3&amp;IF((AB26&lt;&gt;"Xm"),"_m","")&amp;IF((AB26&lt;&gt;"Xp"),"_p","")&amp;IF((AB26&lt;&gt;"Xn"),"_n","")&amp;", ")))</f>
        <v>ROSSI M, </v>
      </c>
      <c r="BQ26" s="1" t="str">
        <f aca="false">IF((AC26="X")+(AC26="Gn")+(AC26="C")+(AC25="Gn")&gt;0,"",IF(((AC26&lt;&gt;"Xm"))+((AC26&lt;&gt;"Xp"))+((AC26&lt;&gt;"Xn"))=0,"",IF(((AC26&lt;&gt;"Xm"))+((AC26&lt;&gt;"Xp"))+((AC26&lt;&gt;"Xn"))=3,AC$3&amp;", ",AC$3&amp;IF((AC26&lt;&gt;"Xm"),"_m","")&amp;IF((AC26&lt;&gt;"Xp"),"_p","")&amp;IF((AC26&lt;&gt;"Xn"),"_n","")&amp;", ")))</f>
        <v/>
      </c>
      <c r="BR26" s="1" t="str">
        <f aca="false">IF((AD26="X")+(AD26="Gn")+(AD26="C")+(AD25="Gn")&gt;0,"",IF(((AD26&lt;&gt;"Xm"))+((AD26&lt;&gt;"Xp"))+((AD26&lt;&gt;"Xn"))=0,"",IF(((AD26&lt;&gt;"Xm"))+((AD26&lt;&gt;"Xp"))+((AD26&lt;&gt;"Xn"))=3,AD$3&amp;", ",AD$3&amp;IF((AD26&lt;&gt;"Xm"),"_m","")&amp;IF((AD26&lt;&gt;"Xp"),"_p","")&amp;IF((AD26&lt;&gt;"Xn"),"_n","")&amp;", ")))</f>
        <v>GALLINA, </v>
      </c>
      <c r="BS26" s="1" t="str">
        <f aca="false">IF((AE26="X")+(AE26="Gn")+(AE26="C")+(AE25="Gn")&gt;0,"",IF(((AE26&lt;&gt;"Xm"))+((AE26&lt;&gt;"Xp"))+((AE26&lt;&gt;"Xn"))=0,"",IF(((AE26&lt;&gt;"Xm"))+((AE26&lt;&gt;"Xp"))+((AE26&lt;&gt;"Xn"))=3,AE$3&amp;", ",AE$3&amp;IF((AE26&lt;&gt;"Xm"),"_m","")&amp;IF((AE26&lt;&gt;"Xp"),"_p","")&amp;IF((AE26&lt;&gt;"Xn"),"_n","")&amp;", ")))</f>
        <v/>
      </c>
      <c r="BT26" s="1" t="str">
        <f aca="false">IF((AF26="X")+(AF26="Gn")+(AF26="C")+(AF25="Gn")&gt;0,"",IF(((AF26&lt;&gt;"Xm"))+((AF26&lt;&gt;"Xp"))+((AF26&lt;&gt;"Xn"))=0,"",IF(((AF26&lt;&gt;"Xm"))+((AF26&lt;&gt;"Xp"))+((AF26&lt;&gt;"Xn"))=3,AF$3&amp;", ",AF$3&amp;IF((AF26&lt;&gt;"Xm"),"_m","")&amp;IF((AF26&lt;&gt;"Xp"),"_p","")&amp;IF((AF26&lt;&gt;"Xn"),"_n","")&amp;", ")))</f>
        <v/>
      </c>
      <c r="BU26" s="1" t="str">
        <f aca="false">IF((AG26="X")+(AG26="Gn")+(AG26="C")+(AG25="Gn")&gt;0,"",IF(((AG26&lt;&gt;"Xm"))+((AG26&lt;&gt;"Xp"))+((AG26&lt;&gt;"Xn"))=0,"",IF(((AG26&lt;&gt;"Xm"))+((AG26&lt;&gt;"Xp"))+((AG26&lt;&gt;"Xn"))=3,AG$3&amp;", ",AG$3&amp;IF((AG26&lt;&gt;"Xm"),"_m","")&amp;IF((AG26&lt;&gt;"Xp"),"_p","")&amp;IF((AG26&lt;&gt;"Xn"),"_n","")&amp;", ")))</f>
        <v>HU, </v>
      </c>
      <c r="BV26" s="1" t="str">
        <f aca="false">IF((AH26="X")+(AH26="Gn")+(AH26="C")+(AH25="Gn")&gt;0,"",IF(((AH26&lt;&gt;"Xm"))+((AH26&lt;&gt;"Xp"))+((AH26&lt;&gt;"Xn"))=0,"",IF(((AH26&lt;&gt;"Xm"))+((AH26&lt;&gt;"Xp"))+((AH26&lt;&gt;"Xn"))=3,AH$3&amp;", ",AH$3&amp;IF((AH26&lt;&gt;"Xm"),"_m","")&amp;IF((AH26&lt;&gt;"Xp"),"_p","")&amp;IF((AH26&lt;&gt;"Xn"),"_n","")&amp;", ")))</f>
        <v>MARINI, </v>
      </c>
      <c r="BW26" s="1" t="str">
        <f aca="false">IF((AI26="X")+(AI26="Gn")+(AI26="C")+(AI25="Gn")&gt;0,"",IF(((AI26&lt;&gt;"Xm"))+((AI26&lt;&gt;"Xp"))+((AI26&lt;&gt;"Xn"))=0,"",IF(((AI26&lt;&gt;"Xm"))+((AI26&lt;&gt;"Xp"))+((AI26&lt;&gt;"Xn"))=3,AI$3&amp;", ",AI$3&amp;IF((AI26&lt;&gt;"Xm"),"_m","")&amp;IF((AI26&lt;&gt;"Xp"),"_p","")&amp;IF((AI26&lt;&gt;"Xn"),"_n","")&amp;", ")))</f>
        <v>CONTI A, </v>
      </c>
      <c r="BX26" s="1" t="str">
        <f aca="false">IF((AJ26="X")+(AJ26="Gn")+(AJ26="C")+(AJ25="Gn")&gt;0,"",IF(((AJ26&lt;&gt;"Xm"))+((AJ26&lt;&gt;"Xp"))+((AJ26&lt;&gt;"Xn"))=0,"",IF(((AJ26&lt;&gt;"Xm"))+((AJ26&lt;&gt;"Xp"))+((AJ26&lt;&gt;"Xn"))=3,AJ$3&amp;", ",AJ$3&amp;IF((AJ26&lt;&gt;"Xm"),"_m","")&amp;IF((AJ26&lt;&gt;"Xp"),"_p","")&amp;IF((AJ26&lt;&gt;"Xn"),"_n","")&amp;", ")))</f>
        <v>CONTI S, </v>
      </c>
      <c r="BY26" s="1" t="str">
        <f aca="false">IF((AK26="X")+(AK26="Gn")+(AK26="C")+(AK25="Gn")&gt;0,"",IF(((AK26&lt;&gt;"Xm"))+((AK26&lt;&gt;"Xp"))+((AK26&lt;&gt;"Xn"))=0,"",IF(((AK26&lt;&gt;"Xm"))+((AK26&lt;&gt;"Xp"))+((AK26&lt;&gt;"Xn"))=3,AK$3&amp;", ",AK$3&amp;IF((AK26&lt;&gt;"Xm"),"_m","")&amp;IF((AK26&lt;&gt;"Xp"),"_p","")&amp;IF((AK26&lt;&gt;"Xn"),"_n","")&amp;", ")))</f>
        <v>FERRARI, </v>
      </c>
      <c r="BZ26" s="1" t="str">
        <f aca="false">IF((AL26="X")+(AL26="Gn")+(AL26="C")+(AL25="Gn")&gt;0,"",IF(((AL26&lt;&gt;"Xm"))+((AL26&lt;&gt;"Xp"))+((AL26&lt;&gt;"Xn"))=0,"",IF(((AL26&lt;&gt;"Xm"))+((AL26&lt;&gt;"Xp"))+((AL26&lt;&gt;"Xn"))=3,AL$3&amp;", ",AL$3&amp;IF((AL26&lt;&gt;"Xm"),"_m","")&amp;IF((AL26&lt;&gt;"Xp"),"_p","")&amp;IF((AL26&lt;&gt;"Xn"),"_n","")&amp;", ")))</f>
        <v>GRECO_m_n, </v>
      </c>
      <c r="CA26" s="1" t="str">
        <f aca="false">IF((AM26="X")+(AM26="Gn")+(AM26="C")+(AM25="Gn")&gt;0,"",IF(((AM26&lt;&gt;"Xm"))+((AM26&lt;&gt;"Xp"))+((AM26&lt;&gt;"Xn"))=0,"",IF(((AM26&lt;&gt;"Xm"))+((AM26&lt;&gt;"Xp"))+((AM26&lt;&gt;"Xn"))=3,AM$3&amp;", ",AM$3&amp;IF((AM26&lt;&gt;"Xm"),"_m","")&amp;IF((AM26&lt;&gt;"Xp"),"_p","")&amp;IF((AM26&lt;&gt;"Xn"),"_n","")&amp;", ")))</f>
        <v>SANNA, </v>
      </c>
      <c r="CB26" s="1" t="str">
        <f aca="false">IF((AN26="X")+(AN26="Gn")+(AN26="C")+(AN25="Gn")&gt;0,"",IF(((AN26&lt;&gt;"Xm"))+((AN26&lt;&gt;"Xp"))+((AN26&lt;&gt;"Xn"))=0,"",IF(((AN26&lt;&gt;"Xm"))+((AN26&lt;&gt;"Xp"))+((AN26&lt;&gt;"Xn"))=3,AN$3&amp;", ",AN$3&amp;IF((AN26&lt;&gt;"Xm"),"_m","")&amp;IF((AN26&lt;&gt;"Xp"),"_p","")&amp;IF((AN26&lt;&gt;"Xn"),"_n","")&amp;", ")))</f>
        <v>LI, </v>
      </c>
      <c r="CD26" s="1" t="str">
        <f aca="false">IF((AA26="X")+(AA26="Gn")+(AA26="C")+(AA25="Gn")&gt;0,"",IF(((AA26&lt;&gt;"Xm")*(COUNTIFS($C$3:$P$3,"MAT",$C26:$P26,AA$3)=0)*(COUNTIFS($C$3:$P$3,"NOTTE",$C26:$P26,AA$3)=0))+((AA26&lt;&gt;"Xp")*(COUNTIFS($C$3:$P$3,"POM",$C26:$P26,AA$3)=0)*(COUNTIFS($C$3:$P$3,"NOTTE",$C26:$P26,AA$3)=0))+((AA26&lt;&gt;"Xn")*(COUNTIFS($C$3:$P$3,"MAT",$C26:$P26,AA$3)=0)*(COUNTIFS($C$3:$P$3,"POM",$C26:$P26,AA$3)=0)*(COUNTIFS($C$3:$P$3,"NOTTE",$C26:$P26,AA$3)=0))=0,"",IF(((AA26&lt;&gt;"Xm")*(COUNTIFS($C$3:$P$3,"MAT",$C26:$P26,AA$3)=0)*(COUNTIFS($C$3:$P$3,"NOTTE",$C26:$P26,AA$3)=0))+((AA26&lt;&gt;"Xp")*(COUNTIFS($C$3:$P$3,"POM",$C26:$P26,AA$3)=0)*(COUNTIFS($C$3:$P$3,"NOTTE",$C26:$P26,AA$3)=0))+((AA26&lt;&gt;"Xn")*(COUNTIFS($C$3:$P$3,"MAT",$C26:$P26,AA$3)=0)*(COUNTIFS($C$3:$P$3,"POM",$C26:$P26,AA$3)=0)*(COUNTIFS($C$3:$P$3,"NOTTE",$C26:$P26,AA$3)=0))=3,AA$3&amp;", ",AA$3&amp;IF((AA26&lt;&gt;"Xm")*(COUNTIFS($C$3:$P$3,"MAT",$C26:$P26,AA$3)=0)*(COUNTIFS($C$3:$P$3,"NOTTE",$C26:$P26,AA$3)=0),"_m","")&amp;IF((AA26&lt;&gt;"Xp")*(COUNTIFS($C$3:$P$3,"POM",$C26:$P26,AA$3)=0)*(COUNTIFS($C$3:$P$3,"NOTTE",$C26:$P26,AA$3)=0),"_p","")&amp;IF((AA26&lt;&gt;"Xn")*(COUNTIFS($C$3:$P$3,"MAT",$C26:$P26,AA$3)=0)*(COUNTIFS($C$3:$P$3,"POM",$C26:$P26,AA$3)=0)*(COUNTIFS($C$3:$P$3,"NOTTE",$C26:$P26,AA$3)=0),"_n","")&amp;", ")))</f>
        <v/>
      </c>
      <c r="CE26" s="1" t="str">
        <f aca="false">IF((AB26="X")+(AB26="Gn")+(AB26="C")+(AB25="Gn")&gt;0,"",IF(((AB26&lt;&gt;"Xm")*(COUNTIFS($C$3:$P$3,"MAT",$C26:$P26,AB$3)=0)*(COUNTIFS($C$3:$P$3,"NOTTE",$C26:$P26,AB$3)=0))+((AB26&lt;&gt;"Xp")*(COUNTIFS($C$3:$P$3,"POM",$C26:$P26,AB$3)=0)*(COUNTIFS($C$3:$P$3,"NOTTE",$C26:$P26,AB$3)=0))+((AB26&lt;&gt;"Xn")*(COUNTIFS($C$3:$P$3,"MAT",$C26:$P26,AB$3)=0)*(COUNTIFS($C$3:$P$3,"POM",$C26:$P26,AB$3)=0)*(COUNTIFS($C$3:$P$3,"NOTTE",$C26:$P26,AB$3)=0))=0,"",IF(((AB26&lt;&gt;"Xm")*(COUNTIFS($C$3:$P$3,"MAT",$C26:$P26,AB$3)=0)*(COUNTIFS($C$3:$P$3,"NOTTE",$C26:$P26,AB$3)=0))+((AB26&lt;&gt;"Xp")*(COUNTIFS($C$3:$P$3,"POM",$C26:$P26,AB$3)=0)*(COUNTIFS($C$3:$P$3,"NOTTE",$C26:$P26,AB$3)=0))+((AB26&lt;&gt;"Xn")*(COUNTIFS($C$3:$P$3,"MAT",$C26:$P26,AB$3)=0)*(COUNTIFS($C$3:$P$3,"POM",$C26:$P26,AB$3)=0)*(COUNTIFS($C$3:$P$3,"NOTTE",$C26:$P26,AB$3)=0))=3,AB$3&amp;", ",AB$3&amp;IF((AB26&lt;&gt;"Xm")*(COUNTIFS($C$3:$P$3,"MAT",$C26:$P26,AB$3)=0)*(COUNTIFS($C$3:$P$3,"NOTTE",$C26:$P26,AB$3)=0),"_m","")&amp;IF((AB26&lt;&gt;"Xp")*(COUNTIFS($C$3:$P$3,"POM",$C26:$P26,AB$3)=0)*(COUNTIFS($C$3:$P$3,"NOTTE",$C26:$P26,AB$3)=0),"_p","")&amp;IF((AB26&lt;&gt;"Xn")*(COUNTIFS($C$3:$P$3,"MAT",$C26:$P26,AB$3)=0)*(COUNTIFS($C$3:$P$3,"POM",$C26:$P26,AB$3)=0)*(COUNTIFS($C$3:$P$3,"NOTTE",$C26:$P26,AB$3)=0),"_n","")&amp;", ")))</f>
        <v/>
      </c>
      <c r="CF26" s="1" t="str">
        <f aca="false">IF((AC26="X")+(AC26="Gn")+(AC26="C")+(AC25="Gn")&gt;0,"",IF(((AC26&lt;&gt;"Xm")*(COUNTIFS($C$3:$P$3,"MAT",$C26:$P26,AC$3)=0)*(COUNTIFS($C$3:$P$3,"NOTTE",$C26:$P26,AC$3)=0))+((AC26&lt;&gt;"Xp")*(COUNTIFS($C$3:$P$3,"POM",$C26:$P26,AC$3)=0)*(COUNTIFS($C$3:$P$3,"NOTTE",$C26:$P26,AC$3)=0))+((AC26&lt;&gt;"Xn")*(COUNTIFS($C$3:$P$3,"MAT",$C26:$P26,AC$3)=0)*(COUNTIFS($C$3:$P$3,"POM",$C26:$P26,AC$3)=0)*(COUNTIFS($C$3:$P$3,"NOTTE",$C26:$P26,AC$3)=0))=0,"",IF(((AC26&lt;&gt;"Xm")*(COUNTIFS($C$3:$P$3,"MAT",$C26:$P26,AC$3)=0)*(COUNTIFS($C$3:$P$3,"NOTTE",$C26:$P26,AC$3)=0))+((AC26&lt;&gt;"Xp")*(COUNTIFS($C$3:$P$3,"POM",$C26:$P26,AC$3)=0)*(COUNTIFS($C$3:$P$3,"NOTTE",$C26:$P26,AC$3)=0))+((AC26&lt;&gt;"Xn")*(COUNTIFS($C$3:$P$3,"MAT",$C26:$P26,AC$3)=0)*(COUNTIFS($C$3:$P$3,"POM",$C26:$P26,AC$3)=0)*(COUNTIFS($C$3:$P$3,"NOTTE",$C26:$P26,AC$3)=0))=3,AC$3&amp;", ",AC$3&amp;IF((AC26&lt;&gt;"Xm")*(COUNTIFS($C$3:$P$3,"MAT",$C26:$P26,AC$3)=0)*(COUNTIFS($C$3:$P$3,"NOTTE",$C26:$P26,AC$3)=0),"_m","")&amp;IF((AC26&lt;&gt;"Xp")*(COUNTIFS($C$3:$P$3,"POM",$C26:$P26,AC$3)=0)*(COUNTIFS($C$3:$P$3,"NOTTE",$C26:$P26,AC$3)=0),"_p","")&amp;IF((AC26&lt;&gt;"Xn")*(COUNTIFS($C$3:$P$3,"MAT",$C26:$P26,AC$3)=0)*(COUNTIFS($C$3:$P$3,"POM",$C26:$P26,AC$3)=0)*(COUNTIFS($C$3:$P$3,"NOTTE",$C26:$P26,AC$3)=0),"_n","")&amp;", ")))</f>
        <v/>
      </c>
      <c r="CG26" s="1" t="str">
        <f aca="false">IF((AD26="X")+(AD26="Gn")+(AD26="C")+(AD25="Gn")&gt;0,"",IF(((AD26&lt;&gt;"Xm")*(COUNTIFS($C$3:$P$3,"MAT",$C26:$P26,AD$3)=0)*(COUNTIFS($C$3:$P$3,"NOTTE",$C26:$P26,AD$3)=0))+((AD26&lt;&gt;"Xp")*(COUNTIFS($C$3:$P$3,"POM",$C26:$P26,AD$3)=0)*(COUNTIFS($C$3:$P$3,"NOTTE",$C26:$P26,AD$3)=0))+((AD26&lt;&gt;"Xn")*(COUNTIFS($C$3:$P$3,"MAT",$C26:$P26,AD$3)=0)*(COUNTIFS($C$3:$P$3,"POM",$C26:$P26,AD$3)=0)*(COUNTIFS($C$3:$P$3,"NOTTE",$C26:$P26,AD$3)=0))=0,"",IF(((AD26&lt;&gt;"Xm")*(COUNTIFS($C$3:$P$3,"MAT",$C26:$P26,AD$3)=0)*(COUNTIFS($C$3:$P$3,"NOTTE",$C26:$P26,AD$3)=0))+((AD26&lt;&gt;"Xp")*(COUNTIFS($C$3:$P$3,"POM",$C26:$P26,AD$3)=0)*(COUNTIFS($C$3:$P$3,"NOTTE",$C26:$P26,AD$3)=0))+((AD26&lt;&gt;"Xn")*(COUNTIFS($C$3:$P$3,"MAT",$C26:$P26,AD$3)=0)*(COUNTIFS($C$3:$P$3,"POM",$C26:$P26,AD$3)=0)*(COUNTIFS($C$3:$P$3,"NOTTE",$C26:$P26,AD$3)=0))=3,AD$3&amp;", ",AD$3&amp;IF((AD26&lt;&gt;"Xm")*(COUNTIFS($C$3:$P$3,"MAT",$C26:$P26,AD$3)=0)*(COUNTIFS($C$3:$P$3,"NOTTE",$C26:$P26,AD$3)=0),"_m","")&amp;IF((AD26&lt;&gt;"Xp")*(COUNTIFS($C$3:$P$3,"POM",$C26:$P26,AD$3)=0)*(COUNTIFS($C$3:$P$3,"NOTTE",$C26:$P26,AD$3)=0),"_p","")&amp;IF((AD26&lt;&gt;"Xn")*(COUNTIFS($C$3:$P$3,"MAT",$C26:$P26,AD$3)=0)*(COUNTIFS($C$3:$P$3,"POM",$C26:$P26,AD$3)=0)*(COUNTIFS($C$3:$P$3,"NOTTE",$C26:$P26,AD$3)=0),"_n","")&amp;", ")))</f>
        <v/>
      </c>
      <c r="CH26" s="1" t="str">
        <f aca="false">IF((AE26="X")+(AE26="Gn")+(AE26="C")+(AE25="Gn")&gt;0,"",IF(((AE26&lt;&gt;"Xm")*(COUNTIFS($C$3:$P$3,"MAT",$C26:$P26,AE$3)=0)*(COUNTIFS($C$3:$P$3,"NOTTE",$C26:$P26,AE$3)=0))+((AE26&lt;&gt;"Xp")*(COUNTIFS($C$3:$P$3,"POM",$C26:$P26,AE$3)=0)*(COUNTIFS($C$3:$P$3,"NOTTE",$C26:$P26,AE$3)=0))+((AE26&lt;&gt;"Xn")*(COUNTIFS($C$3:$P$3,"MAT",$C26:$P26,AE$3)=0)*(COUNTIFS($C$3:$P$3,"POM",$C26:$P26,AE$3)=0)*(COUNTIFS($C$3:$P$3,"NOTTE",$C26:$P26,AE$3)=0))=0,"",IF(((AE26&lt;&gt;"Xm")*(COUNTIFS($C$3:$P$3,"MAT",$C26:$P26,AE$3)=0)*(COUNTIFS($C$3:$P$3,"NOTTE",$C26:$P26,AE$3)=0))+((AE26&lt;&gt;"Xp")*(COUNTIFS($C$3:$P$3,"POM",$C26:$P26,AE$3)=0)*(COUNTIFS($C$3:$P$3,"NOTTE",$C26:$P26,AE$3)=0))+((AE26&lt;&gt;"Xn")*(COUNTIFS($C$3:$P$3,"MAT",$C26:$P26,AE$3)=0)*(COUNTIFS($C$3:$P$3,"POM",$C26:$P26,AE$3)=0)*(COUNTIFS($C$3:$P$3,"NOTTE",$C26:$P26,AE$3)=0))=3,AE$3&amp;", ",AE$3&amp;IF((AE26&lt;&gt;"Xm")*(COUNTIFS($C$3:$P$3,"MAT",$C26:$P26,AE$3)=0)*(COUNTIFS($C$3:$P$3,"NOTTE",$C26:$P26,AE$3)=0),"_m","")&amp;IF((AE26&lt;&gt;"Xp")*(COUNTIFS($C$3:$P$3,"POM",$C26:$P26,AE$3)=0)*(COUNTIFS($C$3:$P$3,"NOTTE",$C26:$P26,AE$3)=0),"_p","")&amp;IF((AE26&lt;&gt;"Xn")*(COUNTIFS($C$3:$P$3,"MAT",$C26:$P26,AE$3)=0)*(COUNTIFS($C$3:$P$3,"POM",$C26:$P26,AE$3)=0)*(COUNTIFS($C$3:$P$3,"NOTTE",$C26:$P26,AE$3)=0),"_n","")&amp;", ")))</f>
        <v/>
      </c>
      <c r="CI26" s="1" t="str">
        <f aca="false">IF((AF26="X")+(AF26="Gn")+(AF26="C")+(AF25="Gn")&gt;0,"",IF(((AF26&lt;&gt;"Xm")*(COUNTIFS($C$3:$P$3,"MAT",$C26:$P26,AF$3)=0)*(COUNTIFS($C$3:$P$3,"NOTTE",$C26:$P26,AF$3)=0))+((AF26&lt;&gt;"Xp")*(COUNTIFS($C$3:$P$3,"POM",$C26:$P26,AF$3)=0)*(COUNTIFS($C$3:$P$3,"NOTTE",$C26:$P26,AF$3)=0))+((AF26&lt;&gt;"Xn")*(COUNTIFS($C$3:$P$3,"MAT",$C26:$P26,AF$3)=0)*(COUNTIFS($C$3:$P$3,"POM",$C26:$P26,AF$3)=0)*(COUNTIFS($C$3:$P$3,"NOTTE",$C26:$P26,AF$3)=0))=0,"",IF(((AF26&lt;&gt;"Xm")*(COUNTIFS($C$3:$P$3,"MAT",$C26:$P26,AF$3)=0)*(COUNTIFS($C$3:$P$3,"NOTTE",$C26:$P26,AF$3)=0))+((AF26&lt;&gt;"Xp")*(COUNTIFS($C$3:$P$3,"POM",$C26:$P26,AF$3)=0)*(COUNTIFS($C$3:$P$3,"NOTTE",$C26:$P26,AF$3)=0))+((AF26&lt;&gt;"Xn")*(COUNTIFS($C$3:$P$3,"MAT",$C26:$P26,AF$3)=0)*(COUNTIFS($C$3:$P$3,"POM",$C26:$P26,AF$3)=0)*(COUNTIFS($C$3:$P$3,"NOTTE",$C26:$P26,AF$3)=0))=3,AF$3&amp;", ",AF$3&amp;IF((AF26&lt;&gt;"Xm")*(COUNTIFS($C$3:$P$3,"MAT",$C26:$P26,AF$3)=0)*(COUNTIFS($C$3:$P$3,"NOTTE",$C26:$P26,AF$3)=0),"_m","")&amp;IF((AF26&lt;&gt;"Xp")*(COUNTIFS($C$3:$P$3,"POM",$C26:$P26,AF$3)=0)*(COUNTIFS($C$3:$P$3,"NOTTE",$C26:$P26,AF$3)=0),"_p","")&amp;IF((AF26&lt;&gt;"Xn")*(COUNTIFS($C$3:$P$3,"MAT",$C26:$P26,AF$3)=0)*(COUNTIFS($C$3:$P$3,"POM",$C26:$P26,AF$3)=0)*(COUNTIFS($C$3:$P$3,"NOTTE",$C26:$P26,AF$3)=0),"_n","")&amp;", ")))</f>
        <v/>
      </c>
      <c r="CJ26" s="1" t="str">
        <f aca="false">IF((AG26="X")+(AG26="Gn")+(AG26="C")+(AG25="Gn")&gt;0,"",IF(((AG26&lt;&gt;"Xm")*(COUNTIFS($C$3:$P$3,"MAT",$C26:$P26,AG$3)=0)*(COUNTIFS($C$3:$P$3,"NOTTE",$C26:$P26,AG$3)=0))+((AG26&lt;&gt;"Xp")*(COUNTIFS($C$3:$P$3,"POM",$C26:$P26,AG$3)=0)*(COUNTIFS($C$3:$P$3,"NOTTE",$C26:$P26,AG$3)=0))+((AG26&lt;&gt;"Xn")*(COUNTIFS($C$3:$P$3,"MAT",$C26:$P26,AG$3)=0)*(COUNTIFS($C$3:$P$3,"POM",$C26:$P26,AG$3)=0)*(COUNTIFS($C$3:$P$3,"NOTTE",$C26:$P26,AG$3)=0))=0,"",IF(((AG26&lt;&gt;"Xm")*(COUNTIFS($C$3:$P$3,"MAT",$C26:$P26,AG$3)=0)*(COUNTIFS($C$3:$P$3,"NOTTE",$C26:$P26,AG$3)=0))+((AG26&lt;&gt;"Xp")*(COUNTIFS($C$3:$P$3,"POM",$C26:$P26,AG$3)=0)*(COUNTIFS($C$3:$P$3,"NOTTE",$C26:$P26,AG$3)=0))+((AG26&lt;&gt;"Xn")*(COUNTIFS($C$3:$P$3,"MAT",$C26:$P26,AG$3)=0)*(COUNTIFS($C$3:$P$3,"POM",$C26:$P26,AG$3)=0)*(COUNTIFS($C$3:$P$3,"NOTTE",$C26:$P26,AG$3)=0))=3,AG$3&amp;", ",AG$3&amp;IF((AG26&lt;&gt;"Xm")*(COUNTIFS($C$3:$P$3,"MAT",$C26:$P26,AG$3)=0)*(COUNTIFS($C$3:$P$3,"NOTTE",$C26:$P26,AG$3)=0),"_m","")&amp;IF((AG26&lt;&gt;"Xp")*(COUNTIFS($C$3:$P$3,"POM",$C26:$P26,AG$3)=0)*(COUNTIFS($C$3:$P$3,"NOTTE",$C26:$P26,AG$3)=0),"_p","")&amp;IF((AG26&lt;&gt;"Xn")*(COUNTIFS($C$3:$P$3,"MAT",$C26:$P26,AG$3)=0)*(COUNTIFS($C$3:$P$3,"POM",$C26:$P26,AG$3)=0)*(COUNTIFS($C$3:$P$3,"NOTTE",$C26:$P26,AG$3)=0),"_n","")&amp;", ")))</f>
        <v>HU, </v>
      </c>
      <c r="CK26" s="1" t="str">
        <f aca="false">IF((AH26="X")+(AH26="Gn")+(AH26="C")+(AH25="Gn")&gt;0,"",IF(((AH26&lt;&gt;"Xm")*(COUNTIFS($C$3:$P$3,"MAT",$C26:$P26,AH$3)=0)*(COUNTIFS($C$3:$P$3,"NOTTE",$C26:$P26,AH$3)=0))+((AH26&lt;&gt;"Xp")*(COUNTIFS($C$3:$P$3,"POM",$C26:$P26,AH$3)=0)*(COUNTIFS($C$3:$P$3,"NOTTE",$C26:$P26,AH$3)=0))+((AH26&lt;&gt;"Xn")*(COUNTIFS($C$3:$P$3,"MAT",$C26:$P26,AH$3)=0)*(COUNTIFS($C$3:$P$3,"POM",$C26:$P26,AH$3)=0)*(COUNTIFS($C$3:$P$3,"NOTTE",$C26:$P26,AH$3)=0))=0,"",IF(((AH26&lt;&gt;"Xm")*(COUNTIFS($C$3:$P$3,"MAT",$C26:$P26,AH$3)=0)*(COUNTIFS($C$3:$P$3,"NOTTE",$C26:$P26,AH$3)=0))+((AH26&lt;&gt;"Xp")*(COUNTIFS($C$3:$P$3,"POM",$C26:$P26,AH$3)=0)*(COUNTIFS($C$3:$P$3,"NOTTE",$C26:$P26,AH$3)=0))+((AH26&lt;&gt;"Xn")*(COUNTIFS($C$3:$P$3,"MAT",$C26:$P26,AH$3)=0)*(COUNTIFS($C$3:$P$3,"POM",$C26:$P26,AH$3)=0)*(COUNTIFS($C$3:$P$3,"NOTTE",$C26:$P26,AH$3)=0))=3,AH$3&amp;", ",AH$3&amp;IF((AH26&lt;&gt;"Xm")*(COUNTIFS($C$3:$P$3,"MAT",$C26:$P26,AH$3)=0)*(COUNTIFS($C$3:$P$3,"NOTTE",$C26:$P26,AH$3)=0),"_m","")&amp;IF((AH26&lt;&gt;"Xp")*(COUNTIFS($C$3:$P$3,"POM",$C26:$P26,AH$3)=0)*(COUNTIFS($C$3:$P$3,"NOTTE",$C26:$P26,AH$3)=0),"_p","")&amp;IF((AH26&lt;&gt;"Xn")*(COUNTIFS($C$3:$P$3,"MAT",$C26:$P26,AH$3)=0)*(COUNTIFS($C$3:$P$3,"POM",$C26:$P26,AH$3)=0)*(COUNTIFS($C$3:$P$3,"NOTTE",$C26:$P26,AH$3)=0),"_n","")&amp;", ")))</f>
        <v/>
      </c>
      <c r="CL26" s="1" t="str">
        <f aca="false">IF((AI26="X")+(AI26="Gn")+(AI26="C")+(AI25="Gn")&gt;0,"",IF(((AI26&lt;&gt;"Xm")*(COUNTIFS($C$3:$P$3,"MAT",$C26:$P26,AI$3)=0)*(COUNTIFS($C$3:$P$3,"NOTTE",$C26:$P26,AI$3)=0))+((AI26&lt;&gt;"Xp")*(COUNTIFS($C$3:$P$3,"POM",$C26:$P26,AI$3)=0)*(COUNTIFS($C$3:$P$3,"NOTTE",$C26:$P26,AI$3)=0))+((AI26&lt;&gt;"Xn")*(COUNTIFS($C$3:$P$3,"MAT",$C26:$P26,AI$3)=0)*(COUNTIFS($C$3:$P$3,"POM",$C26:$P26,AI$3)=0)*(COUNTIFS($C$3:$P$3,"NOTTE",$C26:$P26,AI$3)=0))=0,"",IF(((AI26&lt;&gt;"Xm")*(COUNTIFS($C$3:$P$3,"MAT",$C26:$P26,AI$3)=0)*(COUNTIFS($C$3:$P$3,"NOTTE",$C26:$P26,AI$3)=0))+((AI26&lt;&gt;"Xp")*(COUNTIFS($C$3:$P$3,"POM",$C26:$P26,AI$3)=0)*(COUNTIFS($C$3:$P$3,"NOTTE",$C26:$P26,AI$3)=0))+((AI26&lt;&gt;"Xn")*(COUNTIFS($C$3:$P$3,"MAT",$C26:$P26,AI$3)=0)*(COUNTIFS($C$3:$P$3,"POM",$C26:$P26,AI$3)=0)*(COUNTIFS($C$3:$P$3,"NOTTE",$C26:$P26,AI$3)=0))=3,AI$3&amp;", ",AI$3&amp;IF((AI26&lt;&gt;"Xm")*(COUNTIFS($C$3:$P$3,"MAT",$C26:$P26,AI$3)=0)*(COUNTIFS($C$3:$P$3,"NOTTE",$C26:$P26,AI$3)=0),"_m","")&amp;IF((AI26&lt;&gt;"Xp")*(COUNTIFS($C$3:$P$3,"POM",$C26:$P26,AI$3)=0)*(COUNTIFS($C$3:$P$3,"NOTTE",$C26:$P26,AI$3)=0),"_p","")&amp;IF((AI26&lt;&gt;"Xn")*(COUNTIFS($C$3:$P$3,"MAT",$C26:$P26,AI$3)=0)*(COUNTIFS($C$3:$P$3,"POM",$C26:$P26,AI$3)=0)*(COUNTIFS($C$3:$P$3,"NOTTE",$C26:$P26,AI$3)=0),"_n","")&amp;", ")))</f>
        <v/>
      </c>
      <c r="CM26" s="1" t="str">
        <f aca="false">IF((AJ26="X")+(AJ26="Gn")+(AJ26="C")+(AJ25="Gn")&gt;0,"",IF(((AJ26&lt;&gt;"Xm")*(COUNTIFS($C$3:$P$3,"MAT",$C26:$P26,AJ$3)=0)*(COUNTIFS($C$3:$P$3,"NOTTE",$C26:$P26,AJ$3)=0))+((AJ26&lt;&gt;"Xp")*(COUNTIFS($C$3:$P$3,"POM",$C26:$P26,AJ$3)=0)*(COUNTIFS($C$3:$P$3,"NOTTE",$C26:$P26,AJ$3)=0))+((AJ26&lt;&gt;"Xn")*(COUNTIFS($C$3:$P$3,"MAT",$C26:$P26,AJ$3)=0)*(COUNTIFS($C$3:$P$3,"POM",$C26:$P26,AJ$3)=0)*(COUNTIFS($C$3:$P$3,"NOTTE",$C26:$P26,AJ$3)=0))=0,"",IF(((AJ26&lt;&gt;"Xm")*(COUNTIFS($C$3:$P$3,"MAT",$C26:$P26,AJ$3)=0)*(COUNTIFS($C$3:$P$3,"NOTTE",$C26:$P26,AJ$3)=0))+((AJ26&lt;&gt;"Xp")*(COUNTIFS($C$3:$P$3,"POM",$C26:$P26,AJ$3)=0)*(COUNTIFS($C$3:$P$3,"NOTTE",$C26:$P26,AJ$3)=0))+((AJ26&lt;&gt;"Xn")*(COUNTIFS($C$3:$P$3,"MAT",$C26:$P26,AJ$3)=0)*(COUNTIFS($C$3:$P$3,"POM",$C26:$P26,AJ$3)=0)*(COUNTIFS($C$3:$P$3,"NOTTE",$C26:$P26,AJ$3)=0))=3,AJ$3&amp;", ",AJ$3&amp;IF((AJ26&lt;&gt;"Xm")*(COUNTIFS($C$3:$P$3,"MAT",$C26:$P26,AJ$3)=0)*(COUNTIFS($C$3:$P$3,"NOTTE",$C26:$P26,AJ$3)=0),"_m","")&amp;IF((AJ26&lt;&gt;"Xp")*(COUNTIFS($C$3:$P$3,"POM",$C26:$P26,AJ$3)=0)*(COUNTIFS($C$3:$P$3,"NOTTE",$C26:$P26,AJ$3)=0),"_p","")&amp;IF((AJ26&lt;&gt;"Xn")*(COUNTIFS($C$3:$P$3,"MAT",$C26:$P26,AJ$3)=0)*(COUNTIFS($C$3:$P$3,"POM",$C26:$P26,AJ$3)=0)*(COUNTIFS($C$3:$P$3,"NOTTE",$C26:$P26,AJ$3)=0),"_n","")&amp;", ")))</f>
        <v>CONTI S_m, </v>
      </c>
      <c r="CN26" s="1" t="str">
        <f aca="false">IF((AK26="X")+(AK26="Gn")+(AK26="C")+(AK25="Gn")&gt;0,"",IF(((AK26&lt;&gt;"Xm")*(COUNTIFS($C$3:$P$3,"MAT",$C26:$P26,AK$3)=0)*(COUNTIFS($C$3:$P$3,"NOTTE",$C26:$P26,AK$3)=0))+((AK26&lt;&gt;"Xp")*(COUNTIFS($C$3:$P$3,"POM",$C26:$P26,AK$3)=0)*(COUNTIFS($C$3:$P$3,"NOTTE",$C26:$P26,AK$3)=0))+((AK26&lt;&gt;"Xn")*(COUNTIFS($C$3:$P$3,"MAT",$C26:$P26,AK$3)=0)*(COUNTIFS($C$3:$P$3,"POM",$C26:$P26,AK$3)=0)*(COUNTIFS($C$3:$P$3,"NOTTE",$C26:$P26,AK$3)=0))=0,"",IF(((AK26&lt;&gt;"Xm")*(COUNTIFS($C$3:$P$3,"MAT",$C26:$P26,AK$3)=0)*(COUNTIFS($C$3:$P$3,"NOTTE",$C26:$P26,AK$3)=0))+((AK26&lt;&gt;"Xp")*(COUNTIFS($C$3:$P$3,"POM",$C26:$P26,AK$3)=0)*(COUNTIFS($C$3:$P$3,"NOTTE",$C26:$P26,AK$3)=0))+((AK26&lt;&gt;"Xn")*(COUNTIFS($C$3:$P$3,"MAT",$C26:$P26,AK$3)=0)*(COUNTIFS($C$3:$P$3,"POM",$C26:$P26,AK$3)=0)*(COUNTIFS($C$3:$P$3,"NOTTE",$C26:$P26,AK$3)=0))=3,AK$3&amp;", ",AK$3&amp;IF((AK26&lt;&gt;"Xm")*(COUNTIFS($C$3:$P$3,"MAT",$C26:$P26,AK$3)=0)*(COUNTIFS($C$3:$P$3,"NOTTE",$C26:$P26,AK$3)=0),"_m","")&amp;IF((AK26&lt;&gt;"Xp")*(COUNTIFS($C$3:$P$3,"POM",$C26:$P26,AK$3)=0)*(COUNTIFS($C$3:$P$3,"NOTTE",$C26:$P26,AK$3)=0),"_p","")&amp;IF((AK26&lt;&gt;"Xn")*(COUNTIFS($C$3:$P$3,"MAT",$C26:$P26,AK$3)=0)*(COUNTIFS($C$3:$P$3,"POM",$C26:$P26,AK$3)=0)*(COUNTIFS($C$3:$P$3,"NOTTE",$C26:$P26,AK$3)=0),"_n","")&amp;", ")))</f>
        <v>FERRARI, </v>
      </c>
      <c r="CO26" s="1" t="str">
        <f aca="false">IF((AL26="X")+(AL26="Gn")+(AL26="C")+(AL25="Gn")&gt;0,"",IF(((AL26&lt;&gt;"Xm")*(COUNTIFS($C$3:$P$3,"MAT",$C26:$P26,AL$3)=0)*(COUNTIFS($C$3:$P$3,"NOTTE",$C26:$P26,AL$3)=0))+((AL26&lt;&gt;"Xp")*(COUNTIFS($C$3:$P$3,"POM",$C26:$P26,AL$3)=0)*(COUNTIFS($C$3:$P$3,"NOTTE",$C26:$P26,AL$3)=0))+((AL26&lt;&gt;"Xn")*(COUNTIFS($C$3:$P$3,"MAT",$C26:$P26,AL$3)=0)*(COUNTIFS($C$3:$P$3,"POM",$C26:$P26,AL$3)=0)*(COUNTIFS($C$3:$P$3,"NOTTE",$C26:$P26,AL$3)=0))=0,"",IF(((AL26&lt;&gt;"Xm")*(COUNTIFS($C$3:$P$3,"MAT",$C26:$P26,AL$3)=0)*(COUNTIFS($C$3:$P$3,"NOTTE",$C26:$P26,AL$3)=0))+((AL26&lt;&gt;"Xp")*(COUNTIFS($C$3:$P$3,"POM",$C26:$P26,AL$3)=0)*(COUNTIFS($C$3:$P$3,"NOTTE",$C26:$P26,AL$3)=0))+((AL26&lt;&gt;"Xn")*(COUNTIFS($C$3:$P$3,"MAT",$C26:$P26,AL$3)=0)*(COUNTIFS($C$3:$P$3,"POM",$C26:$P26,AL$3)=0)*(COUNTIFS($C$3:$P$3,"NOTTE",$C26:$P26,AL$3)=0))=3,AL$3&amp;", ",AL$3&amp;IF((AL26&lt;&gt;"Xm")*(COUNTIFS($C$3:$P$3,"MAT",$C26:$P26,AL$3)=0)*(COUNTIFS($C$3:$P$3,"NOTTE",$C26:$P26,AL$3)=0),"_m","")&amp;IF((AL26&lt;&gt;"Xp")*(COUNTIFS($C$3:$P$3,"POM",$C26:$P26,AL$3)=0)*(COUNTIFS($C$3:$P$3,"NOTTE",$C26:$P26,AL$3)=0),"_p","")&amp;IF((AL26&lt;&gt;"Xn")*(COUNTIFS($C$3:$P$3,"MAT",$C26:$P26,AL$3)=0)*(COUNTIFS($C$3:$P$3,"POM",$C26:$P26,AL$3)=0)*(COUNTIFS($C$3:$P$3,"NOTTE",$C26:$P26,AL$3)=0),"_n","")&amp;", ")))</f>
        <v/>
      </c>
      <c r="CP26" s="1" t="str">
        <f aca="false">IF((AM26="X")+(AM26="Gn")+(AM26="C")+(AM25="Gn")&gt;0,"",IF(((AM26&lt;&gt;"Xm")*(COUNTIFS($C$3:$P$3,"MAT",$C26:$P26,AM$3)=0)*(COUNTIFS($C$3:$P$3,"NOTTE",$C26:$P26,AM$3)=0))+((AM26&lt;&gt;"Xp")*(COUNTIFS($C$3:$P$3,"POM",$C26:$P26,AM$3)=0)*(COUNTIFS($C$3:$P$3,"NOTTE",$C26:$P26,AM$3)=0))+((AM26&lt;&gt;"Xn")*(COUNTIFS($C$3:$P$3,"MAT",$C26:$P26,AM$3)=0)*(COUNTIFS($C$3:$P$3,"POM",$C26:$P26,AM$3)=0)*(COUNTIFS($C$3:$P$3,"NOTTE",$C26:$P26,AM$3)=0))=0,"",IF(((AM26&lt;&gt;"Xm")*(COUNTIFS($C$3:$P$3,"MAT",$C26:$P26,AM$3)=0)*(COUNTIFS($C$3:$P$3,"NOTTE",$C26:$P26,AM$3)=0))+((AM26&lt;&gt;"Xp")*(COUNTIFS($C$3:$P$3,"POM",$C26:$P26,AM$3)=0)*(COUNTIFS($C$3:$P$3,"NOTTE",$C26:$P26,AM$3)=0))+((AM26&lt;&gt;"Xn")*(COUNTIFS($C$3:$P$3,"MAT",$C26:$P26,AM$3)=0)*(COUNTIFS($C$3:$P$3,"POM",$C26:$P26,AM$3)=0)*(COUNTIFS($C$3:$P$3,"NOTTE",$C26:$P26,AM$3)=0))=3,AM$3&amp;", ",AM$3&amp;IF((AM26&lt;&gt;"Xm")*(COUNTIFS($C$3:$P$3,"MAT",$C26:$P26,AM$3)=0)*(COUNTIFS($C$3:$P$3,"NOTTE",$C26:$P26,AM$3)=0),"_m","")&amp;IF((AM26&lt;&gt;"Xp")*(COUNTIFS($C$3:$P$3,"POM",$C26:$P26,AM$3)=0)*(COUNTIFS($C$3:$P$3,"NOTTE",$C26:$P26,AM$3)=0),"_p","")&amp;IF((AM26&lt;&gt;"Xn")*(COUNTIFS($C$3:$P$3,"MAT",$C26:$P26,AM$3)=0)*(COUNTIFS($C$3:$P$3,"POM",$C26:$P26,AM$3)=0)*(COUNTIFS($C$3:$P$3,"NOTTE",$C26:$P26,AM$3)=0),"_n","")&amp;", ")))</f>
        <v>SANNA, </v>
      </c>
      <c r="CQ26" s="1" t="str">
        <f aca="false">IF((AN26="X")+(AN26="Gn")+(AN26="C")+(AN25="Gn")&gt;0,"",IF(((AN26&lt;&gt;"Xm")*(COUNTIFS($C$3:$P$3,"MAT",$C26:$P26,AN$3)=0)*(COUNTIFS($C$3:$P$3,"NOTTE",$C26:$P26,AN$3)=0))+((AN26&lt;&gt;"Xp")*(COUNTIFS($C$3:$P$3,"POM",$C26:$P26,AN$3)=0)*(COUNTIFS($C$3:$P$3,"NOTTE",$C26:$P26,AN$3)=0))+((AN26&lt;&gt;"Xn")*(COUNTIFS($C$3:$P$3,"MAT",$C26:$P26,AN$3)=0)*(COUNTIFS($C$3:$P$3,"POM",$C26:$P26,AN$3)=0)*(COUNTIFS($C$3:$P$3,"NOTTE",$C26:$P26,AN$3)=0))=0,"",IF(((AN26&lt;&gt;"Xm")*(COUNTIFS($C$3:$P$3,"MAT",$C26:$P26,AN$3)=0)*(COUNTIFS($C$3:$P$3,"NOTTE",$C26:$P26,AN$3)=0))+((AN26&lt;&gt;"Xp")*(COUNTIFS($C$3:$P$3,"POM",$C26:$P26,AN$3)=0)*(COUNTIFS($C$3:$P$3,"NOTTE",$C26:$P26,AN$3)=0))+((AN26&lt;&gt;"Xn")*(COUNTIFS($C$3:$P$3,"MAT",$C26:$P26,AN$3)=0)*(COUNTIFS($C$3:$P$3,"POM",$C26:$P26,AN$3)=0)*(COUNTIFS($C$3:$P$3,"NOTTE",$C26:$P26,AN$3)=0))=3,AN$3&amp;", ",AN$3&amp;IF((AN26&lt;&gt;"Xm")*(COUNTIFS($C$3:$P$3,"MAT",$C26:$P26,AN$3)=0)*(COUNTIFS($C$3:$P$3,"NOTTE",$C26:$P26,AN$3)=0),"_m","")&amp;IF((AN26&lt;&gt;"Xp")*(COUNTIFS($C$3:$P$3,"POM",$C26:$P26,AN$3)=0)*(COUNTIFS($C$3:$P$3,"NOTTE",$C26:$P26,AN$3)=0),"_p","")&amp;IF((AN26&lt;&gt;"Xn")*(COUNTIFS($C$3:$P$3,"MAT",$C26:$P26,AN$3)=0)*(COUNTIFS($C$3:$P$3,"POM",$C26:$P26,AN$3)=0)*(COUNTIFS($C$3:$P$3,"NOTTE",$C26:$P26,AN$3)=0),"_n","")&amp;", ")))</f>
        <v>LI_p, </v>
      </c>
    </row>
    <row r="27" customFormat="false" ht="15" hidden="false" customHeight="true" outlineLevel="0" collapsed="false">
      <c r="A27" s="15" t="str">
        <f aca="false">CHOOSE(WEEKDAY(DATE($B$1,$A$2,B27),2),"lunedì","martedì","mercoledì","giovedì","venerdì","sabato","domenica")</f>
        <v>martedì</v>
      </c>
      <c r="B27" s="15" t="n">
        <v>24</v>
      </c>
      <c r="C27" s="16" t="s">
        <v>23</v>
      </c>
      <c r="D27" s="16" t="s">
        <v>23</v>
      </c>
      <c r="E27" s="16" t="s">
        <v>29</v>
      </c>
      <c r="F27" s="16" t="s">
        <v>29</v>
      </c>
      <c r="G27" s="16" t="s">
        <v>36</v>
      </c>
      <c r="H27" s="16" t="s">
        <v>36</v>
      </c>
      <c r="I27" s="16" t="s">
        <v>34</v>
      </c>
      <c r="J27" s="16" t="s">
        <v>34</v>
      </c>
      <c r="K27" s="16" t="s">
        <v>26</v>
      </c>
      <c r="L27" s="16"/>
      <c r="M27" s="16" t="s">
        <v>33</v>
      </c>
      <c r="N27" s="16" t="s">
        <v>27</v>
      </c>
      <c r="O27" s="16" t="s">
        <v>27</v>
      </c>
      <c r="P27" s="16" t="s">
        <v>32</v>
      </c>
      <c r="Q27" s="16"/>
      <c r="R27" s="16" t="str">
        <f aca="false">IF(SUMPRODUCT(($C$3:$P$3&lt;&gt;"")*($C27:$P27&lt;&gt;"")*(COUNTIFS($C27:$P27,$C27:$P27,$C$3:$P$3,$C$3:$P$3)&gt;1))&gt;0,"X","")</f>
        <v/>
      </c>
      <c r="S27" s="17" t="str">
        <f aca="false"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GALLINA, RUSSO, HU, MARINI, CONTI A, CONTI S, FERRARI, GRECO, LI</v>
      </c>
      <c r="T27" s="17" t="str">
        <f aca="false"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GALLINA_p, MARINI, CONTI A, FERRARI_m</v>
      </c>
      <c r="Y27" s="15" t="str">
        <f aca="false">A27</f>
        <v>martedì</v>
      </c>
      <c r="Z27" s="15" t="n">
        <f aca="false">B27</f>
        <v>24</v>
      </c>
      <c r="AA27" s="16"/>
      <c r="AB27" s="16" t="s">
        <v>44</v>
      </c>
      <c r="AC27" s="16" t="s">
        <v>51</v>
      </c>
      <c r="AD27" s="16"/>
      <c r="AE27" s="16"/>
      <c r="AF27" s="16" t="s">
        <v>51</v>
      </c>
      <c r="AG27" s="16"/>
      <c r="AH27" s="16"/>
      <c r="AI27" s="16"/>
      <c r="AJ27" s="16"/>
      <c r="AK27" s="16"/>
      <c r="AL27" s="16"/>
      <c r="AM27" s="16" t="s">
        <v>51</v>
      </c>
      <c r="AN27" s="16"/>
      <c r="BO27" s="1" t="str">
        <f aca="false">IF((AA27="X")+(AA27="Gn")+(AA27="C")+(AA26="Gn")&gt;0,"",IF(((AA27&lt;&gt;"Xm"))+((AA27&lt;&gt;"Xp"))+((AA27&lt;&gt;"Xn"))=0,"",IF(((AA27&lt;&gt;"Xm"))+((AA27&lt;&gt;"Xp"))+((AA27&lt;&gt;"Xn"))=3,AA$3&amp;", ",AA$3&amp;IF((AA27&lt;&gt;"Xm"),"_m","")&amp;IF((AA27&lt;&gt;"Xp"),"_p","")&amp;IF((AA27&lt;&gt;"Xn"),"_n","")&amp;", ")))</f>
        <v>LEONI, </v>
      </c>
      <c r="BP27" s="1" t="str">
        <f aca="false">IF((AB27="X")+(AB27="Gn")+(AB27="C")+(AB26="Gn")&gt;0,"",IF(((AB27&lt;&gt;"Xm"))+((AB27&lt;&gt;"Xp"))+((AB27&lt;&gt;"Xn"))=0,"",IF(((AB27&lt;&gt;"Xm"))+((AB27&lt;&gt;"Xp"))+((AB27&lt;&gt;"Xn"))=3,AB$3&amp;", ",AB$3&amp;IF((AB27&lt;&gt;"Xm"),"_m","")&amp;IF((AB27&lt;&gt;"Xp"),"_p","")&amp;IF((AB27&lt;&gt;"Xn"),"_n","")&amp;", ")))</f>
        <v/>
      </c>
      <c r="BQ27" s="1" t="str">
        <f aca="false">IF((AC27="X")+(AC27="Gn")+(AC27="C")+(AC26="Gn")&gt;0,"",IF(((AC27&lt;&gt;"Xm"))+((AC27&lt;&gt;"Xp"))+((AC27&lt;&gt;"Xn"))=0,"",IF(((AC27&lt;&gt;"Xm"))+((AC27&lt;&gt;"Xp"))+((AC27&lt;&gt;"Xn"))=3,AC$3&amp;", ",AC$3&amp;IF((AC27&lt;&gt;"Xm"),"_m","")&amp;IF((AC27&lt;&gt;"Xp"),"_p","")&amp;IF((AC27&lt;&gt;"Xn"),"_n","")&amp;", ")))</f>
        <v/>
      </c>
      <c r="BR27" s="1" t="str">
        <f aca="false">IF((AD27="X")+(AD27="Gn")+(AD27="C")+(AD26="Gn")&gt;0,"",IF(((AD27&lt;&gt;"Xm"))+((AD27&lt;&gt;"Xp"))+((AD27&lt;&gt;"Xn"))=0,"",IF(((AD27&lt;&gt;"Xm"))+((AD27&lt;&gt;"Xp"))+((AD27&lt;&gt;"Xn"))=3,AD$3&amp;", ",AD$3&amp;IF((AD27&lt;&gt;"Xm"),"_m","")&amp;IF((AD27&lt;&gt;"Xp"),"_p","")&amp;IF((AD27&lt;&gt;"Xn"),"_n","")&amp;", ")))</f>
        <v>GALLINA, </v>
      </c>
      <c r="BS27" s="1" t="str">
        <f aca="false">IF((AE27="X")+(AE27="Gn")+(AE27="C")+(AE26="Gn")&gt;0,"",IF(((AE27&lt;&gt;"Xm"))+((AE27&lt;&gt;"Xp"))+((AE27&lt;&gt;"Xn"))=0,"",IF(((AE27&lt;&gt;"Xm"))+((AE27&lt;&gt;"Xp"))+((AE27&lt;&gt;"Xn"))=3,AE$3&amp;", ",AE$3&amp;IF((AE27&lt;&gt;"Xm"),"_m","")&amp;IF((AE27&lt;&gt;"Xp"),"_p","")&amp;IF((AE27&lt;&gt;"Xn"),"_n","")&amp;", ")))</f>
        <v>RUSSO, </v>
      </c>
      <c r="BT27" s="1" t="str">
        <f aca="false">IF((AF27="X")+(AF27="Gn")+(AF27="C")+(AF26="Gn")&gt;0,"",IF(((AF27&lt;&gt;"Xm"))+((AF27&lt;&gt;"Xp"))+((AF27&lt;&gt;"Xn"))=0,"",IF(((AF27&lt;&gt;"Xm"))+((AF27&lt;&gt;"Xp"))+((AF27&lt;&gt;"Xn"))=3,AF$3&amp;", ",AF$3&amp;IF((AF27&lt;&gt;"Xm"),"_m","")&amp;IF((AF27&lt;&gt;"Xp"),"_p","")&amp;IF((AF27&lt;&gt;"Xn"),"_n","")&amp;", ")))</f>
        <v/>
      </c>
      <c r="BU27" s="1" t="str">
        <f aca="false">IF((AG27="X")+(AG27="Gn")+(AG27="C")+(AG26="Gn")&gt;0,"",IF(((AG27&lt;&gt;"Xm"))+((AG27&lt;&gt;"Xp"))+((AG27&lt;&gt;"Xn"))=0,"",IF(((AG27&lt;&gt;"Xm"))+((AG27&lt;&gt;"Xp"))+((AG27&lt;&gt;"Xn"))=3,AG$3&amp;", ",AG$3&amp;IF((AG27&lt;&gt;"Xm"),"_m","")&amp;IF((AG27&lt;&gt;"Xp"),"_p","")&amp;IF((AG27&lt;&gt;"Xn"),"_n","")&amp;", ")))</f>
        <v>HU, </v>
      </c>
      <c r="BV27" s="1" t="str">
        <f aca="false">IF((AH27="X")+(AH27="Gn")+(AH27="C")+(AH26="Gn")&gt;0,"",IF(((AH27&lt;&gt;"Xm"))+((AH27&lt;&gt;"Xp"))+((AH27&lt;&gt;"Xn"))=0,"",IF(((AH27&lt;&gt;"Xm"))+((AH27&lt;&gt;"Xp"))+((AH27&lt;&gt;"Xn"))=3,AH$3&amp;", ",AH$3&amp;IF((AH27&lt;&gt;"Xm"),"_m","")&amp;IF((AH27&lt;&gt;"Xp"),"_p","")&amp;IF((AH27&lt;&gt;"Xn"),"_n","")&amp;", ")))</f>
        <v>MARINI, </v>
      </c>
      <c r="BW27" s="1" t="str">
        <f aca="false">IF((AI27="X")+(AI27="Gn")+(AI27="C")+(AI26="Gn")&gt;0,"",IF(((AI27&lt;&gt;"Xm"))+((AI27&lt;&gt;"Xp"))+((AI27&lt;&gt;"Xn"))=0,"",IF(((AI27&lt;&gt;"Xm"))+((AI27&lt;&gt;"Xp"))+((AI27&lt;&gt;"Xn"))=3,AI$3&amp;", ",AI$3&amp;IF((AI27&lt;&gt;"Xm"),"_m","")&amp;IF((AI27&lt;&gt;"Xp"),"_p","")&amp;IF((AI27&lt;&gt;"Xn"),"_n","")&amp;", ")))</f>
        <v>CONTI A, </v>
      </c>
      <c r="BX27" s="1" t="str">
        <f aca="false">IF((AJ27="X")+(AJ27="Gn")+(AJ27="C")+(AJ26="Gn")&gt;0,"",IF(((AJ27&lt;&gt;"Xm"))+((AJ27&lt;&gt;"Xp"))+((AJ27&lt;&gt;"Xn"))=0,"",IF(((AJ27&lt;&gt;"Xm"))+((AJ27&lt;&gt;"Xp"))+((AJ27&lt;&gt;"Xn"))=3,AJ$3&amp;", ",AJ$3&amp;IF((AJ27&lt;&gt;"Xm"),"_m","")&amp;IF((AJ27&lt;&gt;"Xp"),"_p","")&amp;IF((AJ27&lt;&gt;"Xn"),"_n","")&amp;", ")))</f>
        <v>CONTI S, </v>
      </c>
      <c r="BY27" s="1" t="str">
        <f aca="false">IF((AK27="X")+(AK27="Gn")+(AK27="C")+(AK26="Gn")&gt;0,"",IF(((AK27&lt;&gt;"Xm"))+((AK27&lt;&gt;"Xp"))+((AK27&lt;&gt;"Xn"))=0,"",IF(((AK27&lt;&gt;"Xm"))+((AK27&lt;&gt;"Xp"))+((AK27&lt;&gt;"Xn"))=3,AK$3&amp;", ",AK$3&amp;IF((AK27&lt;&gt;"Xm"),"_m","")&amp;IF((AK27&lt;&gt;"Xp"),"_p","")&amp;IF((AK27&lt;&gt;"Xn"),"_n","")&amp;", ")))</f>
        <v>FERRARI, </v>
      </c>
      <c r="BZ27" s="1" t="str">
        <f aca="false">IF((AL27="X")+(AL27="Gn")+(AL27="C")+(AL26="Gn")&gt;0,"",IF(((AL27&lt;&gt;"Xm"))+((AL27&lt;&gt;"Xp"))+((AL27&lt;&gt;"Xn"))=0,"",IF(((AL27&lt;&gt;"Xm"))+((AL27&lt;&gt;"Xp"))+((AL27&lt;&gt;"Xn"))=3,AL$3&amp;", ",AL$3&amp;IF((AL27&lt;&gt;"Xm"),"_m","")&amp;IF((AL27&lt;&gt;"Xp"),"_p","")&amp;IF((AL27&lt;&gt;"Xn"),"_n","")&amp;", ")))</f>
        <v>GRECO, </v>
      </c>
      <c r="CA27" s="1" t="str">
        <f aca="false">IF((AM27="X")+(AM27="Gn")+(AM27="C")+(AM26="Gn")&gt;0,"",IF(((AM27&lt;&gt;"Xm"))+((AM27&lt;&gt;"Xp"))+((AM27&lt;&gt;"Xn"))=0,"",IF(((AM27&lt;&gt;"Xm"))+((AM27&lt;&gt;"Xp"))+((AM27&lt;&gt;"Xn"))=3,AM$3&amp;", ",AM$3&amp;IF((AM27&lt;&gt;"Xm"),"_m","")&amp;IF((AM27&lt;&gt;"Xp"),"_p","")&amp;IF((AM27&lt;&gt;"Xn"),"_n","")&amp;", ")))</f>
        <v/>
      </c>
      <c r="CB27" s="1" t="str">
        <f aca="false">IF((AN27="X")+(AN27="Gn")+(AN27="C")+(AN26="Gn")&gt;0,"",IF(((AN27&lt;&gt;"Xm"))+((AN27&lt;&gt;"Xp"))+((AN27&lt;&gt;"Xn"))=0,"",IF(((AN27&lt;&gt;"Xm"))+((AN27&lt;&gt;"Xp"))+((AN27&lt;&gt;"Xn"))=3,AN$3&amp;", ",AN$3&amp;IF((AN27&lt;&gt;"Xm"),"_m","")&amp;IF((AN27&lt;&gt;"Xp"),"_p","")&amp;IF((AN27&lt;&gt;"Xn"),"_n","")&amp;", ")))</f>
        <v>LI, </v>
      </c>
      <c r="CD27" s="1" t="str">
        <f aca="false">IF((AA27="X")+(AA27="Gn")+(AA27="C")+(AA26="Gn")&gt;0,"",IF(((AA27&lt;&gt;"Xm")*(COUNTIFS($C$3:$P$3,"MAT",$C27:$P27,AA$3)=0)*(COUNTIFS($C$3:$P$3,"NOTTE",$C27:$P27,AA$3)=0))+((AA27&lt;&gt;"Xp")*(COUNTIFS($C$3:$P$3,"POM",$C27:$P27,AA$3)=0)*(COUNTIFS($C$3:$P$3,"NOTTE",$C27:$P27,AA$3)=0))+((AA27&lt;&gt;"Xn")*(COUNTIFS($C$3:$P$3,"MAT",$C27:$P27,AA$3)=0)*(COUNTIFS($C$3:$P$3,"POM",$C27:$P27,AA$3)=0)*(COUNTIFS($C$3:$P$3,"NOTTE",$C27:$P27,AA$3)=0))=0,"",IF(((AA27&lt;&gt;"Xm")*(COUNTIFS($C$3:$P$3,"MAT",$C27:$P27,AA$3)=0)*(COUNTIFS($C$3:$P$3,"NOTTE",$C27:$P27,AA$3)=0))+((AA27&lt;&gt;"Xp")*(COUNTIFS($C$3:$P$3,"POM",$C27:$P27,AA$3)=0)*(COUNTIFS($C$3:$P$3,"NOTTE",$C27:$P27,AA$3)=0))+((AA27&lt;&gt;"Xn")*(COUNTIFS($C$3:$P$3,"MAT",$C27:$P27,AA$3)=0)*(COUNTIFS($C$3:$P$3,"POM",$C27:$P27,AA$3)=0)*(COUNTIFS($C$3:$P$3,"NOTTE",$C27:$P27,AA$3)=0))=3,AA$3&amp;", ",AA$3&amp;IF((AA27&lt;&gt;"Xm")*(COUNTIFS($C$3:$P$3,"MAT",$C27:$P27,AA$3)=0)*(COUNTIFS($C$3:$P$3,"NOTTE",$C27:$P27,AA$3)=0),"_m","")&amp;IF((AA27&lt;&gt;"Xp")*(COUNTIFS($C$3:$P$3,"POM",$C27:$P27,AA$3)=0)*(COUNTIFS($C$3:$P$3,"NOTTE",$C27:$P27,AA$3)=0),"_p","")&amp;IF((AA27&lt;&gt;"Xn")*(COUNTIFS($C$3:$P$3,"MAT",$C27:$P27,AA$3)=0)*(COUNTIFS($C$3:$P$3,"POM",$C27:$P27,AA$3)=0)*(COUNTIFS($C$3:$P$3,"NOTTE",$C27:$P27,AA$3)=0),"_n","")&amp;", ")))</f>
        <v/>
      </c>
      <c r="CE27" s="1" t="str">
        <f aca="false">IF((AB27="X")+(AB27="Gn")+(AB27="C")+(AB26="Gn")&gt;0,"",IF(((AB27&lt;&gt;"Xm")*(COUNTIFS($C$3:$P$3,"MAT",$C27:$P27,AB$3)=0)*(COUNTIFS($C$3:$P$3,"NOTTE",$C27:$P27,AB$3)=0))+((AB27&lt;&gt;"Xp")*(COUNTIFS($C$3:$P$3,"POM",$C27:$P27,AB$3)=0)*(COUNTIFS($C$3:$P$3,"NOTTE",$C27:$P27,AB$3)=0))+((AB27&lt;&gt;"Xn")*(COUNTIFS($C$3:$P$3,"MAT",$C27:$P27,AB$3)=0)*(COUNTIFS($C$3:$P$3,"POM",$C27:$P27,AB$3)=0)*(COUNTIFS($C$3:$P$3,"NOTTE",$C27:$P27,AB$3)=0))=0,"",IF(((AB27&lt;&gt;"Xm")*(COUNTIFS($C$3:$P$3,"MAT",$C27:$P27,AB$3)=0)*(COUNTIFS($C$3:$P$3,"NOTTE",$C27:$P27,AB$3)=0))+((AB27&lt;&gt;"Xp")*(COUNTIFS($C$3:$P$3,"POM",$C27:$P27,AB$3)=0)*(COUNTIFS($C$3:$P$3,"NOTTE",$C27:$P27,AB$3)=0))+((AB27&lt;&gt;"Xn")*(COUNTIFS($C$3:$P$3,"MAT",$C27:$P27,AB$3)=0)*(COUNTIFS($C$3:$P$3,"POM",$C27:$P27,AB$3)=0)*(COUNTIFS($C$3:$P$3,"NOTTE",$C27:$P27,AB$3)=0))=3,AB$3&amp;", ",AB$3&amp;IF((AB27&lt;&gt;"Xm")*(COUNTIFS($C$3:$P$3,"MAT",$C27:$P27,AB$3)=0)*(COUNTIFS($C$3:$P$3,"NOTTE",$C27:$P27,AB$3)=0),"_m","")&amp;IF((AB27&lt;&gt;"Xp")*(COUNTIFS($C$3:$P$3,"POM",$C27:$P27,AB$3)=0)*(COUNTIFS($C$3:$P$3,"NOTTE",$C27:$P27,AB$3)=0),"_p","")&amp;IF((AB27&lt;&gt;"Xn")*(COUNTIFS($C$3:$P$3,"MAT",$C27:$P27,AB$3)=0)*(COUNTIFS($C$3:$P$3,"POM",$C27:$P27,AB$3)=0)*(COUNTIFS($C$3:$P$3,"NOTTE",$C27:$P27,AB$3)=0),"_n","")&amp;", ")))</f>
        <v/>
      </c>
      <c r="CF27" s="1" t="str">
        <f aca="false">IF((AC27="X")+(AC27="Gn")+(AC27="C")+(AC26="Gn")&gt;0,"",IF(((AC27&lt;&gt;"Xm")*(COUNTIFS($C$3:$P$3,"MAT",$C27:$P27,AC$3)=0)*(COUNTIFS($C$3:$P$3,"NOTTE",$C27:$P27,AC$3)=0))+((AC27&lt;&gt;"Xp")*(COUNTIFS($C$3:$P$3,"POM",$C27:$P27,AC$3)=0)*(COUNTIFS($C$3:$P$3,"NOTTE",$C27:$P27,AC$3)=0))+((AC27&lt;&gt;"Xn")*(COUNTIFS($C$3:$P$3,"MAT",$C27:$P27,AC$3)=0)*(COUNTIFS($C$3:$P$3,"POM",$C27:$P27,AC$3)=0)*(COUNTIFS($C$3:$P$3,"NOTTE",$C27:$P27,AC$3)=0))=0,"",IF(((AC27&lt;&gt;"Xm")*(COUNTIFS($C$3:$P$3,"MAT",$C27:$P27,AC$3)=0)*(COUNTIFS($C$3:$P$3,"NOTTE",$C27:$P27,AC$3)=0))+((AC27&lt;&gt;"Xp")*(COUNTIFS($C$3:$P$3,"POM",$C27:$P27,AC$3)=0)*(COUNTIFS($C$3:$P$3,"NOTTE",$C27:$P27,AC$3)=0))+((AC27&lt;&gt;"Xn")*(COUNTIFS($C$3:$P$3,"MAT",$C27:$P27,AC$3)=0)*(COUNTIFS($C$3:$P$3,"POM",$C27:$P27,AC$3)=0)*(COUNTIFS($C$3:$P$3,"NOTTE",$C27:$P27,AC$3)=0))=3,AC$3&amp;", ",AC$3&amp;IF((AC27&lt;&gt;"Xm")*(COUNTIFS($C$3:$P$3,"MAT",$C27:$P27,AC$3)=0)*(COUNTIFS($C$3:$P$3,"NOTTE",$C27:$P27,AC$3)=0),"_m","")&amp;IF((AC27&lt;&gt;"Xp")*(COUNTIFS($C$3:$P$3,"POM",$C27:$P27,AC$3)=0)*(COUNTIFS($C$3:$P$3,"NOTTE",$C27:$P27,AC$3)=0),"_p","")&amp;IF((AC27&lt;&gt;"Xn")*(COUNTIFS($C$3:$P$3,"MAT",$C27:$P27,AC$3)=0)*(COUNTIFS($C$3:$P$3,"POM",$C27:$P27,AC$3)=0)*(COUNTIFS($C$3:$P$3,"NOTTE",$C27:$P27,AC$3)=0),"_n","")&amp;", ")))</f>
        <v/>
      </c>
      <c r="CG27" s="1" t="str">
        <f aca="false">IF((AD27="X")+(AD27="Gn")+(AD27="C")+(AD26="Gn")&gt;0,"",IF(((AD27&lt;&gt;"Xm")*(COUNTIFS($C$3:$P$3,"MAT",$C27:$P27,AD$3)=0)*(COUNTIFS($C$3:$P$3,"NOTTE",$C27:$P27,AD$3)=0))+((AD27&lt;&gt;"Xp")*(COUNTIFS($C$3:$P$3,"POM",$C27:$P27,AD$3)=0)*(COUNTIFS($C$3:$P$3,"NOTTE",$C27:$P27,AD$3)=0))+((AD27&lt;&gt;"Xn")*(COUNTIFS($C$3:$P$3,"MAT",$C27:$P27,AD$3)=0)*(COUNTIFS($C$3:$P$3,"POM",$C27:$P27,AD$3)=0)*(COUNTIFS($C$3:$P$3,"NOTTE",$C27:$P27,AD$3)=0))=0,"",IF(((AD27&lt;&gt;"Xm")*(COUNTIFS($C$3:$P$3,"MAT",$C27:$P27,AD$3)=0)*(COUNTIFS($C$3:$P$3,"NOTTE",$C27:$P27,AD$3)=0))+((AD27&lt;&gt;"Xp")*(COUNTIFS($C$3:$P$3,"POM",$C27:$P27,AD$3)=0)*(COUNTIFS($C$3:$P$3,"NOTTE",$C27:$P27,AD$3)=0))+((AD27&lt;&gt;"Xn")*(COUNTIFS($C$3:$P$3,"MAT",$C27:$P27,AD$3)=0)*(COUNTIFS($C$3:$P$3,"POM",$C27:$P27,AD$3)=0)*(COUNTIFS($C$3:$P$3,"NOTTE",$C27:$P27,AD$3)=0))=3,AD$3&amp;", ",AD$3&amp;IF((AD27&lt;&gt;"Xm")*(COUNTIFS($C$3:$P$3,"MAT",$C27:$P27,AD$3)=0)*(COUNTIFS($C$3:$P$3,"NOTTE",$C27:$P27,AD$3)=0),"_m","")&amp;IF((AD27&lt;&gt;"Xp")*(COUNTIFS($C$3:$P$3,"POM",$C27:$P27,AD$3)=0)*(COUNTIFS($C$3:$P$3,"NOTTE",$C27:$P27,AD$3)=0),"_p","")&amp;IF((AD27&lt;&gt;"Xn")*(COUNTIFS($C$3:$P$3,"MAT",$C27:$P27,AD$3)=0)*(COUNTIFS($C$3:$P$3,"POM",$C27:$P27,AD$3)=0)*(COUNTIFS($C$3:$P$3,"NOTTE",$C27:$P27,AD$3)=0),"_n","")&amp;", ")))</f>
        <v>GALLINA_p, </v>
      </c>
      <c r="CH27" s="1" t="str">
        <f aca="false">IF((AE27="X")+(AE27="Gn")+(AE27="C")+(AE26="Gn")&gt;0,"",IF(((AE27&lt;&gt;"Xm")*(COUNTIFS($C$3:$P$3,"MAT",$C27:$P27,AE$3)=0)*(COUNTIFS($C$3:$P$3,"NOTTE",$C27:$P27,AE$3)=0))+((AE27&lt;&gt;"Xp")*(COUNTIFS($C$3:$P$3,"POM",$C27:$P27,AE$3)=0)*(COUNTIFS($C$3:$P$3,"NOTTE",$C27:$P27,AE$3)=0))+((AE27&lt;&gt;"Xn")*(COUNTIFS($C$3:$P$3,"MAT",$C27:$P27,AE$3)=0)*(COUNTIFS($C$3:$P$3,"POM",$C27:$P27,AE$3)=0)*(COUNTIFS($C$3:$P$3,"NOTTE",$C27:$P27,AE$3)=0))=0,"",IF(((AE27&lt;&gt;"Xm")*(COUNTIFS($C$3:$P$3,"MAT",$C27:$P27,AE$3)=0)*(COUNTIFS($C$3:$P$3,"NOTTE",$C27:$P27,AE$3)=0))+((AE27&lt;&gt;"Xp")*(COUNTIFS($C$3:$P$3,"POM",$C27:$P27,AE$3)=0)*(COUNTIFS($C$3:$P$3,"NOTTE",$C27:$P27,AE$3)=0))+((AE27&lt;&gt;"Xn")*(COUNTIFS($C$3:$P$3,"MAT",$C27:$P27,AE$3)=0)*(COUNTIFS($C$3:$P$3,"POM",$C27:$P27,AE$3)=0)*(COUNTIFS($C$3:$P$3,"NOTTE",$C27:$P27,AE$3)=0))=3,AE$3&amp;", ",AE$3&amp;IF((AE27&lt;&gt;"Xm")*(COUNTIFS($C$3:$P$3,"MAT",$C27:$P27,AE$3)=0)*(COUNTIFS($C$3:$P$3,"NOTTE",$C27:$P27,AE$3)=0),"_m","")&amp;IF((AE27&lt;&gt;"Xp")*(COUNTIFS($C$3:$P$3,"POM",$C27:$P27,AE$3)=0)*(COUNTIFS($C$3:$P$3,"NOTTE",$C27:$P27,AE$3)=0),"_p","")&amp;IF((AE27&lt;&gt;"Xn")*(COUNTIFS($C$3:$P$3,"MAT",$C27:$P27,AE$3)=0)*(COUNTIFS($C$3:$P$3,"POM",$C27:$P27,AE$3)=0)*(COUNTIFS($C$3:$P$3,"NOTTE",$C27:$P27,AE$3)=0),"_n","")&amp;", ")))</f>
        <v/>
      </c>
      <c r="CI27" s="1" t="str">
        <f aca="false">IF((AF27="X")+(AF27="Gn")+(AF27="C")+(AF26="Gn")&gt;0,"",IF(((AF27&lt;&gt;"Xm")*(COUNTIFS($C$3:$P$3,"MAT",$C27:$P27,AF$3)=0)*(COUNTIFS($C$3:$P$3,"NOTTE",$C27:$P27,AF$3)=0))+((AF27&lt;&gt;"Xp")*(COUNTIFS($C$3:$P$3,"POM",$C27:$P27,AF$3)=0)*(COUNTIFS($C$3:$P$3,"NOTTE",$C27:$P27,AF$3)=0))+((AF27&lt;&gt;"Xn")*(COUNTIFS($C$3:$P$3,"MAT",$C27:$P27,AF$3)=0)*(COUNTIFS($C$3:$P$3,"POM",$C27:$P27,AF$3)=0)*(COUNTIFS($C$3:$P$3,"NOTTE",$C27:$P27,AF$3)=0))=0,"",IF(((AF27&lt;&gt;"Xm")*(COUNTIFS($C$3:$P$3,"MAT",$C27:$P27,AF$3)=0)*(COUNTIFS($C$3:$P$3,"NOTTE",$C27:$P27,AF$3)=0))+((AF27&lt;&gt;"Xp")*(COUNTIFS($C$3:$P$3,"POM",$C27:$P27,AF$3)=0)*(COUNTIFS($C$3:$P$3,"NOTTE",$C27:$P27,AF$3)=0))+((AF27&lt;&gt;"Xn")*(COUNTIFS($C$3:$P$3,"MAT",$C27:$P27,AF$3)=0)*(COUNTIFS($C$3:$P$3,"POM",$C27:$P27,AF$3)=0)*(COUNTIFS($C$3:$P$3,"NOTTE",$C27:$P27,AF$3)=0))=3,AF$3&amp;", ",AF$3&amp;IF((AF27&lt;&gt;"Xm")*(COUNTIFS($C$3:$P$3,"MAT",$C27:$P27,AF$3)=0)*(COUNTIFS($C$3:$P$3,"NOTTE",$C27:$P27,AF$3)=0),"_m","")&amp;IF((AF27&lt;&gt;"Xp")*(COUNTIFS($C$3:$P$3,"POM",$C27:$P27,AF$3)=0)*(COUNTIFS($C$3:$P$3,"NOTTE",$C27:$P27,AF$3)=0),"_p","")&amp;IF((AF27&lt;&gt;"Xn")*(COUNTIFS($C$3:$P$3,"MAT",$C27:$P27,AF$3)=0)*(COUNTIFS($C$3:$P$3,"POM",$C27:$P27,AF$3)=0)*(COUNTIFS($C$3:$P$3,"NOTTE",$C27:$P27,AF$3)=0),"_n","")&amp;", ")))</f>
        <v/>
      </c>
      <c r="CJ27" s="1" t="str">
        <f aca="false">IF((AG27="X")+(AG27="Gn")+(AG27="C")+(AG26="Gn")&gt;0,"",IF(((AG27&lt;&gt;"Xm")*(COUNTIFS($C$3:$P$3,"MAT",$C27:$P27,AG$3)=0)*(COUNTIFS($C$3:$P$3,"NOTTE",$C27:$P27,AG$3)=0))+((AG27&lt;&gt;"Xp")*(COUNTIFS($C$3:$P$3,"POM",$C27:$P27,AG$3)=0)*(COUNTIFS($C$3:$P$3,"NOTTE",$C27:$P27,AG$3)=0))+((AG27&lt;&gt;"Xn")*(COUNTIFS($C$3:$P$3,"MAT",$C27:$P27,AG$3)=0)*(COUNTIFS($C$3:$P$3,"POM",$C27:$P27,AG$3)=0)*(COUNTIFS($C$3:$P$3,"NOTTE",$C27:$P27,AG$3)=0))=0,"",IF(((AG27&lt;&gt;"Xm")*(COUNTIFS($C$3:$P$3,"MAT",$C27:$P27,AG$3)=0)*(COUNTIFS($C$3:$P$3,"NOTTE",$C27:$P27,AG$3)=0))+((AG27&lt;&gt;"Xp")*(COUNTIFS($C$3:$P$3,"POM",$C27:$P27,AG$3)=0)*(COUNTIFS($C$3:$P$3,"NOTTE",$C27:$P27,AG$3)=0))+((AG27&lt;&gt;"Xn")*(COUNTIFS($C$3:$P$3,"MAT",$C27:$P27,AG$3)=0)*(COUNTIFS($C$3:$P$3,"POM",$C27:$P27,AG$3)=0)*(COUNTIFS($C$3:$P$3,"NOTTE",$C27:$P27,AG$3)=0))=3,AG$3&amp;", ",AG$3&amp;IF((AG27&lt;&gt;"Xm")*(COUNTIFS($C$3:$P$3,"MAT",$C27:$P27,AG$3)=0)*(COUNTIFS($C$3:$P$3,"NOTTE",$C27:$P27,AG$3)=0),"_m","")&amp;IF((AG27&lt;&gt;"Xp")*(COUNTIFS($C$3:$P$3,"POM",$C27:$P27,AG$3)=0)*(COUNTIFS($C$3:$P$3,"NOTTE",$C27:$P27,AG$3)=0),"_p","")&amp;IF((AG27&lt;&gt;"Xn")*(COUNTIFS($C$3:$P$3,"MAT",$C27:$P27,AG$3)=0)*(COUNTIFS($C$3:$P$3,"POM",$C27:$P27,AG$3)=0)*(COUNTIFS($C$3:$P$3,"NOTTE",$C27:$P27,AG$3)=0),"_n","")&amp;", ")))</f>
        <v/>
      </c>
      <c r="CK27" s="1" t="str">
        <f aca="false">IF((AH27="X")+(AH27="Gn")+(AH27="C")+(AH26="Gn")&gt;0,"",IF(((AH27&lt;&gt;"Xm")*(COUNTIFS($C$3:$P$3,"MAT",$C27:$P27,AH$3)=0)*(COUNTIFS($C$3:$P$3,"NOTTE",$C27:$P27,AH$3)=0))+((AH27&lt;&gt;"Xp")*(COUNTIFS($C$3:$P$3,"POM",$C27:$P27,AH$3)=0)*(COUNTIFS($C$3:$P$3,"NOTTE",$C27:$P27,AH$3)=0))+((AH27&lt;&gt;"Xn")*(COUNTIFS($C$3:$P$3,"MAT",$C27:$P27,AH$3)=0)*(COUNTIFS($C$3:$P$3,"POM",$C27:$P27,AH$3)=0)*(COUNTIFS($C$3:$P$3,"NOTTE",$C27:$P27,AH$3)=0))=0,"",IF(((AH27&lt;&gt;"Xm")*(COUNTIFS($C$3:$P$3,"MAT",$C27:$P27,AH$3)=0)*(COUNTIFS($C$3:$P$3,"NOTTE",$C27:$P27,AH$3)=0))+((AH27&lt;&gt;"Xp")*(COUNTIFS($C$3:$P$3,"POM",$C27:$P27,AH$3)=0)*(COUNTIFS($C$3:$P$3,"NOTTE",$C27:$P27,AH$3)=0))+((AH27&lt;&gt;"Xn")*(COUNTIFS($C$3:$P$3,"MAT",$C27:$P27,AH$3)=0)*(COUNTIFS($C$3:$P$3,"POM",$C27:$P27,AH$3)=0)*(COUNTIFS($C$3:$P$3,"NOTTE",$C27:$P27,AH$3)=0))=3,AH$3&amp;", ",AH$3&amp;IF((AH27&lt;&gt;"Xm")*(COUNTIFS($C$3:$P$3,"MAT",$C27:$P27,AH$3)=0)*(COUNTIFS($C$3:$P$3,"NOTTE",$C27:$P27,AH$3)=0),"_m","")&amp;IF((AH27&lt;&gt;"Xp")*(COUNTIFS($C$3:$P$3,"POM",$C27:$P27,AH$3)=0)*(COUNTIFS($C$3:$P$3,"NOTTE",$C27:$P27,AH$3)=0),"_p","")&amp;IF((AH27&lt;&gt;"Xn")*(COUNTIFS($C$3:$P$3,"MAT",$C27:$P27,AH$3)=0)*(COUNTIFS($C$3:$P$3,"POM",$C27:$P27,AH$3)=0)*(COUNTIFS($C$3:$P$3,"NOTTE",$C27:$P27,AH$3)=0),"_n","")&amp;", ")))</f>
        <v>MARINI, </v>
      </c>
      <c r="CL27" s="1" t="str">
        <f aca="false">IF((AI27="X")+(AI27="Gn")+(AI27="C")+(AI26="Gn")&gt;0,"",IF(((AI27&lt;&gt;"Xm")*(COUNTIFS($C$3:$P$3,"MAT",$C27:$P27,AI$3)=0)*(COUNTIFS($C$3:$P$3,"NOTTE",$C27:$P27,AI$3)=0))+((AI27&lt;&gt;"Xp")*(COUNTIFS($C$3:$P$3,"POM",$C27:$P27,AI$3)=0)*(COUNTIFS($C$3:$P$3,"NOTTE",$C27:$P27,AI$3)=0))+((AI27&lt;&gt;"Xn")*(COUNTIFS($C$3:$P$3,"MAT",$C27:$P27,AI$3)=0)*(COUNTIFS($C$3:$P$3,"POM",$C27:$P27,AI$3)=0)*(COUNTIFS($C$3:$P$3,"NOTTE",$C27:$P27,AI$3)=0))=0,"",IF(((AI27&lt;&gt;"Xm")*(COUNTIFS($C$3:$P$3,"MAT",$C27:$P27,AI$3)=0)*(COUNTIFS($C$3:$P$3,"NOTTE",$C27:$P27,AI$3)=0))+((AI27&lt;&gt;"Xp")*(COUNTIFS($C$3:$P$3,"POM",$C27:$P27,AI$3)=0)*(COUNTIFS($C$3:$P$3,"NOTTE",$C27:$P27,AI$3)=0))+((AI27&lt;&gt;"Xn")*(COUNTIFS($C$3:$P$3,"MAT",$C27:$P27,AI$3)=0)*(COUNTIFS($C$3:$P$3,"POM",$C27:$P27,AI$3)=0)*(COUNTIFS($C$3:$P$3,"NOTTE",$C27:$P27,AI$3)=0))=3,AI$3&amp;", ",AI$3&amp;IF((AI27&lt;&gt;"Xm")*(COUNTIFS($C$3:$P$3,"MAT",$C27:$P27,AI$3)=0)*(COUNTIFS($C$3:$P$3,"NOTTE",$C27:$P27,AI$3)=0),"_m","")&amp;IF((AI27&lt;&gt;"Xp")*(COUNTIFS($C$3:$P$3,"POM",$C27:$P27,AI$3)=0)*(COUNTIFS($C$3:$P$3,"NOTTE",$C27:$P27,AI$3)=0),"_p","")&amp;IF((AI27&lt;&gt;"Xn")*(COUNTIFS($C$3:$P$3,"MAT",$C27:$P27,AI$3)=0)*(COUNTIFS($C$3:$P$3,"POM",$C27:$P27,AI$3)=0)*(COUNTIFS($C$3:$P$3,"NOTTE",$C27:$P27,AI$3)=0),"_n","")&amp;", ")))</f>
        <v>CONTI A, </v>
      </c>
      <c r="CM27" s="1" t="str">
        <f aca="false">IF((AJ27="X")+(AJ27="Gn")+(AJ27="C")+(AJ26="Gn")&gt;0,"",IF(((AJ27&lt;&gt;"Xm")*(COUNTIFS($C$3:$P$3,"MAT",$C27:$P27,AJ$3)=0)*(COUNTIFS($C$3:$P$3,"NOTTE",$C27:$P27,AJ$3)=0))+((AJ27&lt;&gt;"Xp")*(COUNTIFS($C$3:$P$3,"POM",$C27:$P27,AJ$3)=0)*(COUNTIFS($C$3:$P$3,"NOTTE",$C27:$P27,AJ$3)=0))+((AJ27&lt;&gt;"Xn")*(COUNTIFS($C$3:$P$3,"MAT",$C27:$P27,AJ$3)=0)*(COUNTIFS($C$3:$P$3,"POM",$C27:$P27,AJ$3)=0)*(COUNTIFS($C$3:$P$3,"NOTTE",$C27:$P27,AJ$3)=0))=0,"",IF(((AJ27&lt;&gt;"Xm")*(COUNTIFS($C$3:$P$3,"MAT",$C27:$P27,AJ$3)=0)*(COUNTIFS($C$3:$P$3,"NOTTE",$C27:$P27,AJ$3)=0))+((AJ27&lt;&gt;"Xp")*(COUNTIFS($C$3:$P$3,"POM",$C27:$P27,AJ$3)=0)*(COUNTIFS($C$3:$P$3,"NOTTE",$C27:$P27,AJ$3)=0))+((AJ27&lt;&gt;"Xn")*(COUNTIFS($C$3:$P$3,"MAT",$C27:$P27,AJ$3)=0)*(COUNTIFS($C$3:$P$3,"POM",$C27:$P27,AJ$3)=0)*(COUNTIFS($C$3:$P$3,"NOTTE",$C27:$P27,AJ$3)=0))=3,AJ$3&amp;", ",AJ$3&amp;IF((AJ27&lt;&gt;"Xm")*(COUNTIFS($C$3:$P$3,"MAT",$C27:$P27,AJ$3)=0)*(COUNTIFS($C$3:$P$3,"NOTTE",$C27:$P27,AJ$3)=0),"_m","")&amp;IF((AJ27&lt;&gt;"Xp")*(COUNTIFS($C$3:$P$3,"POM",$C27:$P27,AJ$3)=0)*(COUNTIFS($C$3:$P$3,"NOTTE",$C27:$P27,AJ$3)=0),"_p","")&amp;IF((AJ27&lt;&gt;"Xn")*(COUNTIFS($C$3:$P$3,"MAT",$C27:$P27,AJ$3)=0)*(COUNTIFS($C$3:$P$3,"POM",$C27:$P27,AJ$3)=0)*(COUNTIFS($C$3:$P$3,"NOTTE",$C27:$P27,AJ$3)=0),"_n","")&amp;", ")))</f>
        <v/>
      </c>
      <c r="CN27" s="1" t="str">
        <f aca="false">IF((AK27="X")+(AK27="Gn")+(AK27="C")+(AK26="Gn")&gt;0,"",IF(((AK27&lt;&gt;"Xm")*(COUNTIFS($C$3:$P$3,"MAT",$C27:$P27,AK$3)=0)*(COUNTIFS($C$3:$P$3,"NOTTE",$C27:$P27,AK$3)=0))+((AK27&lt;&gt;"Xp")*(COUNTIFS($C$3:$P$3,"POM",$C27:$P27,AK$3)=0)*(COUNTIFS($C$3:$P$3,"NOTTE",$C27:$P27,AK$3)=0))+((AK27&lt;&gt;"Xn")*(COUNTIFS($C$3:$P$3,"MAT",$C27:$P27,AK$3)=0)*(COUNTIFS($C$3:$P$3,"POM",$C27:$P27,AK$3)=0)*(COUNTIFS($C$3:$P$3,"NOTTE",$C27:$P27,AK$3)=0))=0,"",IF(((AK27&lt;&gt;"Xm")*(COUNTIFS($C$3:$P$3,"MAT",$C27:$P27,AK$3)=0)*(COUNTIFS($C$3:$P$3,"NOTTE",$C27:$P27,AK$3)=0))+((AK27&lt;&gt;"Xp")*(COUNTIFS($C$3:$P$3,"POM",$C27:$P27,AK$3)=0)*(COUNTIFS($C$3:$P$3,"NOTTE",$C27:$P27,AK$3)=0))+((AK27&lt;&gt;"Xn")*(COUNTIFS($C$3:$P$3,"MAT",$C27:$P27,AK$3)=0)*(COUNTIFS($C$3:$P$3,"POM",$C27:$P27,AK$3)=0)*(COUNTIFS($C$3:$P$3,"NOTTE",$C27:$P27,AK$3)=0))=3,AK$3&amp;", ",AK$3&amp;IF((AK27&lt;&gt;"Xm")*(COUNTIFS($C$3:$P$3,"MAT",$C27:$P27,AK$3)=0)*(COUNTIFS($C$3:$P$3,"NOTTE",$C27:$P27,AK$3)=0),"_m","")&amp;IF((AK27&lt;&gt;"Xp")*(COUNTIFS($C$3:$P$3,"POM",$C27:$P27,AK$3)=0)*(COUNTIFS($C$3:$P$3,"NOTTE",$C27:$P27,AK$3)=0),"_p","")&amp;IF((AK27&lt;&gt;"Xn")*(COUNTIFS($C$3:$P$3,"MAT",$C27:$P27,AK$3)=0)*(COUNTIFS($C$3:$P$3,"POM",$C27:$P27,AK$3)=0)*(COUNTIFS($C$3:$P$3,"NOTTE",$C27:$P27,AK$3)=0),"_n","")&amp;", ")))</f>
        <v>FERRARI_m, </v>
      </c>
      <c r="CO27" s="1" t="str">
        <f aca="false">IF((AL27="X")+(AL27="Gn")+(AL27="C")+(AL26="Gn")&gt;0,"",IF(((AL27&lt;&gt;"Xm")*(COUNTIFS($C$3:$P$3,"MAT",$C27:$P27,AL$3)=0)*(COUNTIFS($C$3:$P$3,"NOTTE",$C27:$P27,AL$3)=0))+((AL27&lt;&gt;"Xp")*(COUNTIFS($C$3:$P$3,"POM",$C27:$P27,AL$3)=0)*(COUNTIFS($C$3:$P$3,"NOTTE",$C27:$P27,AL$3)=0))+((AL27&lt;&gt;"Xn")*(COUNTIFS($C$3:$P$3,"MAT",$C27:$P27,AL$3)=0)*(COUNTIFS($C$3:$P$3,"POM",$C27:$P27,AL$3)=0)*(COUNTIFS($C$3:$P$3,"NOTTE",$C27:$P27,AL$3)=0))=0,"",IF(((AL27&lt;&gt;"Xm")*(COUNTIFS($C$3:$P$3,"MAT",$C27:$P27,AL$3)=0)*(COUNTIFS($C$3:$P$3,"NOTTE",$C27:$P27,AL$3)=0))+((AL27&lt;&gt;"Xp")*(COUNTIFS($C$3:$P$3,"POM",$C27:$P27,AL$3)=0)*(COUNTIFS($C$3:$P$3,"NOTTE",$C27:$P27,AL$3)=0))+((AL27&lt;&gt;"Xn")*(COUNTIFS($C$3:$P$3,"MAT",$C27:$P27,AL$3)=0)*(COUNTIFS($C$3:$P$3,"POM",$C27:$P27,AL$3)=0)*(COUNTIFS($C$3:$P$3,"NOTTE",$C27:$P27,AL$3)=0))=3,AL$3&amp;", ",AL$3&amp;IF((AL27&lt;&gt;"Xm")*(COUNTIFS($C$3:$P$3,"MAT",$C27:$P27,AL$3)=0)*(COUNTIFS($C$3:$P$3,"NOTTE",$C27:$P27,AL$3)=0),"_m","")&amp;IF((AL27&lt;&gt;"Xp")*(COUNTIFS($C$3:$P$3,"POM",$C27:$P27,AL$3)=0)*(COUNTIFS($C$3:$P$3,"NOTTE",$C27:$P27,AL$3)=0),"_p","")&amp;IF((AL27&lt;&gt;"Xn")*(COUNTIFS($C$3:$P$3,"MAT",$C27:$P27,AL$3)=0)*(COUNTIFS($C$3:$P$3,"POM",$C27:$P27,AL$3)=0)*(COUNTIFS($C$3:$P$3,"NOTTE",$C27:$P27,AL$3)=0),"_n","")&amp;", ")))</f>
        <v/>
      </c>
      <c r="CP27" s="1" t="str">
        <f aca="false">IF((AM27="X")+(AM27="Gn")+(AM27="C")+(AM26="Gn")&gt;0,"",IF(((AM27&lt;&gt;"Xm")*(COUNTIFS($C$3:$P$3,"MAT",$C27:$P27,AM$3)=0)*(COUNTIFS($C$3:$P$3,"NOTTE",$C27:$P27,AM$3)=0))+((AM27&lt;&gt;"Xp")*(COUNTIFS($C$3:$P$3,"POM",$C27:$P27,AM$3)=0)*(COUNTIFS($C$3:$P$3,"NOTTE",$C27:$P27,AM$3)=0))+((AM27&lt;&gt;"Xn")*(COUNTIFS($C$3:$P$3,"MAT",$C27:$P27,AM$3)=0)*(COUNTIFS($C$3:$P$3,"POM",$C27:$P27,AM$3)=0)*(COUNTIFS($C$3:$P$3,"NOTTE",$C27:$P27,AM$3)=0))=0,"",IF(((AM27&lt;&gt;"Xm")*(COUNTIFS($C$3:$P$3,"MAT",$C27:$P27,AM$3)=0)*(COUNTIFS($C$3:$P$3,"NOTTE",$C27:$P27,AM$3)=0))+((AM27&lt;&gt;"Xp")*(COUNTIFS($C$3:$P$3,"POM",$C27:$P27,AM$3)=0)*(COUNTIFS($C$3:$P$3,"NOTTE",$C27:$P27,AM$3)=0))+((AM27&lt;&gt;"Xn")*(COUNTIFS($C$3:$P$3,"MAT",$C27:$P27,AM$3)=0)*(COUNTIFS($C$3:$P$3,"POM",$C27:$P27,AM$3)=0)*(COUNTIFS($C$3:$P$3,"NOTTE",$C27:$P27,AM$3)=0))=3,AM$3&amp;", ",AM$3&amp;IF((AM27&lt;&gt;"Xm")*(COUNTIFS($C$3:$P$3,"MAT",$C27:$P27,AM$3)=0)*(COUNTIFS($C$3:$P$3,"NOTTE",$C27:$P27,AM$3)=0),"_m","")&amp;IF((AM27&lt;&gt;"Xp")*(COUNTIFS($C$3:$P$3,"POM",$C27:$P27,AM$3)=0)*(COUNTIFS($C$3:$P$3,"NOTTE",$C27:$P27,AM$3)=0),"_p","")&amp;IF((AM27&lt;&gt;"Xn")*(COUNTIFS($C$3:$P$3,"MAT",$C27:$P27,AM$3)=0)*(COUNTIFS($C$3:$P$3,"POM",$C27:$P27,AM$3)=0)*(COUNTIFS($C$3:$P$3,"NOTTE",$C27:$P27,AM$3)=0),"_n","")&amp;", ")))</f>
        <v/>
      </c>
      <c r="CQ27" s="1" t="str">
        <f aca="false">IF((AN27="X")+(AN27="Gn")+(AN27="C")+(AN26="Gn")&gt;0,"",IF(((AN27&lt;&gt;"Xm")*(COUNTIFS($C$3:$P$3,"MAT",$C27:$P27,AN$3)=0)*(COUNTIFS($C$3:$P$3,"NOTTE",$C27:$P27,AN$3)=0))+((AN27&lt;&gt;"Xp")*(COUNTIFS($C$3:$P$3,"POM",$C27:$P27,AN$3)=0)*(COUNTIFS($C$3:$P$3,"NOTTE",$C27:$P27,AN$3)=0))+((AN27&lt;&gt;"Xn")*(COUNTIFS($C$3:$P$3,"MAT",$C27:$P27,AN$3)=0)*(COUNTIFS($C$3:$P$3,"POM",$C27:$P27,AN$3)=0)*(COUNTIFS($C$3:$P$3,"NOTTE",$C27:$P27,AN$3)=0))=0,"",IF(((AN27&lt;&gt;"Xm")*(COUNTIFS($C$3:$P$3,"MAT",$C27:$P27,AN$3)=0)*(COUNTIFS($C$3:$P$3,"NOTTE",$C27:$P27,AN$3)=0))+((AN27&lt;&gt;"Xp")*(COUNTIFS($C$3:$P$3,"POM",$C27:$P27,AN$3)=0)*(COUNTIFS($C$3:$P$3,"NOTTE",$C27:$P27,AN$3)=0))+((AN27&lt;&gt;"Xn")*(COUNTIFS($C$3:$P$3,"MAT",$C27:$P27,AN$3)=0)*(COUNTIFS($C$3:$P$3,"POM",$C27:$P27,AN$3)=0)*(COUNTIFS($C$3:$P$3,"NOTTE",$C27:$P27,AN$3)=0))=3,AN$3&amp;", ",AN$3&amp;IF((AN27&lt;&gt;"Xm")*(COUNTIFS($C$3:$P$3,"MAT",$C27:$P27,AN$3)=0)*(COUNTIFS($C$3:$P$3,"NOTTE",$C27:$P27,AN$3)=0),"_m","")&amp;IF((AN27&lt;&gt;"Xp")*(COUNTIFS($C$3:$P$3,"POM",$C27:$P27,AN$3)=0)*(COUNTIFS($C$3:$P$3,"NOTTE",$C27:$P27,AN$3)=0),"_p","")&amp;IF((AN27&lt;&gt;"Xn")*(COUNTIFS($C$3:$P$3,"MAT",$C27:$P27,AN$3)=0)*(COUNTIFS($C$3:$P$3,"POM",$C27:$P27,AN$3)=0)*(COUNTIFS($C$3:$P$3,"NOTTE",$C27:$P27,AN$3)=0),"_n","")&amp;", ")))</f>
        <v/>
      </c>
    </row>
    <row r="28" customFormat="false" ht="15" hidden="false" customHeight="true" outlineLevel="0" collapsed="false">
      <c r="A28" s="15" t="str">
        <f aca="false">CHOOSE(WEEKDAY(DATE($B$1,$A$2,B28),2),"lunedì","martedì","mercoledì","giovedì","venerdì","sabato","domenica")</f>
        <v>mercoledì</v>
      </c>
      <c r="B28" s="15" t="n">
        <v>25</v>
      </c>
      <c r="C28" s="16" t="s">
        <v>28</v>
      </c>
      <c r="D28" s="16" t="s">
        <v>28</v>
      </c>
      <c r="E28" s="16" t="s">
        <v>30</v>
      </c>
      <c r="F28" s="16" t="s">
        <v>30</v>
      </c>
      <c r="G28" s="16" t="s">
        <v>26</v>
      </c>
      <c r="H28" s="16" t="s">
        <v>26</v>
      </c>
      <c r="I28" s="16" t="s">
        <v>31</v>
      </c>
      <c r="J28" s="16" t="s">
        <v>31</v>
      </c>
      <c r="K28" s="16" t="s">
        <v>36</v>
      </c>
      <c r="L28" s="16"/>
      <c r="M28" s="16" t="s">
        <v>29</v>
      </c>
      <c r="N28" s="16" t="s">
        <v>25</v>
      </c>
      <c r="O28" s="16" t="s">
        <v>25</v>
      </c>
      <c r="P28" s="16" t="s">
        <v>23</v>
      </c>
      <c r="Q28" s="16"/>
      <c r="R28" s="16" t="str">
        <f aca="false">IF(SUMPRODUCT(($C$3:$P$3&lt;&gt;"")*($C28:$P28&lt;&gt;"")*(COUNTIFS($C28:$P28,$C28:$P28,$C$3:$P$3,$C$3:$P$3)&gt;1))&gt;0,"X","")</f>
        <v/>
      </c>
      <c r="S28" s="17" t="str">
        <f aca="false"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L, GALLINA, VERDI, HU, MARINI, CONTI A, CONTI S, GRECO, LI</v>
      </c>
      <c r="T28" s="17" t="str">
        <f aca="false"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HU_m, CONTI S, GRECO, LI_p</v>
      </c>
      <c r="Y28" s="15" t="str">
        <f aca="false">A28</f>
        <v>mercoledì</v>
      </c>
      <c r="Z28" s="15" t="n">
        <f aca="false">B28</f>
        <v>25</v>
      </c>
      <c r="AA28" s="16"/>
      <c r="AB28" s="16"/>
      <c r="AC28" s="16"/>
      <c r="AD28" s="16"/>
      <c r="AE28" s="16" t="s">
        <v>44</v>
      </c>
      <c r="AF28" s="16"/>
      <c r="AG28" s="16"/>
      <c r="AH28" s="16"/>
      <c r="AI28" s="16"/>
      <c r="AJ28" s="16"/>
      <c r="AK28" s="16" t="s">
        <v>44</v>
      </c>
      <c r="AL28" s="16"/>
      <c r="AM28" s="16" t="s">
        <v>51</v>
      </c>
      <c r="AN28" s="16"/>
      <c r="BO28" s="1" t="str">
        <f aca="false">IF((AA28="X")+(AA28="Gn")+(AA28="C")+(AA27="Gn")&gt;0,"",IF(((AA28&lt;&gt;"Xm"))+((AA28&lt;&gt;"Xp"))+((AA28&lt;&gt;"Xn"))=0,"",IF(((AA28&lt;&gt;"Xm"))+((AA28&lt;&gt;"Xp"))+((AA28&lt;&gt;"Xn"))=3,AA$3&amp;", ",AA$3&amp;IF((AA28&lt;&gt;"Xm"),"_m","")&amp;IF((AA28&lt;&gt;"Xp"),"_p","")&amp;IF((AA28&lt;&gt;"Xn"),"_n","")&amp;", ")))</f>
        <v>LEONI, </v>
      </c>
      <c r="BP28" s="1" t="str">
        <f aca="false">IF((AB28="X")+(AB28="Gn")+(AB28="C")+(AB27="Gn")&gt;0,"",IF(((AB28&lt;&gt;"Xm"))+((AB28&lt;&gt;"Xp"))+((AB28&lt;&gt;"Xn"))=0,"",IF(((AB28&lt;&gt;"Xm"))+((AB28&lt;&gt;"Xp"))+((AB28&lt;&gt;"Xn"))=3,AB$3&amp;", ",AB$3&amp;IF((AB28&lt;&gt;"Xm"),"_m","")&amp;IF((AB28&lt;&gt;"Xp"),"_p","")&amp;IF((AB28&lt;&gt;"Xn"),"_n","")&amp;", ")))</f>
        <v/>
      </c>
      <c r="BQ28" s="1" t="str">
        <f aca="false">IF((AC28="X")+(AC28="Gn")+(AC28="C")+(AC27="Gn")&gt;0,"",IF(((AC28&lt;&gt;"Xm"))+((AC28&lt;&gt;"Xp"))+((AC28&lt;&gt;"Xn"))=0,"",IF(((AC28&lt;&gt;"Xm"))+((AC28&lt;&gt;"Xp"))+((AC28&lt;&gt;"Xn"))=3,AC$3&amp;", ",AC$3&amp;IF((AC28&lt;&gt;"Xm"),"_m","")&amp;IF((AC28&lt;&gt;"Xp"),"_p","")&amp;IF((AC28&lt;&gt;"Xn"),"_n","")&amp;", ")))</f>
        <v>ROSSI L, </v>
      </c>
      <c r="BR28" s="1" t="str">
        <f aca="false">IF((AD28="X")+(AD28="Gn")+(AD28="C")+(AD27="Gn")&gt;0,"",IF(((AD28&lt;&gt;"Xm"))+((AD28&lt;&gt;"Xp"))+((AD28&lt;&gt;"Xn"))=0,"",IF(((AD28&lt;&gt;"Xm"))+((AD28&lt;&gt;"Xp"))+((AD28&lt;&gt;"Xn"))=3,AD$3&amp;", ",AD$3&amp;IF((AD28&lt;&gt;"Xm"),"_m","")&amp;IF((AD28&lt;&gt;"Xp"),"_p","")&amp;IF((AD28&lt;&gt;"Xn"),"_n","")&amp;", ")))</f>
        <v>GALLINA, </v>
      </c>
      <c r="BS28" s="1" t="str">
        <f aca="false">IF((AE28="X")+(AE28="Gn")+(AE28="C")+(AE27="Gn")&gt;0,"",IF(((AE28&lt;&gt;"Xm"))+((AE28&lt;&gt;"Xp"))+((AE28&lt;&gt;"Xn"))=0,"",IF(((AE28&lt;&gt;"Xm"))+((AE28&lt;&gt;"Xp"))+((AE28&lt;&gt;"Xn"))=3,AE$3&amp;", ",AE$3&amp;IF((AE28&lt;&gt;"Xm"),"_m","")&amp;IF((AE28&lt;&gt;"Xp"),"_p","")&amp;IF((AE28&lt;&gt;"Xn"),"_n","")&amp;", ")))</f>
        <v/>
      </c>
      <c r="BT28" s="1" t="str">
        <f aca="false">IF((AF28="X")+(AF28="Gn")+(AF28="C")+(AF27="Gn")&gt;0,"",IF(((AF28&lt;&gt;"Xm"))+((AF28&lt;&gt;"Xp"))+((AF28&lt;&gt;"Xn"))=0,"",IF(((AF28&lt;&gt;"Xm"))+((AF28&lt;&gt;"Xp"))+((AF28&lt;&gt;"Xn"))=3,AF$3&amp;", ",AF$3&amp;IF((AF28&lt;&gt;"Xm"),"_m","")&amp;IF((AF28&lt;&gt;"Xp"),"_p","")&amp;IF((AF28&lt;&gt;"Xn"),"_n","")&amp;", ")))</f>
        <v>VERDI, </v>
      </c>
      <c r="BU28" s="1" t="str">
        <f aca="false">IF((AG28="X")+(AG28="Gn")+(AG28="C")+(AG27="Gn")&gt;0,"",IF(((AG28&lt;&gt;"Xm"))+((AG28&lt;&gt;"Xp"))+((AG28&lt;&gt;"Xn"))=0,"",IF(((AG28&lt;&gt;"Xm"))+((AG28&lt;&gt;"Xp"))+((AG28&lt;&gt;"Xn"))=3,AG$3&amp;", ",AG$3&amp;IF((AG28&lt;&gt;"Xm"),"_m","")&amp;IF((AG28&lt;&gt;"Xp"),"_p","")&amp;IF((AG28&lt;&gt;"Xn"),"_n","")&amp;", ")))</f>
        <v>HU, </v>
      </c>
      <c r="BV28" s="1" t="str">
        <f aca="false">IF((AH28="X")+(AH28="Gn")+(AH28="C")+(AH27="Gn")&gt;0,"",IF(((AH28&lt;&gt;"Xm"))+((AH28&lt;&gt;"Xp"))+((AH28&lt;&gt;"Xn"))=0,"",IF(((AH28&lt;&gt;"Xm"))+((AH28&lt;&gt;"Xp"))+((AH28&lt;&gt;"Xn"))=3,AH$3&amp;", ",AH$3&amp;IF((AH28&lt;&gt;"Xm"),"_m","")&amp;IF((AH28&lt;&gt;"Xp"),"_p","")&amp;IF((AH28&lt;&gt;"Xn"),"_n","")&amp;", ")))</f>
        <v>MARINI, </v>
      </c>
      <c r="BW28" s="1" t="str">
        <f aca="false">IF((AI28="X")+(AI28="Gn")+(AI28="C")+(AI27="Gn")&gt;0,"",IF(((AI28&lt;&gt;"Xm"))+((AI28&lt;&gt;"Xp"))+((AI28&lt;&gt;"Xn"))=0,"",IF(((AI28&lt;&gt;"Xm"))+((AI28&lt;&gt;"Xp"))+((AI28&lt;&gt;"Xn"))=3,AI$3&amp;", ",AI$3&amp;IF((AI28&lt;&gt;"Xm"),"_m","")&amp;IF((AI28&lt;&gt;"Xp"),"_p","")&amp;IF((AI28&lt;&gt;"Xn"),"_n","")&amp;", ")))</f>
        <v>CONTI A, </v>
      </c>
      <c r="BX28" s="1" t="str">
        <f aca="false">IF((AJ28="X")+(AJ28="Gn")+(AJ28="C")+(AJ27="Gn")&gt;0,"",IF(((AJ28&lt;&gt;"Xm"))+((AJ28&lt;&gt;"Xp"))+((AJ28&lt;&gt;"Xn"))=0,"",IF(((AJ28&lt;&gt;"Xm"))+((AJ28&lt;&gt;"Xp"))+((AJ28&lt;&gt;"Xn"))=3,AJ$3&amp;", ",AJ$3&amp;IF((AJ28&lt;&gt;"Xm"),"_m","")&amp;IF((AJ28&lt;&gt;"Xp"),"_p","")&amp;IF((AJ28&lt;&gt;"Xn"),"_n","")&amp;", ")))</f>
        <v>CONTI S, </v>
      </c>
      <c r="BY28" s="1" t="str">
        <f aca="false">IF((AK28="X")+(AK28="Gn")+(AK28="C")+(AK27="Gn")&gt;0,"",IF(((AK28&lt;&gt;"Xm"))+((AK28&lt;&gt;"Xp"))+((AK28&lt;&gt;"Xn"))=0,"",IF(((AK28&lt;&gt;"Xm"))+((AK28&lt;&gt;"Xp"))+((AK28&lt;&gt;"Xn"))=3,AK$3&amp;", ",AK$3&amp;IF((AK28&lt;&gt;"Xm"),"_m","")&amp;IF((AK28&lt;&gt;"Xp"),"_p","")&amp;IF((AK28&lt;&gt;"Xn"),"_n","")&amp;", ")))</f>
        <v/>
      </c>
      <c r="BZ28" s="1" t="str">
        <f aca="false">IF((AL28="X")+(AL28="Gn")+(AL28="C")+(AL27="Gn")&gt;0,"",IF(((AL28&lt;&gt;"Xm"))+((AL28&lt;&gt;"Xp"))+((AL28&lt;&gt;"Xn"))=0,"",IF(((AL28&lt;&gt;"Xm"))+((AL28&lt;&gt;"Xp"))+((AL28&lt;&gt;"Xn"))=3,AL$3&amp;", ",AL$3&amp;IF((AL28&lt;&gt;"Xm"),"_m","")&amp;IF((AL28&lt;&gt;"Xp"),"_p","")&amp;IF((AL28&lt;&gt;"Xn"),"_n","")&amp;", ")))</f>
        <v>GRECO, </v>
      </c>
      <c r="CA28" s="1" t="str">
        <f aca="false">IF((AM28="X")+(AM28="Gn")+(AM28="C")+(AM27="Gn")&gt;0,"",IF(((AM28&lt;&gt;"Xm"))+((AM28&lt;&gt;"Xp"))+((AM28&lt;&gt;"Xn"))=0,"",IF(((AM28&lt;&gt;"Xm"))+((AM28&lt;&gt;"Xp"))+((AM28&lt;&gt;"Xn"))=3,AM$3&amp;", ",AM$3&amp;IF((AM28&lt;&gt;"Xm"),"_m","")&amp;IF((AM28&lt;&gt;"Xp"),"_p","")&amp;IF((AM28&lt;&gt;"Xn"),"_n","")&amp;", ")))</f>
        <v/>
      </c>
      <c r="CB28" s="1" t="str">
        <f aca="false">IF((AN28="X")+(AN28="Gn")+(AN28="C")+(AN27="Gn")&gt;0,"",IF(((AN28&lt;&gt;"Xm"))+((AN28&lt;&gt;"Xp"))+((AN28&lt;&gt;"Xn"))=0,"",IF(((AN28&lt;&gt;"Xm"))+((AN28&lt;&gt;"Xp"))+((AN28&lt;&gt;"Xn"))=3,AN$3&amp;", ",AN$3&amp;IF((AN28&lt;&gt;"Xm"),"_m","")&amp;IF((AN28&lt;&gt;"Xp"),"_p","")&amp;IF((AN28&lt;&gt;"Xn"),"_n","")&amp;", ")))</f>
        <v>LI, </v>
      </c>
      <c r="CD28" s="1" t="str">
        <f aca="false">IF((AA28="X")+(AA28="Gn")+(AA28="C")+(AA27="Gn")&gt;0,"",IF(((AA28&lt;&gt;"Xm")*(COUNTIFS($C$3:$P$3,"MAT",$C28:$P28,AA$3)=0)*(COUNTIFS($C$3:$P$3,"NOTTE",$C28:$P28,AA$3)=0))+((AA28&lt;&gt;"Xp")*(COUNTIFS($C$3:$P$3,"POM",$C28:$P28,AA$3)=0)*(COUNTIFS($C$3:$P$3,"NOTTE",$C28:$P28,AA$3)=0))+((AA28&lt;&gt;"Xn")*(COUNTIFS($C$3:$P$3,"MAT",$C28:$P28,AA$3)=0)*(COUNTIFS($C$3:$P$3,"POM",$C28:$P28,AA$3)=0)*(COUNTIFS($C$3:$P$3,"NOTTE",$C28:$P28,AA$3)=0))=0,"",IF(((AA28&lt;&gt;"Xm")*(COUNTIFS($C$3:$P$3,"MAT",$C28:$P28,AA$3)=0)*(COUNTIFS($C$3:$P$3,"NOTTE",$C28:$P28,AA$3)=0))+((AA28&lt;&gt;"Xp")*(COUNTIFS($C$3:$P$3,"POM",$C28:$P28,AA$3)=0)*(COUNTIFS($C$3:$P$3,"NOTTE",$C28:$P28,AA$3)=0))+((AA28&lt;&gt;"Xn")*(COUNTIFS($C$3:$P$3,"MAT",$C28:$P28,AA$3)=0)*(COUNTIFS($C$3:$P$3,"POM",$C28:$P28,AA$3)=0)*(COUNTIFS($C$3:$P$3,"NOTTE",$C28:$P28,AA$3)=0))=3,AA$3&amp;", ",AA$3&amp;IF((AA28&lt;&gt;"Xm")*(COUNTIFS($C$3:$P$3,"MAT",$C28:$P28,AA$3)=0)*(COUNTIFS($C$3:$P$3,"NOTTE",$C28:$P28,AA$3)=0),"_m","")&amp;IF((AA28&lt;&gt;"Xp")*(COUNTIFS($C$3:$P$3,"POM",$C28:$P28,AA$3)=0)*(COUNTIFS($C$3:$P$3,"NOTTE",$C28:$P28,AA$3)=0),"_p","")&amp;IF((AA28&lt;&gt;"Xn")*(COUNTIFS($C$3:$P$3,"MAT",$C28:$P28,AA$3)=0)*(COUNTIFS($C$3:$P$3,"POM",$C28:$P28,AA$3)=0)*(COUNTIFS($C$3:$P$3,"NOTTE",$C28:$P28,AA$3)=0),"_n","")&amp;", ")))</f>
        <v/>
      </c>
      <c r="CE28" s="1" t="str">
        <f aca="false">IF((AB28="X")+(AB28="Gn")+(AB28="C")+(AB27="Gn")&gt;0,"",IF(((AB28&lt;&gt;"Xm")*(COUNTIFS($C$3:$P$3,"MAT",$C28:$P28,AB$3)=0)*(COUNTIFS($C$3:$P$3,"NOTTE",$C28:$P28,AB$3)=0))+((AB28&lt;&gt;"Xp")*(COUNTIFS($C$3:$P$3,"POM",$C28:$P28,AB$3)=0)*(COUNTIFS($C$3:$P$3,"NOTTE",$C28:$P28,AB$3)=0))+((AB28&lt;&gt;"Xn")*(COUNTIFS($C$3:$P$3,"MAT",$C28:$P28,AB$3)=0)*(COUNTIFS($C$3:$P$3,"POM",$C28:$P28,AB$3)=0)*(COUNTIFS($C$3:$P$3,"NOTTE",$C28:$P28,AB$3)=0))=0,"",IF(((AB28&lt;&gt;"Xm")*(COUNTIFS($C$3:$P$3,"MAT",$C28:$P28,AB$3)=0)*(COUNTIFS($C$3:$P$3,"NOTTE",$C28:$P28,AB$3)=0))+((AB28&lt;&gt;"Xp")*(COUNTIFS($C$3:$P$3,"POM",$C28:$P28,AB$3)=0)*(COUNTIFS($C$3:$P$3,"NOTTE",$C28:$P28,AB$3)=0))+((AB28&lt;&gt;"Xn")*(COUNTIFS($C$3:$P$3,"MAT",$C28:$P28,AB$3)=0)*(COUNTIFS($C$3:$P$3,"POM",$C28:$P28,AB$3)=0)*(COUNTIFS($C$3:$P$3,"NOTTE",$C28:$P28,AB$3)=0))=3,AB$3&amp;", ",AB$3&amp;IF((AB28&lt;&gt;"Xm")*(COUNTIFS($C$3:$P$3,"MAT",$C28:$P28,AB$3)=0)*(COUNTIFS($C$3:$P$3,"NOTTE",$C28:$P28,AB$3)=0),"_m","")&amp;IF((AB28&lt;&gt;"Xp")*(COUNTIFS($C$3:$P$3,"POM",$C28:$P28,AB$3)=0)*(COUNTIFS($C$3:$P$3,"NOTTE",$C28:$P28,AB$3)=0),"_p","")&amp;IF((AB28&lt;&gt;"Xn")*(COUNTIFS($C$3:$P$3,"MAT",$C28:$P28,AB$3)=0)*(COUNTIFS($C$3:$P$3,"POM",$C28:$P28,AB$3)=0)*(COUNTIFS($C$3:$P$3,"NOTTE",$C28:$P28,AB$3)=0),"_n","")&amp;", ")))</f>
        <v/>
      </c>
      <c r="CF28" s="1" t="str">
        <f aca="false">IF((AC28="X")+(AC28="Gn")+(AC28="C")+(AC27="Gn")&gt;0,"",IF(((AC28&lt;&gt;"Xm")*(COUNTIFS($C$3:$P$3,"MAT",$C28:$P28,AC$3)=0)*(COUNTIFS($C$3:$P$3,"NOTTE",$C28:$P28,AC$3)=0))+((AC28&lt;&gt;"Xp")*(COUNTIFS($C$3:$P$3,"POM",$C28:$P28,AC$3)=0)*(COUNTIFS($C$3:$P$3,"NOTTE",$C28:$P28,AC$3)=0))+((AC28&lt;&gt;"Xn")*(COUNTIFS($C$3:$P$3,"MAT",$C28:$P28,AC$3)=0)*(COUNTIFS($C$3:$P$3,"POM",$C28:$P28,AC$3)=0)*(COUNTIFS($C$3:$P$3,"NOTTE",$C28:$P28,AC$3)=0))=0,"",IF(((AC28&lt;&gt;"Xm")*(COUNTIFS($C$3:$P$3,"MAT",$C28:$P28,AC$3)=0)*(COUNTIFS($C$3:$P$3,"NOTTE",$C28:$P28,AC$3)=0))+((AC28&lt;&gt;"Xp")*(COUNTIFS($C$3:$P$3,"POM",$C28:$P28,AC$3)=0)*(COUNTIFS($C$3:$P$3,"NOTTE",$C28:$P28,AC$3)=0))+((AC28&lt;&gt;"Xn")*(COUNTIFS($C$3:$P$3,"MAT",$C28:$P28,AC$3)=0)*(COUNTIFS($C$3:$P$3,"POM",$C28:$P28,AC$3)=0)*(COUNTIFS($C$3:$P$3,"NOTTE",$C28:$P28,AC$3)=0))=3,AC$3&amp;", ",AC$3&amp;IF((AC28&lt;&gt;"Xm")*(COUNTIFS($C$3:$P$3,"MAT",$C28:$P28,AC$3)=0)*(COUNTIFS($C$3:$P$3,"NOTTE",$C28:$P28,AC$3)=0),"_m","")&amp;IF((AC28&lt;&gt;"Xp")*(COUNTIFS($C$3:$P$3,"POM",$C28:$P28,AC$3)=0)*(COUNTIFS($C$3:$P$3,"NOTTE",$C28:$P28,AC$3)=0),"_p","")&amp;IF((AC28&lt;&gt;"Xn")*(COUNTIFS($C$3:$P$3,"MAT",$C28:$P28,AC$3)=0)*(COUNTIFS($C$3:$P$3,"POM",$C28:$P28,AC$3)=0)*(COUNTIFS($C$3:$P$3,"NOTTE",$C28:$P28,AC$3)=0),"_n","")&amp;", ")))</f>
        <v/>
      </c>
      <c r="CG28" s="1" t="str">
        <f aca="false">IF((AD28="X")+(AD28="Gn")+(AD28="C")+(AD27="Gn")&gt;0,"",IF(((AD28&lt;&gt;"Xm")*(COUNTIFS($C$3:$P$3,"MAT",$C28:$P28,AD$3)=0)*(COUNTIFS($C$3:$P$3,"NOTTE",$C28:$P28,AD$3)=0))+((AD28&lt;&gt;"Xp")*(COUNTIFS($C$3:$P$3,"POM",$C28:$P28,AD$3)=0)*(COUNTIFS($C$3:$P$3,"NOTTE",$C28:$P28,AD$3)=0))+((AD28&lt;&gt;"Xn")*(COUNTIFS($C$3:$P$3,"MAT",$C28:$P28,AD$3)=0)*(COUNTIFS($C$3:$P$3,"POM",$C28:$P28,AD$3)=0)*(COUNTIFS($C$3:$P$3,"NOTTE",$C28:$P28,AD$3)=0))=0,"",IF(((AD28&lt;&gt;"Xm")*(COUNTIFS($C$3:$P$3,"MAT",$C28:$P28,AD$3)=0)*(COUNTIFS($C$3:$P$3,"NOTTE",$C28:$P28,AD$3)=0))+((AD28&lt;&gt;"Xp")*(COUNTIFS($C$3:$P$3,"POM",$C28:$P28,AD$3)=0)*(COUNTIFS($C$3:$P$3,"NOTTE",$C28:$P28,AD$3)=0))+((AD28&lt;&gt;"Xn")*(COUNTIFS($C$3:$P$3,"MAT",$C28:$P28,AD$3)=0)*(COUNTIFS($C$3:$P$3,"POM",$C28:$P28,AD$3)=0)*(COUNTIFS($C$3:$P$3,"NOTTE",$C28:$P28,AD$3)=0))=3,AD$3&amp;", ",AD$3&amp;IF((AD28&lt;&gt;"Xm")*(COUNTIFS($C$3:$P$3,"MAT",$C28:$P28,AD$3)=0)*(COUNTIFS($C$3:$P$3,"NOTTE",$C28:$P28,AD$3)=0),"_m","")&amp;IF((AD28&lt;&gt;"Xp")*(COUNTIFS($C$3:$P$3,"POM",$C28:$P28,AD$3)=0)*(COUNTIFS($C$3:$P$3,"NOTTE",$C28:$P28,AD$3)=0),"_p","")&amp;IF((AD28&lt;&gt;"Xn")*(COUNTIFS($C$3:$P$3,"MAT",$C28:$P28,AD$3)=0)*(COUNTIFS($C$3:$P$3,"POM",$C28:$P28,AD$3)=0)*(COUNTIFS($C$3:$P$3,"NOTTE",$C28:$P28,AD$3)=0),"_n","")&amp;", ")))</f>
        <v/>
      </c>
      <c r="CH28" s="1" t="str">
        <f aca="false">IF((AE28="X")+(AE28="Gn")+(AE28="C")+(AE27="Gn")&gt;0,"",IF(((AE28&lt;&gt;"Xm")*(COUNTIFS($C$3:$P$3,"MAT",$C28:$P28,AE$3)=0)*(COUNTIFS($C$3:$P$3,"NOTTE",$C28:$P28,AE$3)=0))+((AE28&lt;&gt;"Xp")*(COUNTIFS($C$3:$P$3,"POM",$C28:$P28,AE$3)=0)*(COUNTIFS($C$3:$P$3,"NOTTE",$C28:$P28,AE$3)=0))+((AE28&lt;&gt;"Xn")*(COUNTIFS($C$3:$P$3,"MAT",$C28:$P28,AE$3)=0)*(COUNTIFS($C$3:$P$3,"POM",$C28:$P28,AE$3)=0)*(COUNTIFS($C$3:$P$3,"NOTTE",$C28:$P28,AE$3)=0))=0,"",IF(((AE28&lt;&gt;"Xm")*(COUNTIFS($C$3:$P$3,"MAT",$C28:$P28,AE$3)=0)*(COUNTIFS($C$3:$P$3,"NOTTE",$C28:$P28,AE$3)=0))+((AE28&lt;&gt;"Xp")*(COUNTIFS($C$3:$P$3,"POM",$C28:$P28,AE$3)=0)*(COUNTIFS($C$3:$P$3,"NOTTE",$C28:$P28,AE$3)=0))+((AE28&lt;&gt;"Xn")*(COUNTIFS($C$3:$P$3,"MAT",$C28:$P28,AE$3)=0)*(COUNTIFS($C$3:$P$3,"POM",$C28:$P28,AE$3)=0)*(COUNTIFS($C$3:$P$3,"NOTTE",$C28:$P28,AE$3)=0))=3,AE$3&amp;", ",AE$3&amp;IF((AE28&lt;&gt;"Xm")*(COUNTIFS($C$3:$P$3,"MAT",$C28:$P28,AE$3)=0)*(COUNTIFS($C$3:$P$3,"NOTTE",$C28:$P28,AE$3)=0),"_m","")&amp;IF((AE28&lt;&gt;"Xp")*(COUNTIFS($C$3:$P$3,"POM",$C28:$P28,AE$3)=0)*(COUNTIFS($C$3:$P$3,"NOTTE",$C28:$P28,AE$3)=0),"_p","")&amp;IF((AE28&lt;&gt;"Xn")*(COUNTIFS($C$3:$P$3,"MAT",$C28:$P28,AE$3)=0)*(COUNTIFS($C$3:$P$3,"POM",$C28:$P28,AE$3)=0)*(COUNTIFS($C$3:$P$3,"NOTTE",$C28:$P28,AE$3)=0),"_n","")&amp;", ")))</f>
        <v/>
      </c>
      <c r="CI28" s="1" t="str">
        <f aca="false">IF((AF28="X")+(AF28="Gn")+(AF28="C")+(AF27="Gn")&gt;0,"",IF(((AF28&lt;&gt;"Xm")*(COUNTIFS($C$3:$P$3,"MAT",$C28:$P28,AF$3)=0)*(COUNTIFS($C$3:$P$3,"NOTTE",$C28:$P28,AF$3)=0))+((AF28&lt;&gt;"Xp")*(COUNTIFS($C$3:$P$3,"POM",$C28:$P28,AF$3)=0)*(COUNTIFS($C$3:$P$3,"NOTTE",$C28:$P28,AF$3)=0))+((AF28&lt;&gt;"Xn")*(COUNTIFS($C$3:$P$3,"MAT",$C28:$P28,AF$3)=0)*(COUNTIFS($C$3:$P$3,"POM",$C28:$P28,AF$3)=0)*(COUNTIFS($C$3:$P$3,"NOTTE",$C28:$P28,AF$3)=0))=0,"",IF(((AF28&lt;&gt;"Xm")*(COUNTIFS($C$3:$P$3,"MAT",$C28:$P28,AF$3)=0)*(COUNTIFS($C$3:$P$3,"NOTTE",$C28:$P28,AF$3)=0))+((AF28&lt;&gt;"Xp")*(COUNTIFS($C$3:$P$3,"POM",$C28:$P28,AF$3)=0)*(COUNTIFS($C$3:$P$3,"NOTTE",$C28:$P28,AF$3)=0))+((AF28&lt;&gt;"Xn")*(COUNTIFS($C$3:$P$3,"MAT",$C28:$P28,AF$3)=0)*(COUNTIFS($C$3:$P$3,"POM",$C28:$P28,AF$3)=0)*(COUNTIFS($C$3:$P$3,"NOTTE",$C28:$P28,AF$3)=0))=3,AF$3&amp;", ",AF$3&amp;IF((AF28&lt;&gt;"Xm")*(COUNTIFS($C$3:$P$3,"MAT",$C28:$P28,AF$3)=0)*(COUNTIFS($C$3:$P$3,"NOTTE",$C28:$P28,AF$3)=0),"_m","")&amp;IF((AF28&lt;&gt;"Xp")*(COUNTIFS($C$3:$P$3,"POM",$C28:$P28,AF$3)=0)*(COUNTIFS($C$3:$P$3,"NOTTE",$C28:$P28,AF$3)=0),"_p","")&amp;IF((AF28&lt;&gt;"Xn")*(COUNTIFS($C$3:$P$3,"MAT",$C28:$P28,AF$3)=0)*(COUNTIFS($C$3:$P$3,"POM",$C28:$P28,AF$3)=0)*(COUNTIFS($C$3:$P$3,"NOTTE",$C28:$P28,AF$3)=0),"_n","")&amp;", ")))</f>
        <v/>
      </c>
      <c r="CJ28" s="1" t="str">
        <f aca="false">IF((AG28="X")+(AG28="Gn")+(AG28="C")+(AG27="Gn")&gt;0,"",IF(((AG28&lt;&gt;"Xm")*(COUNTIFS($C$3:$P$3,"MAT",$C28:$P28,AG$3)=0)*(COUNTIFS($C$3:$P$3,"NOTTE",$C28:$P28,AG$3)=0))+((AG28&lt;&gt;"Xp")*(COUNTIFS($C$3:$P$3,"POM",$C28:$P28,AG$3)=0)*(COUNTIFS($C$3:$P$3,"NOTTE",$C28:$P28,AG$3)=0))+((AG28&lt;&gt;"Xn")*(COUNTIFS($C$3:$P$3,"MAT",$C28:$P28,AG$3)=0)*(COUNTIFS($C$3:$P$3,"POM",$C28:$P28,AG$3)=0)*(COUNTIFS($C$3:$P$3,"NOTTE",$C28:$P28,AG$3)=0))=0,"",IF(((AG28&lt;&gt;"Xm")*(COUNTIFS($C$3:$P$3,"MAT",$C28:$P28,AG$3)=0)*(COUNTIFS($C$3:$P$3,"NOTTE",$C28:$P28,AG$3)=0))+((AG28&lt;&gt;"Xp")*(COUNTIFS($C$3:$P$3,"POM",$C28:$P28,AG$3)=0)*(COUNTIFS($C$3:$P$3,"NOTTE",$C28:$P28,AG$3)=0))+((AG28&lt;&gt;"Xn")*(COUNTIFS($C$3:$P$3,"MAT",$C28:$P28,AG$3)=0)*(COUNTIFS($C$3:$P$3,"POM",$C28:$P28,AG$3)=0)*(COUNTIFS($C$3:$P$3,"NOTTE",$C28:$P28,AG$3)=0))=3,AG$3&amp;", ",AG$3&amp;IF((AG28&lt;&gt;"Xm")*(COUNTIFS($C$3:$P$3,"MAT",$C28:$P28,AG$3)=0)*(COUNTIFS($C$3:$P$3,"NOTTE",$C28:$P28,AG$3)=0),"_m","")&amp;IF((AG28&lt;&gt;"Xp")*(COUNTIFS($C$3:$P$3,"POM",$C28:$P28,AG$3)=0)*(COUNTIFS($C$3:$P$3,"NOTTE",$C28:$P28,AG$3)=0),"_p","")&amp;IF((AG28&lt;&gt;"Xn")*(COUNTIFS($C$3:$P$3,"MAT",$C28:$P28,AG$3)=0)*(COUNTIFS($C$3:$P$3,"POM",$C28:$P28,AG$3)=0)*(COUNTIFS($C$3:$P$3,"NOTTE",$C28:$P28,AG$3)=0),"_n","")&amp;", ")))</f>
        <v>HU_m, </v>
      </c>
      <c r="CK28" s="1" t="str">
        <f aca="false">IF((AH28="X")+(AH28="Gn")+(AH28="C")+(AH27="Gn")&gt;0,"",IF(((AH28&lt;&gt;"Xm")*(COUNTIFS($C$3:$P$3,"MAT",$C28:$P28,AH$3)=0)*(COUNTIFS($C$3:$P$3,"NOTTE",$C28:$P28,AH$3)=0))+((AH28&lt;&gt;"Xp")*(COUNTIFS($C$3:$P$3,"POM",$C28:$P28,AH$3)=0)*(COUNTIFS($C$3:$P$3,"NOTTE",$C28:$P28,AH$3)=0))+((AH28&lt;&gt;"Xn")*(COUNTIFS($C$3:$P$3,"MAT",$C28:$P28,AH$3)=0)*(COUNTIFS($C$3:$P$3,"POM",$C28:$P28,AH$3)=0)*(COUNTIFS($C$3:$P$3,"NOTTE",$C28:$P28,AH$3)=0))=0,"",IF(((AH28&lt;&gt;"Xm")*(COUNTIFS($C$3:$P$3,"MAT",$C28:$P28,AH$3)=0)*(COUNTIFS($C$3:$P$3,"NOTTE",$C28:$P28,AH$3)=0))+((AH28&lt;&gt;"Xp")*(COUNTIFS($C$3:$P$3,"POM",$C28:$P28,AH$3)=0)*(COUNTIFS($C$3:$P$3,"NOTTE",$C28:$P28,AH$3)=0))+((AH28&lt;&gt;"Xn")*(COUNTIFS($C$3:$P$3,"MAT",$C28:$P28,AH$3)=0)*(COUNTIFS($C$3:$P$3,"POM",$C28:$P28,AH$3)=0)*(COUNTIFS($C$3:$P$3,"NOTTE",$C28:$P28,AH$3)=0))=3,AH$3&amp;", ",AH$3&amp;IF((AH28&lt;&gt;"Xm")*(COUNTIFS($C$3:$P$3,"MAT",$C28:$P28,AH$3)=0)*(COUNTIFS($C$3:$P$3,"NOTTE",$C28:$P28,AH$3)=0),"_m","")&amp;IF((AH28&lt;&gt;"Xp")*(COUNTIFS($C$3:$P$3,"POM",$C28:$P28,AH$3)=0)*(COUNTIFS($C$3:$P$3,"NOTTE",$C28:$P28,AH$3)=0),"_p","")&amp;IF((AH28&lt;&gt;"Xn")*(COUNTIFS($C$3:$P$3,"MAT",$C28:$P28,AH$3)=0)*(COUNTIFS($C$3:$P$3,"POM",$C28:$P28,AH$3)=0)*(COUNTIFS($C$3:$P$3,"NOTTE",$C28:$P28,AH$3)=0),"_n","")&amp;", ")))</f>
        <v/>
      </c>
      <c r="CL28" s="1" t="str">
        <f aca="false">IF((AI28="X")+(AI28="Gn")+(AI28="C")+(AI27="Gn")&gt;0,"",IF(((AI28&lt;&gt;"Xm")*(COUNTIFS($C$3:$P$3,"MAT",$C28:$P28,AI$3)=0)*(COUNTIFS($C$3:$P$3,"NOTTE",$C28:$P28,AI$3)=0))+((AI28&lt;&gt;"Xp")*(COUNTIFS($C$3:$P$3,"POM",$C28:$P28,AI$3)=0)*(COUNTIFS($C$3:$P$3,"NOTTE",$C28:$P28,AI$3)=0))+((AI28&lt;&gt;"Xn")*(COUNTIFS($C$3:$P$3,"MAT",$C28:$P28,AI$3)=0)*(COUNTIFS($C$3:$P$3,"POM",$C28:$P28,AI$3)=0)*(COUNTIFS($C$3:$P$3,"NOTTE",$C28:$P28,AI$3)=0))=0,"",IF(((AI28&lt;&gt;"Xm")*(COUNTIFS($C$3:$P$3,"MAT",$C28:$P28,AI$3)=0)*(COUNTIFS($C$3:$P$3,"NOTTE",$C28:$P28,AI$3)=0))+((AI28&lt;&gt;"Xp")*(COUNTIFS($C$3:$P$3,"POM",$C28:$P28,AI$3)=0)*(COUNTIFS($C$3:$P$3,"NOTTE",$C28:$P28,AI$3)=0))+((AI28&lt;&gt;"Xn")*(COUNTIFS($C$3:$P$3,"MAT",$C28:$P28,AI$3)=0)*(COUNTIFS($C$3:$P$3,"POM",$C28:$P28,AI$3)=0)*(COUNTIFS($C$3:$P$3,"NOTTE",$C28:$P28,AI$3)=0))=3,AI$3&amp;", ",AI$3&amp;IF((AI28&lt;&gt;"Xm")*(COUNTIFS($C$3:$P$3,"MAT",$C28:$P28,AI$3)=0)*(COUNTIFS($C$3:$P$3,"NOTTE",$C28:$P28,AI$3)=0),"_m","")&amp;IF((AI28&lt;&gt;"Xp")*(COUNTIFS($C$3:$P$3,"POM",$C28:$P28,AI$3)=0)*(COUNTIFS($C$3:$P$3,"NOTTE",$C28:$P28,AI$3)=0),"_p","")&amp;IF((AI28&lt;&gt;"Xn")*(COUNTIFS($C$3:$P$3,"MAT",$C28:$P28,AI$3)=0)*(COUNTIFS($C$3:$P$3,"POM",$C28:$P28,AI$3)=0)*(COUNTIFS($C$3:$P$3,"NOTTE",$C28:$P28,AI$3)=0),"_n","")&amp;", ")))</f>
        <v/>
      </c>
      <c r="CM28" s="1" t="str">
        <f aca="false">IF((AJ28="X")+(AJ28="Gn")+(AJ28="C")+(AJ27="Gn")&gt;0,"",IF(((AJ28&lt;&gt;"Xm")*(COUNTIFS($C$3:$P$3,"MAT",$C28:$P28,AJ$3)=0)*(COUNTIFS($C$3:$P$3,"NOTTE",$C28:$P28,AJ$3)=0))+((AJ28&lt;&gt;"Xp")*(COUNTIFS($C$3:$P$3,"POM",$C28:$P28,AJ$3)=0)*(COUNTIFS($C$3:$P$3,"NOTTE",$C28:$P28,AJ$3)=0))+((AJ28&lt;&gt;"Xn")*(COUNTIFS($C$3:$P$3,"MAT",$C28:$P28,AJ$3)=0)*(COUNTIFS($C$3:$P$3,"POM",$C28:$P28,AJ$3)=0)*(COUNTIFS($C$3:$P$3,"NOTTE",$C28:$P28,AJ$3)=0))=0,"",IF(((AJ28&lt;&gt;"Xm")*(COUNTIFS($C$3:$P$3,"MAT",$C28:$P28,AJ$3)=0)*(COUNTIFS($C$3:$P$3,"NOTTE",$C28:$P28,AJ$3)=0))+((AJ28&lt;&gt;"Xp")*(COUNTIFS($C$3:$P$3,"POM",$C28:$P28,AJ$3)=0)*(COUNTIFS($C$3:$P$3,"NOTTE",$C28:$P28,AJ$3)=0))+((AJ28&lt;&gt;"Xn")*(COUNTIFS($C$3:$P$3,"MAT",$C28:$P28,AJ$3)=0)*(COUNTIFS($C$3:$P$3,"POM",$C28:$P28,AJ$3)=0)*(COUNTIFS($C$3:$P$3,"NOTTE",$C28:$P28,AJ$3)=0))=3,AJ$3&amp;", ",AJ$3&amp;IF((AJ28&lt;&gt;"Xm")*(COUNTIFS($C$3:$P$3,"MAT",$C28:$P28,AJ$3)=0)*(COUNTIFS($C$3:$P$3,"NOTTE",$C28:$P28,AJ$3)=0),"_m","")&amp;IF((AJ28&lt;&gt;"Xp")*(COUNTIFS($C$3:$P$3,"POM",$C28:$P28,AJ$3)=0)*(COUNTIFS($C$3:$P$3,"NOTTE",$C28:$P28,AJ$3)=0),"_p","")&amp;IF((AJ28&lt;&gt;"Xn")*(COUNTIFS($C$3:$P$3,"MAT",$C28:$P28,AJ$3)=0)*(COUNTIFS($C$3:$P$3,"POM",$C28:$P28,AJ$3)=0)*(COUNTIFS($C$3:$P$3,"NOTTE",$C28:$P28,AJ$3)=0),"_n","")&amp;", ")))</f>
        <v>CONTI S, </v>
      </c>
      <c r="CN28" s="1" t="str">
        <f aca="false">IF((AK28="X")+(AK28="Gn")+(AK28="C")+(AK27="Gn")&gt;0,"",IF(((AK28&lt;&gt;"Xm")*(COUNTIFS($C$3:$P$3,"MAT",$C28:$P28,AK$3)=0)*(COUNTIFS($C$3:$P$3,"NOTTE",$C28:$P28,AK$3)=0))+((AK28&lt;&gt;"Xp")*(COUNTIFS($C$3:$P$3,"POM",$C28:$P28,AK$3)=0)*(COUNTIFS($C$3:$P$3,"NOTTE",$C28:$P28,AK$3)=0))+((AK28&lt;&gt;"Xn")*(COUNTIFS($C$3:$P$3,"MAT",$C28:$P28,AK$3)=0)*(COUNTIFS($C$3:$P$3,"POM",$C28:$P28,AK$3)=0)*(COUNTIFS($C$3:$P$3,"NOTTE",$C28:$P28,AK$3)=0))=0,"",IF(((AK28&lt;&gt;"Xm")*(COUNTIFS($C$3:$P$3,"MAT",$C28:$P28,AK$3)=0)*(COUNTIFS($C$3:$P$3,"NOTTE",$C28:$P28,AK$3)=0))+((AK28&lt;&gt;"Xp")*(COUNTIFS($C$3:$P$3,"POM",$C28:$P28,AK$3)=0)*(COUNTIFS($C$3:$P$3,"NOTTE",$C28:$P28,AK$3)=0))+((AK28&lt;&gt;"Xn")*(COUNTIFS($C$3:$P$3,"MAT",$C28:$P28,AK$3)=0)*(COUNTIFS($C$3:$P$3,"POM",$C28:$P28,AK$3)=0)*(COUNTIFS($C$3:$P$3,"NOTTE",$C28:$P28,AK$3)=0))=3,AK$3&amp;", ",AK$3&amp;IF((AK28&lt;&gt;"Xm")*(COUNTIFS($C$3:$P$3,"MAT",$C28:$P28,AK$3)=0)*(COUNTIFS($C$3:$P$3,"NOTTE",$C28:$P28,AK$3)=0),"_m","")&amp;IF((AK28&lt;&gt;"Xp")*(COUNTIFS($C$3:$P$3,"POM",$C28:$P28,AK$3)=0)*(COUNTIFS($C$3:$P$3,"NOTTE",$C28:$P28,AK$3)=0),"_p","")&amp;IF((AK28&lt;&gt;"Xn")*(COUNTIFS($C$3:$P$3,"MAT",$C28:$P28,AK$3)=0)*(COUNTIFS($C$3:$P$3,"POM",$C28:$P28,AK$3)=0)*(COUNTIFS($C$3:$P$3,"NOTTE",$C28:$P28,AK$3)=0),"_n","")&amp;", ")))</f>
        <v/>
      </c>
      <c r="CO28" s="1" t="str">
        <f aca="false">IF((AL28="X")+(AL28="Gn")+(AL28="C")+(AL27="Gn")&gt;0,"",IF(((AL28&lt;&gt;"Xm")*(COUNTIFS($C$3:$P$3,"MAT",$C28:$P28,AL$3)=0)*(COUNTIFS($C$3:$P$3,"NOTTE",$C28:$P28,AL$3)=0))+((AL28&lt;&gt;"Xp")*(COUNTIFS($C$3:$P$3,"POM",$C28:$P28,AL$3)=0)*(COUNTIFS($C$3:$P$3,"NOTTE",$C28:$P28,AL$3)=0))+((AL28&lt;&gt;"Xn")*(COUNTIFS($C$3:$P$3,"MAT",$C28:$P28,AL$3)=0)*(COUNTIFS($C$3:$P$3,"POM",$C28:$P28,AL$3)=0)*(COUNTIFS($C$3:$P$3,"NOTTE",$C28:$P28,AL$3)=0))=0,"",IF(((AL28&lt;&gt;"Xm")*(COUNTIFS($C$3:$P$3,"MAT",$C28:$P28,AL$3)=0)*(COUNTIFS($C$3:$P$3,"NOTTE",$C28:$P28,AL$3)=0))+((AL28&lt;&gt;"Xp")*(COUNTIFS($C$3:$P$3,"POM",$C28:$P28,AL$3)=0)*(COUNTIFS($C$3:$P$3,"NOTTE",$C28:$P28,AL$3)=0))+((AL28&lt;&gt;"Xn")*(COUNTIFS($C$3:$P$3,"MAT",$C28:$P28,AL$3)=0)*(COUNTIFS($C$3:$P$3,"POM",$C28:$P28,AL$3)=0)*(COUNTIFS($C$3:$P$3,"NOTTE",$C28:$P28,AL$3)=0))=3,AL$3&amp;", ",AL$3&amp;IF((AL28&lt;&gt;"Xm")*(COUNTIFS($C$3:$P$3,"MAT",$C28:$P28,AL$3)=0)*(COUNTIFS($C$3:$P$3,"NOTTE",$C28:$P28,AL$3)=0),"_m","")&amp;IF((AL28&lt;&gt;"Xp")*(COUNTIFS($C$3:$P$3,"POM",$C28:$P28,AL$3)=0)*(COUNTIFS($C$3:$P$3,"NOTTE",$C28:$P28,AL$3)=0),"_p","")&amp;IF((AL28&lt;&gt;"Xn")*(COUNTIFS($C$3:$P$3,"MAT",$C28:$P28,AL$3)=0)*(COUNTIFS($C$3:$P$3,"POM",$C28:$P28,AL$3)=0)*(COUNTIFS($C$3:$P$3,"NOTTE",$C28:$P28,AL$3)=0),"_n","")&amp;", ")))</f>
        <v>GRECO, </v>
      </c>
      <c r="CP28" s="1" t="str">
        <f aca="false">IF((AM28="X")+(AM28="Gn")+(AM28="C")+(AM27="Gn")&gt;0,"",IF(((AM28&lt;&gt;"Xm")*(COUNTIFS($C$3:$P$3,"MAT",$C28:$P28,AM$3)=0)*(COUNTIFS($C$3:$P$3,"NOTTE",$C28:$P28,AM$3)=0))+((AM28&lt;&gt;"Xp")*(COUNTIFS($C$3:$P$3,"POM",$C28:$P28,AM$3)=0)*(COUNTIFS($C$3:$P$3,"NOTTE",$C28:$P28,AM$3)=0))+((AM28&lt;&gt;"Xn")*(COUNTIFS($C$3:$P$3,"MAT",$C28:$P28,AM$3)=0)*(COUNTIFS($C$3:$P$3,"POM",$C28:$P28,AM$3)=0)*(COUNTIFS($C$3:$P$3,"NOTTE",$C28:$P28,AM$3)=0))=0,"",IF(((AM28&lt;&gt;"Xm")*(COUNTIFS($C$3:$P$3,"MAT",$C28:$P28,AM$3)=0)*(COUNTIFS($C$3:$P$3,"NOTTE",$C28:$P28,AM$3)=0))+((AM28&lt;&gt;"Xp")*(COUNTIFS($C$3:$P$3,"POM",$C28:$P28,AM$3)=0)*(COUNTIFS($C$3:$P$3,"NOTTE",$C28:$P28,AM$3)=0))+((AM28&lt;&gt;"Xn")*(COUNTIFS($C$3:$P$3,"MAT",$C28:$P28,AM$3)=0)*(COUNTIFS($C$3:$P$3,"POM",$C28:$P28,AM$3)=0)*(COUNTIFS($C$3:$P$3,"NOTTE",$C28:$P28,AM$3)=0))=3,AM$3&amp;", ",AM$3&amp;IF((AM28&lt;&gt;"Xm")*(COUNTIFS($C$3:$P$3,"MAT",$C28:$P28,AM$3)=0)*(COUNTIFS($C$3:$P$3,"NOTTE",$C28:$P28,AM$3)=0),"_m","")&amp;IF((AM28&lt;&gt;"Xp")*(COUNTIFS($C$3:$P$3,"POM",$C28:$P28,AM$3)=0)*(COUNTIFS($C$3:$P$3,"NOTTE",$C28:$P28,AM$3)=0),"_p","")&amp;IF((AM28&lt;&gt;"Xn")*(COUNTIFS($C$3:$P$3,"MAT",$C28:$P28,AM$3)=0)*(COUNTIFS($C$3:$P$3,"POM",$C28:$P28,AM$3)=0)*(COUNTIFS($C$3:$P$3,"NOTTE",$C28:$P28,AM$3)=0),"_n","")&amp;", ")))</f>
        <v/>
      </c>
      <c r="CQ28" s="1" t="str">
        <f aca="false">IF((AN28="X")+(AN28="Gn")+(AN28="C")+(AN27="Gn")&gt;0,"",IF(((AN28&lt;&gt;"Xm")*(COUNTIFS($C$3:$P$3,"MAT",$C28:$P28,AN$3)=0)*(COUNTIFS($C$3:$P$3,"NOTTE",$C28:$P28,AN$3)=0))+((AN28&lt;&gt;"Xp")*(COUNTIFS($C$3:$P$3,"POM",$C28:$P28,AN$3)=0)*(COUNTIFS($C$3:$P$3,"NOTTE",$C28:$P28,AN$3)=0))+((AN28&lt;&gt;"Xn")*(COUNTIFS($C$3:$P$3,"MAT",$C28:$P28,AN$3)=0)*(COUNTIFS($C$3:$P$3,"POM",$C28:$P28,AN$3)=0)*(COUNTIFS($C$3:$P$3,"NOTTE",$C28:$P28,AN$3)=0))=0,"",IF(((AN28&lt;&gt;"Xm")*(COUNTIFS($C$3:$P$3,"MAT",$C28:$P28,AN$3)=0)*(COUNTIFS($C$3:$P$3,"NOTTE",$C28:$P28,AN$3)=0))+((AN28&lt;&gt;"Xp")*(COUNTIFS($C$3:$P$3,"POM",$C28:$P28,AN$3)=0)*(COUNTIFS($C$3:$P$3,"NOTTE",$C28:$P28,AN$3)=0))+((AN28&lt;&gt;"Xn")*(COUNTIFS($C$3:$P$3,"MAT",$C28:$P28,AN$3)=0)*(COUNTIFS($C$3:$P$3,"POM",$C28:$P28,AN$3)=0)*(COUNTIFS($C$3:$P$3,"NOTTE",$C28:$P28,AN$3)=0))=3,AN$3&amp;", ",AN$3&amp;IF((AN28&lt;&gt;"Xm")*(COUNTIFS($C$3:$P$3,"MAT",$C28:$P28,AN$3)=0)*(COUNTIFS($C$3:$P$3,"NOTTE",$C28:$P28,AN$3)=0),"_m","")&amp;IF((AN28&lt;&gt;"Xp")*(COUNTIFS($C$3:$P$3,"POM",$C28:$P28,AN$3)=0)*(COUNTIFS($C$3:$P$3,"NOTTE",$C28:$P28,AN$3)=0),"_p","")&amp;IF((AN28&lt;&gt;"Xn")*(COUNTIFS($C$3:$P$3,"MAT",$C28:$P28,AN$3)=0)*(COUNTIFS($C$3:$P$3,"POM",$C28:$P28,AN$3)=0)*(COUNTIFS($C$3:$P$3,"NOTTE",$C28:$P28,AN$3)=0),"_n","")&amp;", ")))</f>
        <v>LI_p, </v>
      </c>
    </row>
    <row r="29" customFormat="false" ht="15" hidden="false" customHeight="true" outlineLevel="0" collapsed="false">
      <c r="A29" s="15" t="str">
        <f aca="false">CHOOSE(WEEKDAY(DATE($B$1,$A$2,B29),2),"lunedì","martedì","mercoledì","giovedì","venerdì","sabato","domenica")</f>
        <v>giovedì</v>
      </c>
      <c r="B29" s="15" t="n">
        <v>26</v>
      </c>
      <c r="C29" s="16" t="s">
        <v>26</v>
      </c>
      <c r="D29" s="16" t="s">
        <v>24</v>
      </c>
      <c r="E29" s="16" t="s">
        <v>35</v>
      </c>
      <c r="F29" s="16" t="s">
        <v>36</v>
      </c>
      <c r="G29" s="16" t="s">
        <v>29</v>
      </c>
      <c r="H29" s="16" t="s">
        <v>29</v>
      </c>
      <c r="I29" s="16" t="s">
        <v>31</v>
      </c>
      <c r="J29" s="16" t="s">
        <v>31</v>
      </c>
      <c r="K29" s="16"/>
      <c r="L29" s="16"/>
      <c r="M29" s="16" t="s">
        <v>35</v>
      </c>
      <c r="N29" s="16" t="s">
        <v>24</v>
      </c>
      <c r="O29" s="16" t="s">
        <v>25</v>
      </c>
      <c r="P29" s="16" t="s">
        <v>28</v>
      </c>
      <c r="Q29" s="16"/>
      <c r="R29" s="16" t="str">
        <f aca="false">IF(SUMPRODUCT(($C$3:$P$3&lt;&gt;"")*($C29:$P29&lt;&gt;"")*(COUNTIFS($C29:$P29,$C29:$P29,$C$3:$P$3,$C$3:$P$3)&gt;1))&gt;0,"X","")</f>
        <v/>
      </c>
      <c r="S29" s="17" t="str">
        <f aca="false"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L_p_n, GALLINA, VERDI, HU, MARINI, CONTI A, GRECO, SANNA, LI</v>
      </c>
      <c r="T29" s="17" t="str">
        <f aca="false"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GALLINA_p, MARINI, GRECO, LI_m</v>
      </c>
      <c r="Y29" s="15" t="str">
        <f aca="false">A29</f>
        <v>giovedì</v>
      </c>
      <c r="Z29" s="15" t="n">
        <f aca="false">B29</f>
        <v>26</v>
      </c>
      <c r="AA29" s="16"/>
      <c r="AB29" s="16"/>
      <c r="AC29" s="16" t="s">
        <v>46</v>
      </c>
      <c r="AD29" s="16"/>
      <c r="AE29" s="16"/>
      <c r="AF29" s="16"/>
      <c r="AG29" s="16"/>
      <c r="AH29" s="16"/>
      <c r="AI29" s="16"/>
      <c r="AJ29" s="16" t="s">
        <v>42</v>
      </c>
      <c r="AK29" s="16"/>
      <c r="AL29" s="16"/>
      <c r="AM29" s="16"/>
      <c r="AN29" s="16"/>
      <c r="BO29" s="1" t="str">
        <f aca="false">IF((AA29="X")+(AA29="Gn")+(AA29="C")+(AA28="Gn")&gt;0,"",IF(((AA29&lt;&gt;"Xm"))+((AA29&lt;&gt;"Xp"))+((AA29&lt;&gt;"Xn"))=0,"",IF(((AA29&lt;&gt;"Xm"))+((AA29&lt;&gt;"Xp"))+((AA29&lt;&gt;"Xn"))=3,AA$3&amp;", ",AA$3&amp;IF((AA29&lt;&gt;"Xm"),"_m","")&amp;IF((AA29&lt;&gt;"Xp"),"_p","")&amp;IF((AA29&lt;&gt;"Xn"),"_n","")&amp;", ")))</f>
        <v>LEONI, </v>
      </c>
      <c r="BP29" s="1" t="str">
        <f aca="false">IF((AB29="X")+(AB29="Gn")+(AB29="C")+(AB28="Gn")&gt;0,"",IF(((AB29&lt;&gt;"Xm"))+((AB29&lt;&gt;"Xp"))+((AB29&lt;&gt;"Xn"))=0,"",IF(((AB29&lt;&gt;"Xm"))+((AB29&lt;&gt;"Xp"))+((AB29&lt;&gt;"Xn"))=3,AB$3&amp;", ",AB$3&amp;IF((AB29&lt;&gt;"Xm"),"_m","")&amp;IF((AB29&lt;&gt;"Xp"),"_p","")&amp;IF((AB29&lt;&gt;"Xn"),"_n","")&amp;", ")))</f>
        <v>ROSSI M, </v>
      </c>
      <c r="BQ29" s="1" t="str">
        <f aca="false">IF((AC29="X")+(AC29="Gn")+(AC29="C")+(AC28="Gn")&gt;0,"",IF(((AC29&lt;&gt;"Xm"))+((AC29&lt;&gt;"Xp"))+((AC29&lt;&gt;"Xn"))=0,"",IF(((AC29&lt;&gt;"Xm"))+((AC29&lt;&gt;"Xp"))+((AC29&lt;&gt;"Xn"))=3,AC$3&amp;", ",AC$3&amp;IF((AC29&lt;&gt;"Xm"),"_m","")&amp;IF((AC29&lt;&gt;"Xp"),"_p","")&amp;IF((AC29&lt;&gt;"Xn"),"_n","")&amp;", ")))</f>
        <v>ROSSI L_p_n, </v>
      </c>
      <c r="BR29" s="1" t="str">
        <f aca="false">IF((AD29="X")+(AD29="Gn")+(AD29="C")+(AD28="Gn")&gt;0,"",IF(((AD29&lt;&gt;"Xm"))+((AD29&lt;&gt;"Xp"))+((AD29&lt;&gt;"Xn"))=0,"",IF(((AD29&lt;&gt;"Xm"))+((AD29&lt;&gt;"Xp"))+((AD29&lt;&gt;"Xn"))=3,AD$3&amp;", ",AD$3&amp;IF((AD29&lt;&gt;"Xm"),"_m","")&amp;IF((AD29&lt;&gt;"Xp"),"_p","")&amp;IF((AD29&lt;&gt;"Xn"),"_n","")&amp;", ")))</f>
        <v>GALLINA, </v>
      </c>
      <c r="BS29" s="1" t="str">
        <f aca="false">IF((AE29="X")+(AE29="Gn")+(AE29="C")+(AE28="Gn")&gt;0,"",IF(((AE29&lt;&gt;"Xm"))+((AE29&lt;&gt;"Xp"))+((AE29&lt;&gt;"Xn"))=0,"",IF(((AE29&lt;&gt;"Xm"))+((AE29&lt;&gt;"Xp"))+((AE29&lt;&gt;"Xn"))=3,AE$3&amp;", ",AE$3&amp;IF((AE29&lt;&gt;"Xm"),"_m","")&amp;IF((AE29&lt;&gt;"Xp"),"_p","")&amp;IF((AE29&lt;&gt;"Xn"),"_n","")&amp;", ")))</f>
        <v/>
      </c>
      <c r="BT29" s="1" t="str">
        <f aca="false">IF((AF29="X")+(AF29="Gn")+(AF29="C")+(AF28="Gn")&gt;0,"",IF(((AF29&lt;&gt;"Xm"))+((AF29&lt;&gt;"Xp"))+((AF29&lt;&gt;"Xn"))=0,"",IF(((AF29&lt;&gt;"Xm"))+((AF29&lt;&gt;"Xp"))+((AF29&lt;&gt;"Xn"))=3,AF$3&amp;", ",AF$3&amp;IF((AF29&lt;&gt;"Xm"),"_m","")&amp;IF((AF29&lt;&gt;"Xp"),"_p","")&amp;IF((AF29&lt;&gt;"Xn"),"_n","")&amp;", ")))</f>
        <v>VERDI, </v>
      </c>
      <c r="BU29" s="1" t="str">
        <f aca="false">IF((AG29="X")+(AG29="Gn")+(AG29="C")+(AG28="Gn")&gt;0,"",IF(((AG29&lt;&gt;"Xm"))+((AG29&lt;&gt;"Xp"))+((AG29&lt;&gt;"Xn"))=0,"",IF(((AG29&lt;&gt;"Xm"))+((AG29&lt;&gt;"Xp"))+((AG29&lt;&gt;"Xn"))=3,AG$3&amp;", ",AG$3&amp;IF((AG29&lt;&gt;"Xm"),"_m","")&amp;IF((AG29&lt;&gt;"Xp"),"_p","")&amp;IF((AG29&lt;&gt;"Xn"),"_n","")&amp;", ")))</f>
        <v>HU, </v>
      </c>
      <c r="BV29" s="1" t="str">
        <f aca="false">IF((AH29="X")+(AH29="Gn")+(AH29="C")+(AH28="Gn")&gt;0,"",IF(((AH29&lt;&gt;"Xm"))+((AH29&lt;&gt;"Xp"))+((AH29&lt;&gt;"Xn"))=0,"",IF(((AH29&lt;&gt;"Xm"))+((AH29&lt;&gt;"Xp"))+((AH29&lt;&gt;"Xn"))=3,AH$3&amp;", ",AH$3&amp;IF((AH29&lt;&gt;"Xm"),"_m","")&amp;IF((AH29&lt;&gt;"Xp"),"_p","")&amp;IF((AH29&lt;&gt;"Xn"),"_n","")&amp;", ")))</f>
        <v>MARINI, </v>
      </c>
      <c r="BW29" s="1" t="str">
        <f aca="false">IF((AI29="X")+(AI29="Gn")+(AI29="C")+(AI28="Gn")&gt;0,"",IF(((AI29&lt;&gt;"Xm"))+((AI29&lt;&gt;"Xp"))+((AI29&lt;&gt;"Xn"))=0,"",IF(((AI29&lt;&gt;"Xm"))+((AI29&lt;&gt;"Xp"))+((AI29&lt;&gt;"Xn"))=3,AI$3&amp;", ",AI$3&amp;IF((AI29&lt;&gt;"Xm"),"_m","")&amp;IF((AI29&lt;&gt;"Xp"),"_p","")&amp;IF((AI29&lt;&gt;"Xn"),"_n","")&amp;", ")))</f>
        <v>CONTI A, </v>
      </c>
      <c r="BX29" s="1" t="str">
        <f aca="false">IF((AJ29="X")+(AJ29="Gn")+(AJ29="C")+(AJ28="Gn")&gt;0,"",IF(((AJ29&lt;&gt;"Xm"))+((AJ29&lt;&gt;"Xp"))+((AJ29&lt;&gt;"Xn"))=0,"",IF(((AJ29&lt;&gt;"Xm"))+((AJ29&lt;&gt;"Xp"))+((AJ29&lt;&gt;"Xn"))=3,AJ$3&amp;", ",AJ$3&amp;IF((AJ29&lt;&gt;"Xm"),"_m","")&amp;IF((AJ29&lt;&gt;"Xp"),"_p","")&amp;IF((AJ29&lt;&gt;"Xn"),"_n","")&amp;", ")))</f>
        <v/>
      </c>
      <c r="BY29" s="1" t="str">
        <f aca="false">IF((AK29="X")+(AK29="Gn")+(AK29="C")+(AK28="Gn")&gt;0,"",IF(((AK29&lt;&gt;"Xm"))+((AK29&lt;&gt;"Xp"))+((AK29&lt;&gt;"Xn"))=0,"",IF(((AK29&lt;&gt;"Xm"))+((AK29&lt;&gt;"Xp"))+((AK29&lt;&gt;"Xn"))=3,AK$3&amp;", ",AK$3&amp;IF((AK29&lt;&gt;"Xm"),"_m","")&amp;IF((AK29&lt;&gt;"Xp"),"_p","")&amp;IF((AK29&lt;&gt;"Xn"),"_n","")&amp;", ")))</f>
        <v/>
      </c>
      <c r="BZ29" s="1" t="str">
        <f aca="false">IF((AL29="X")+(AL29="Gn")+(AL29="C")+(AL28="Gn")&gt;0,"",IF(((AL29&lt;&gt;"Xm"))+((AL29&lt;&gt;"Xp"))+((AL29&lt;&gt;"Xn"))=0,"",IF(((AL29&lt;&gt;"Xm"))+((AL29&lt;&gt;"Xp"))+((AL29&lt;&gt;"Xn"))=3,AL$3&amp;", ",AL$3&amp;IF((AL29&lt;&gt;"Xm"),"_m","")&amp;IF((AL29&lt;&gt;"Xp"),"_p","")&amp;IF((AL29&lt;&gt;"Xn"),"_n","")&amp;", ")))</f>
        <v>GRECO, </v>
      </c>
      <c r="CA29" s="1" t="str">
        <f aca="false">IF((AM29="X")+(AM29="Gn")+(AM29="C")+(AM28="Gn")&gt;0,"",IF(((AM29&lt;&gt;"Xm"))+((AM29&lt;&gt;"Xp"))+((AM29&lt;&gt;"Xn"))=0,"",IF(((AM29&lt;&gt;"Xm"))+((AM29&lt;&gt;"Xp"))+((AM29&lt;&gt;"Xn"))=3,AM$3&amp;", ",AM$3&amp;IF((AM29&lt;&gt;"Xm"),"_m","")&amp;IF((AM29&lt;&gt;"Xp"),"_p","")&amp;IF((AM29&lt;&gt;"Xn"),"_n","")&amp;", ")))</f>
        <v>SANNA, </v>
      </c>
      <c r="CB29" s="1" t="str">
        <f aca="false">IF((AN29="X")+(AN29="Gn")+(AN29="C")+(AN28="Gn")&gt;0,"",IF(((AN29&lt;&gt;"Xm"))+((AN29&lt;&gt;"Xp"))+((AN29&lt;&gt;"Xn"))=0,"",IF(((AN29&lt;&gt;"Xm"))+((AN29&lt;&gt;"Xp"))+((AN29&lt;&gt;"Xn"))=3,AN$3&amp;", ",AN$3&amp;IF((AN29&lt;&gt;"Xm"),"_m","")&amp;IF((AN29&lt;&gt;"Xp"),"_p","")&amp;IF((AN29&lt;&gt;"Xn"),"_n","")&amp;", ")))</f>
        <v>LI, </v>
      </c>
      <c r="CD29" s="1" t="str">
        <f aca="false">IF((AA29="X")+(AA29="Gn")+(AA29="C")+(AA28="Gn")&gt;0,"",IF(((AA29&lt;&gt;"Xm")*(COUNTIFS($C$3:$P$3,"MAT",$C29:$P29,AA$3)=0)*(COUNTIFS($C$3:$P$3,"NOTTE",$C29:$P29,AA$3)=0))+((AA29&lt;&gt;"Xp")*(COUNTIFS($C$3:$P$3,"POM",$C29:$P29,AA$3)=0)*(COUNTIFS($C$3:$P$3,"NOTTE",$C29:$P29,AA$3)=0))+((AA29&lt;&gt;"Xn")*(COUNTIFS($C$3:$P$3,"MAT",$C29:$P29,AA$3)=0)*(COUNTIFS($C$3:$P$3,"POM",$C29:$P29,AA$3)=0)*(COUNTIFS($C$3:$P$3,"NOTTE",$C29:$P29,AA$3)=0))=0,"",IF(((AA29&lt;&gt;"Xm")*(COUNTIFS($C$3:$P$3,"MAT",$C29:$P29,AA$3)=0)*(COUNTIFS($C$3:$P$3,"NOTTE",$C29:$P29,AA$3)=0))+((AA29&lt;&gt;"Xp")*(COUNTIFS($C$3:$P$3,"POM",$C29:$P29,AA$3)=0)*(COUNTIFS($C$3:$P$3,"NOTTE",$C29:$P29,AA$3)=0))+((AA29&lt;&gt;"Xn")*(COUNTIFS($C$3:$P$3,"MAT",$C29:$P29,AA$3)=0)*(COUNTIFS($C$3:$P$3,"POM",$C29:$P29,AA$3)=0)*(COUNTIFS($C$3:$P$3,"NOTTE",$C29:$P29,AA$3)=0))=3,AA$3&amp;", ",AA$3&amp;IF((AA29&lt;&gt;"Xm")*(COUNTIFS($C$3:$P$3,"MAT",$C29:$P29,AA$3)=0)*(COUNTIFS($C$3:$P$3,"NOTTE",$C29:$P29,AA$3)=0),"_m","")&amp;IF((AA29&lt;&gt;"Xp")*(COUNTIFS($C$3:$P$3,"POM",$C29:$P29,AA$3)=0)*(COUNTIFS($C$3:$P$3,"NOTTE",$C29:$P29,AA$3)=0),"_p","")&amp;IF((AA29&lt;&gt;"Xn")*(COUNTIFS($C$3:$P$3,"MAT",$C29:$P29,AA$3)=0)*(COUNTIFS($C$3:$P$3,"POM",$C29:$P29,AA$3)=0)*(COUNTIFS($C$3:$P$3,"NOTTE",$C29:$P29,AA$3)=0),"_n","")&amp;", ")))</f>
        <v>LEONI, </v>
      </c>
      <c r="CE29" s="1" t="str">
        <f aca="false">IF((AB29="X")+(AB29="Gn")+(AB29="C")+(AB28="Gn")&gt;0,"",IF(((AB29&lt;&gt;"Xm")*(COUNTIFS($C$3:$P$3,"MAT",$C29:$P29,AB$3)=0)*(COUNTIFS($C$3:$P$3,"NOTTE",$C29:$P29,AB$3)=0))+((AB29&lt;&gt;"Xp")*(COUNTIFS($C$3:$P$3,"POM",$C29:$P29,AB$3)=0)*(COUNTIFS($C$3:$P$3,"NOTTE",$C29:$P29,AB$3)=0))+((AB29&lt;&gt;"Xn")*(COUNTIFS($C$3:$P$3,"MAT",$C29:$P29,AB$3)=0)*(COUNTIFS($C$3:$P$3,"POM",$C29:$P29,AB$3)=0)*(COUNTIFS($C$3:$P$3,"NOTTE",$C29:$P29,AB$3)=0))=0,"",IF(((AB29&lt;&gt;"Xm")*(COUNTIFS($C$3:$P$3,"MAT",$C29:$P29,AB$3)=0)*(COUNTIFS($C$3:$P$3,"NOTTE",$C29:$P29,AB$3)=0))+((AB29&lt;&gt;"Xp")*(COUNTIFS($C$3:$P$3,"POM",$C29:$P29,AB$3)=0)*(COUNTIFS($C$3:$P$3,"NOTTE",$C29:$P29,AB$3)=0))+((AB29&lt;&gt;"Xn")*(COUNTIFS($C$3:$P$3,"MAT",$C29:$P29,AB$3)=0)*(COUNTIFS($C$3:$P$3,"POM",$C29:$P29,AB$3)=0)*(COUNTIFS($C$3:$P$3,"NOTTE",$C29:$P29,AB$3)=0))=3,AB$3&amp;", ",AB$3&amp;IF((AB29&lt;&gt;"Xm")*(COUNTIFS($C$3:$P$3,"MAT",$C29:$P29,AB$3)=0)*(COUNTIFS($C$3:$P$3,"NOTTE",$C29:$P29,AB$3)=0),"_m","")&amp;IF((AB29&lt;&gt;"Xp")*(COUNTIFS($C$3:$P$3,"POM",$C29:$P29,AB$3)=0)*(COUNTIFS($C$3:$P$3,"NOTTE",$C29:$P29,AB$3)=0),"_p","")&amp;IF((AB29&lt;&gt;"Xn")*(COUNTIFS($C$3:$P$3,"MAT",$C29:$P29,AB$3)=0)*(COUNTIFS($C$3:$P$3,"POM",$C29:$P29,AB$3)=0)*(COUNTIFS($C$3:$P$3,"NOTTE",$C29:$P29,AB$3)=0),"_n","")&amp;", ")))</f>
        <v/>
      </c>
      <c r="CF29" s="1" t="str">
        <f aca="false">IF((AC29="X")+(AC29="Gn")+(AC29="C")+(AC28="Gn")&gt;0,"",IF(((AC29&lt;&gt;"Xm")*(COUNTIFS($C$3:$P$3,"MAT",$C29:$P29,AC$3)=0)*(COUNTIFS($C$3:$P$3,"NOTTE",$C29:$P29,AC$3)=0))+((AC29&lt;&gt;"Xp")*(COUNTIFS($C$3:$P$3,"POM",$C29:$P29,AC$3)=0)*(COUNTIFS($C$3:$P$3,"NOTTE",$C29:$P29,AC$3)=0))+((AC29&lt;&gt;"Xn")*(COUNTIFS($C$3:$P$3,"MAT",$C29:$P29,AC$3)=0)*(COUNTIFS($C$3:$P$3,"POM",$C29:$P29,AC$3)=0)*(COUNTIFS($C$3:$P$3,"NOTTE",$C29:$P29,AC$3)=0))=0,"",IF(((AC29&lt;&gt;"Xm")*(COUNTIFS($C$3:$P$3,"MAT",$C29:$P29,AC$3)=0)*(COUNTIFS($C$3:$P$3,"NOTTE",$C29:$P29,AC$3)=0))+((AC29&lt;&gt;"Xp")*(COUNTIFS($C$3:$P$3,"POM",$C29:$P29,AC$3)=0)*(COUNTIFS($C$3:$P$3,"NOTTE",$C29:$P29,AC$3)=0))+((AC29&lt;&gt;"Xn")*(COUNTIFS($C$3:$P$3,"MAT",$C29:$P29,AC$3)=0)*(COUNTIFS($C$3:$P$3,"POM",$C29:$P29,AC$3)=0)*(COUNTIFS($C$3:$P$3,"NOTTE",$C29:$P29,AC$3)=0))=3,AC$3&amp;", ",AC$3&amp;IF((AC29&lt;&gt;"Xm")*(COUNTIFS($C$3:$P$3,"MAT",$C29:$P29,AC$3)=0)*(COUNTIFS($C$3:$P$3,"NOTTE",$C29:$P29,AC$3)=0),"_m","")&amp;IF((AC29&lt;&gt;"Xp")*(COUNTIFS($C$3:$P$3,"POM",$C29:$P29,AC$3)=0)*(COUNTIFS($C$3:$P$3,"NOTTE",$C29:$P29,AC$3)=0),"_p","")&amp;IF((AC29&lt;&gt;"Xn")*(COUNTIFS($C$3:$P$3,"MAT",$C29:$P29,AC$3)=0)*(COUNTIFS($C$3:$P$3,"POM",$C29:$P29,AC$3)=0)*(COUNTIFS($C$3:$P$3,"NOTTE",$C29:$P29,AC$3)=0),"_n","")&amp;", ")))</f>
        <v/>
      </c>
      <c r="CG29" s="1" t="str">
        <f aca="false">IF((AD29="X")+(AD29="Gn")+(AD29="C")+(AD28="Gn")&gt;0,"",IF(((AD29&lt;&gt;"Xm")*(COUNTIFS($C$3:$P$3,"MAT",$C29:$P29,AD$3)=0)*(COUNTIFS($C$3:$P$3,"NOTTE",$C29:$P29,AD$3)=0))+((AD29&lt;&gt;"Xp")*(COUNTIFS($C$3:$P$3,"POM",$C29:$P29,AD$3)=0)*(COUNTIFS($C$3:$P$3,"NOTTE",$C29:$P29,AD$3)=0))+((AD29&lt;&gt;"Xn")*(COUNTIFS($C$3:$P$3,"MAT",$C29:$P29,AD$3)=0)*(COUNTIFS($C$3:$P$3,"POM",$C29:$P29,AD$3)=0)*(COUNTIFS($C$3:$P$3,"NOTTE",$C29:$P29,AD$3)=0))=0,"",IF(((AD29&lt;&gt;"Xm")*(COUNTIFS($C$3:$P$3,"MAT",$C29:$P29,AD$3)=0)*(COUNTIFS($C$3:$P$3,"NOTTE",$C29:$P29,AD$3)=0))+((AD29&lt;&gt;"Xp")*(COUNTIFS($C$3:$P$3,"POM",$C29:$P29,AD$3)=0)*(COUNTIFS($C$3:$P$3,"NOTTE",$C29:$P29,AD$3)=0))+((AD29&lt;&gt;"Xn")*(COUNTIFS($C$3:$P$3,"MAT",$C29:$P29,AD$3)=0)*(COUNTIFS($C$3:$P$3,"POM",$C29:$P29,AD$3)=0)*(COUNTIFS($C$3:$P$3,"NOTTE",$C29:$P29,AD$3)=0))=3,AD$3&amp;", ",AD$3&amp;IF((AD29&lt;&gt;"Xm")*(COUNTIFS($C$3:$P$3,"MAT",$C29:$P29,AD$3)=0)*(COUNTIFS($C$3:$P$3,"NOTTE",$C29:$P29,AD$3)=0),"_m","")&amp;IF((AD29&lt;&gt;"Xp")*(COUNTIFS($C$3:$P$3,"POM",$C29:$P29,AD$3)=0)*(COUNTIFS($C$3:$P$3,"NOTTE",$C29:$P29,AD$3)=0),"_p","")&amp;IF((AD29&lt;&gt;"Xn")*(COUNTIFS($C$3:$P$3,"MAT",$C29:$P29,AD$3)=0)*(COUNTIFS($C$3:$P$3,"POM",$C29:$P29,AD$3)=0)*(COUNTIFS($C$3:$P$3,"NOTTE",$C29:$P29,AD$3)=0),"_n","")&amp;", ")))</f>
        <v>GALLINA_p, </v>
      </c>
      <c r="CH29" s="1" t="str">
        <f aca="false">IF((AE29="X")+(AE29="Gn")+(AE29="C")+(AE28="Gn")&gt;0,"",IF(((AE29&lt;&gt;"Xm")*(COUNTIFS($C$3:$P$3,"MAT",$C29:$P29,AE$3)=0)*(COUNTIFS($C$3:$P$3,"NOTTE",$C29:$P29,AE$3)=0))+((AE29&lt;&gt;"Xp")*(COUNTIFS($C$3:$P$3,"POM",$C29:$P29,AE$3)=0)*(COUNTIFS($C$3:$P$3,"NOTTE",$C29:$P29,AE$3)=0))+((AE29&lt;&gt;"Xn")*(COUNTIFS($C$3:$P$3,"MAT",$C29:$P29,AE$3)=0)*(COUNTIFS($C$3:$P$3,"POM",$C29:$P29,AE$3)=0)*(COUNTIFS($C$3:$P$3,"NOTTE",$C29:$P29,AE$3)=0))=0,"",IF(((AE29&lt;&gt;"Xm")*(COUNTIFS($C$3:$P$3,"MAT",$C29:$P29,AE$3)=0)*(COUNTIFS($C$3:$P$3,"NOTTE",$C29:$P29,AE$3)=0))+((AE29&lt;&gt;"Xp")*(COUNTIFS($C$3:$P$3,"POM",$C29:$P29,AE$3)=0)*(COUNTIFS($C$3:$P$3,"NOTTE",$C29:$P29,AE$3)=0))+((AE29&lt;&gt;"Xn")*(COUNTIFS($C$3:$P$3,"MAT",$C29:$P29,AE$3)=0)*(COUNTIFS($C$3:$P$3,"POM",$C29:$P29,AE$3)=0)*(COUNTIFS($C$3:$P$3,"NOTTE",$C29:$P29,AE$3)=0))=3,AE$3&amp;", ",AE$3&amp;IF((AE29&lt;&gt;"Xm")*(COUNTIFS($C$3:$P$3,"MAT",$C29:$P29,AE$3)=0)*(COUNTIFS($C$3:$P$3,"NOTTE",$C29:$P29,AE$3)=0),"_m","")&amp;IF((AE29&lt;&gt;"Xp")*(COUNTIFS($C$3:$P$3,"POM",$C29:$P29,AE$3)=0)*(COUNTIFS($C$3:$P$3,"NOTTE",$C29:$P29,AE$3)=0),"_p","")&amp;IF((AE29&lt;&gt;"Xn")*(COUNTIFS($C$3:$P$3,"MAT",$C29:$P29,AE$3)=0)*(COUNTIFS($C$3:$P$3,"POM",$C29:$P29,AE$3)=0)*(COUNTIFS($C$3:$P$3,"NOTTE",$C29:$P29,AE$3)=0),"_n","")&amp;", ")))</f>
        <v/>
      </c>
      <c r="CI29" s="1" t="str">
        <f aca="false">IF((AF29="X")+(AF29="Gn")+(AF29="C")+(AF28="Gn")&gt;0,"",IF(((AF29&lt;&gt;"Xm")*(COUNTIFS($C$3:$P$3,"MAT",$C29:$P29,AF$3)=0)*(COUNTIFS($C$3:$P$3,"NOTTE",$C29:$P29,AF$3)=0))+((AF29&lt;&gt;"Xp")*(COUNTIFS($C$3:$P$3,"POM",$C29:$P29,AF$3)=0)*(COUNTIFS($C$3:$P$3,"NOTTE",$C29:$P29,AF$3)=0))+((AF29&lt;&gt;"Xn")*(COUNTIFS($C$3:$P$3,"MAT",$C29:$P29,AF$3)=0)*(COUNTIFS($C$3:$P$3,"POM",$C29:$P29,AF$3)=0)*(COUNTIFS($C$3:$P$3,"NOTTE",$C29:$P29,AF$3)=0))=0,"",IF(((AF29&lt;&gt;"Xm")*(COUNTIFS($C$3:$P$3,"MAT",$C29:$P29,AF$3)=0)*(COUNTIFS($C$3:$P$3,"NOTTE",$C29:$P29,AF$3)=0))+((AF29&lt;&gt;"Xp")*(COUNTIFS($C$3:$P$3,"POM",$C29:$P29,AF$3)=0)*(COUNTIFS($C$3:$P$3,"NOTTE",$C29:$P29,AF$3)=0))+((AF29&lt;&gt;"Xn")*(COUNTIFS($C$3:$P$3,"MAT",$C29:$P29,AF$3)=0)*(COUNTIFS($C$3:$P$3,"POM",$C29:$P29,AF$3)=0)*(COUNTIFS($C$3:$P$3,"NOTTE",$C29:$P29,AF$3)=0))=3,AF$3&amp;", ",AF$3&amp;IF((AF29&lt;&gt;"Xm")*(COUNTIFS($C$3:$P$3,"MAT",$C29:$P29,AF$3)=0)*(COUNTIFS($C$3:$P$3,"NOTTE",$C29:$P29,AF$3)=0),"_m","")&amp;IF((AF29&lt;&gt;"Xp")*(COUNTIFS($C$3:$P$3,"POM",$C29:$P29,AF$3)=0)*(COUNTIFS($C$3:$P$3,"NOTTE",$C29:$P29,AF$3)=0),"_p","")&amp;IF((AF29&lt;&gt;"Xn")*(COUNTIFS($C$3:$P$3,"MAT",$C29:$P29,AF$3)=0)*(COUNTIFS($C$3:$P$3,"POM",$C29:$P29,AF$3)=0)*(COUNTIFS($C$3:$P$3,"NOTTE",$C29:$P29,AF$3)=0),"_n","")&amp;", ")))</f>
        <v/>
      </c>
      <c r="CJ29" s="1" t="str">
        <f aca="false">IF((AG29="X")+(AG29="Gn")+(AG29="C")+(AG28="Gn")&gt;0,"",IF(((AG29&lt;&gt;"Xm")*(COUNTIFS($C$3:$P$3,"MAT",$C29:$P29,AG$3)=0)*(COUNTIFS($C$3:$P$3,"NOTTE",$C29:$P29,AG$3)=0))+((AG29&lt;&gt;"Xp")*(COUNTIFS($C$3:$P$3,"POM",$C29:$P29,AG$3)=0)*(COUNTIFS($C$3:$P$3,"NOTTE",$C29:$P29,AG$3)=0))+((AG29&lt;&gt;"Xn")*(COUNTIFS($C$3:$P$3,"MAT",$C29:$P29,AG$3)=0)*(COUNTIFS($C$3:$P$3,"POM",$C29:$P29,AG$3)=0)*(COUNTIFS($C$3:$P$3,"NOTTE",$C29:$P29,AG$3)=0))=0,"",IF(((AG29&lt;&gt;"Xm")*(COUNTIFS($C$3:$P$3,"MAT",$C29:$P29,AG$3)=0)*(COUNTIFS($C$3:$P$3,"NOTTE",$C29:$P29,AG$3)=0))+((AG29&lt;&gt;"Xp")*(COUNTIFS($C$3:$P$3,"POM",$C29:$P29,AG$3)=0)*(COUNTIFS($C$3:$P$3,"NOTTE",$C29:$P29,AG$3)=0))+((AG29&lt;&gt;"Xn")*(COUNTIFS($C$3:$P$3,"MAT",$C29:$P29,AG$3)=0)*(COUNTIFS($C$3:$P$3,"POM",$C29:$P29,AG$3)=0)*(COUNTIFS($C$3:$P$3,"NOTTE",$C29:$P29,AG$3)=0))=3,AG$3&amp;", ",AG$3&amp;IF((AG29&lt;&gt;"Xm")*(COUNTIFS($C$3:$P$3,"MAT",$C29:$P29,AG$3)=0)*(COUNTIFS($C$3:$P$3,"NOTTE",$C29:$P29,AG$3)=0),"_m","")&amp;IF((AG29&lt;&gt;"Xp")*(COUNTIFS($C$3:$P$3,"POM",$C29:$P29,AG$3)=0)*(COUNTIFS($C$3:$P$3,"NOTTE",$C29:$P29,AG$3)=0),"_p","")&amp;IF((AG29&lt;&gt;"Xn")*(COUNTIFS($C$3:$P$3,"MAT",$C29:$P29,AG$3)=0)*(COUNTIFS($C$3:$P$3,"POM",$C29:$P29,AG$3)=0)*(COUNTIFS($C$3:$P$3,"NOTTE",$C29:$P29,AG$3)=0),"_n","")&amp;", ")))</f>
        <v/>
      </c>
      <c r="CK29" s="1" t="str">
        <f aca="false">IF((AH29="X")+(AH29="Gn")+(AH29="C")+(AH28="Gn")&gt;0,"",IF(((AH29&lt;&gt;"Xm")*(COUNTIFS($C$3:$P$3,"MAT",$C29:$P29,AH$3)=0)*(COUNTIFS($C$3:$P$3,"NOTTE",$C29:$P29,AH$3)=0))+((AH29&lt;&gt;"Xp")*(COUNTIFS($C$3:$P$3,"POM",$C29:$P29,AH$3)=0)*(COUNTIFS($C$3:$P$3,"NOTTE",$C29:$P29,AH$3)=0))+((AH29&lt;&gt;"Xn")*(COUNTIFS($C$3:$P$3,"MAT",$C29:$P29,AH$3)=0)*(COUNTIFS($C$3:$P$3,"POM",$C29:$P29,AH$3)=0)*(COUNTIFS($C$3:$P$3,"NOTTE",$C29:$P29,AH$3)=0))=0,"",IF(((AH29&lt;&gt;"Xm")*(COUNTIFS($C$3:$P$3,"MAT",$C29:$P29,AH$3)=0)*(COUNTIFS($C$3:$P$3,"NOTTE",$C29:$P29,AH$3)=0))+((AH29&lt;&gt;"Xp")*(COUNTIFS($C$3:$P$3,"POM",$C29:$P29,AH$3)=0)*(COUNTIFS($C$3:$P$3,"NOTTE",$C29:$P29,AH$3)=0))+((AH29&lt;&gt;"Xn")*(COUNTIFS($C$3:$P$3,"MAT",$C29:$P29,AH$3)=0)*(COUNTIFS($C$3:$P$3,"POM",$C29:$P29,AH$3)=0)*(COUNTIFS($C$3:$P$3,"NOTTE",$C29:$P29,AH$3)=0))=3,AH$3&amp;", ",AH$3&amp;IF((AH29&lt;&gt;"Xm")*(COUNTIFS($C$3:$P$3,"MAT",$C29:$P29,AH$3)=0)*(COUNTIFS($C$3:$P$3,"NOTTE",$C29:$P29,AH$3)=0),"_m","")&amp;IF((AH29&lt;&gt;"Xp")*(COUNTIFS($C$3:$P$3,"POM",$C29:$P29,AH$3)=0)*(COUNTIFS($C$3:$P$3,"NOTTE",$C29:$P29,AH$3)=0),"_p","")&amp;IF((AH29&lt;&gt;"Xn")*(COUNTIFS($C$3:$P$3,"MAT",$C29:$P29,AH$3)=0)*(COUNTIFS($C$3:$P$3,"POM",$C29:$P29,AH$3)=0)*(COUNTIFS($C$3:$P$3,"NOTTE",$C29:$P29,AH$3)=0),"_n","")&amp;", ")))</f>
        <v>MARINI, </v>
      </c>
      <c r="CL29" s="1" t="str">
        <f aca="false">IF((AI29="X")+(AI29="Gn")+(AI29="C")+(AI28="Gn")&gt;0,"",IF(((AI29&lt;&gt;"Xm")*(COUNTIFS($C$3:$P$3,"MAT",$C29:$P29,AI$3)=0)*(COUNTIFS($C$3:$P$3,"NOTTE",$C29:$P29,AI$3)=0))+((AI29&lt;&gt;"Xp")*(COUNTIFS($C$3:$P$3,"POM",$C29:$P29,AI$3)=0)*(COUNTIFS($C$3:$P$3,"NOTTE",$C29:$P29,AI$3)=0))+((AI29&lt;&gt;"Xn")*(COUNTIFS($C$3:$P$3,"MAT",$C29:$P29,AI$3)=0)*(COUNTIFS($C$3:$P$3,"POM",$C29:$P29,AI$3)=0)*(COUNTIFS($C$3:$P$3,"NOTTE",$C29:$P29,AI$3)=0))=0,"",IF(((AI29&lt;&gt;"Xm")*(COUNTIFS($C$3:$P$3,"MAT",$C29:$P29,AI$3)=0)*(COUNTIFS($C$3:$P$3,"NOTTE",$C29:$P29,AI$3)=0))+((AI29&lt;&gt;"Xp")*(COUNTIFS($C$3:$P$3,"POM",$C29:$P29,AI$3)=0)*(COUNTIFS($C$3:$P$3,"NOTTE",$C29:$P29,AI$3)=0))+((AI29&lt;&gt;"Xn")*(COUNTIFS($C$3:$P$3,"MAT",$C29:$P29,AI$3)=0)*(COUNTIFS($C$3:$P$3,"POM",$C29:$P29,AI$3)=0)*(COUNTIFS($C$3:$P$3,"NOTTE",$C29:$P29,AI$3)=0))=3,AI$3&amp;", ",AI$3&amp;IF((AI29&lt;&gt;"Xm")*(COUNTIFS($C$3:$P$3,"MAT",$C29:$P29,AI$3)=0)*(COUNTIFS($C$3:$P$3,"NOTTE",$C29:$P29,AI$3)=0),"_m","")&amp;IF((AI29&lt;&gt;"Xp")*(COUNTIFS($C$3:$P$3,"POM",$C29:$P29,AI$3)=0)*(COUNTIFS($C$3:$P$3,"NOTTE",$C29:$P29,AI$3)=0),"_p","")&amp;IF((AI29&lt;&gt;"Xn")*(COUNTIFS($C$3:$P$3,"MAT",$C29:$P29,AI$3)=0)*(COUNTIFS($C$3:$P$3,"POM",$C29:$P29,AI$3)=0)*(COUNTIFS($C$3:$P$3,"NOTTE",$C29:$P29,AI$3)=0),"_n","")&amp;", ")))</f>
        <v/>
      </c>
      <c r="CM29" s="1" t="str">
        <f aca="false">IF((AJ29="X")+(AJ29="Gn")+(AJ29="C")+(AJ28="Gn")&gt;0,"",IF(((AJ29&lt;&gt;"Xm")*(COUNTIFS($C$3:$P$3,"MAT",$C29:$P29,AJ$3)=0)*(COUNTIFS($C$3:$P$3,"NOTTE",$C29:$P29,AJ$3)=0))+((AJ29&lt;&gt;"Xp")*(COUNTIFS($C$3:$P$3,"POM",$C29:$P29,AJ$3)=0)*(COUNTIFS($C$3:$P$3,"NOTTE",$C29:$P29,AJ$3)=0))+((AJ29&lt;&gt;"Xn")*(COUNTIFS($C$3:$P$3,"MAT",$C29:$P29,AJ$3)=0)*(COUNTIFS($C$3:$P$3,"POM",$C29:$P29,AJ$3)=0)*(COUNTIFS($C$3:$P$3,"NOTTE",$C29:$P29,AJ$3)=0))=0,"",IF(((AJ29&lt;&gt;"Xm")*(COUNTIFS($C$3:$P$3,"MAT",$C29:$P29,AJ$3)=0)*(COUNTIFS($C$3:$P$3,"NOTTE",$C29:$P29,AJ$3)=0))+((AJ29&lt;&gt;"Xp")*(COUNTIFS($C$3:$P$3,"POM",$C29:$P29,AJ$3)=0)*(COUNTIFS($C$3:$P$3,"NOTTE",$C29:$P29,AJ$3)=0))+((AJ29&lt;&gt;"Xn")*(COUNTIFS($C$3:$P$3,"MAT",$C29:$P29,AJ$3)=0)*(COUNTIFS($C$3:$P$3,"POM",$C29:$P29,AJ$3)=0)*(COUNTIFS($C$3:$P$3,"NOTTE",$C29:$P29,AJ$3)=0))=3,AJ$3&amp;", ",AJ$3&amp;IF((AJ29&lt;&gt;"Xm")*(COUNTIFS($C$3:$P$3,"MAT",$C29:$P29,AJ$3)=0)*(COUNTIFS($C$3:$P$3,"NOTTE",$C29:$P29,AJ$3)=0),"_m","")&amp;IF((AJ29&lt;&gt;"Xp")*(COUNTIFS($C$3:$P$3,"POM",$C29:$P29,AJ$3)=0)*(COUNTIFS($C$3:$P$3,"NOTTE",$C29:$P29,AJ$3)=0),"_p","")&amp;IF((AJ29&lt;&gt;"Xn")*(COUNTIFS($C$3:$P$3,"MAT",$C29:$P29,AJ$3)=0)*(COUNTIFS($C$3:$P$3,"POM",$C29:$P29,AJ$3)=0)*(COUNTIFS($C$3:$P$3,"NOTTE",$C29:$P29,AJ$3)=0),"_n","")&amp;", ")))</f>
        <v/>
      </c>
      <c r="CN29" s="1" t="str">
        <f aca="false">IF((AK29="X")+(AK29="Gn")+(AK29="C")+(AK28="Gn")&gt;0,"",IF(((AK29&lt;&gt;"Xm")*(COUNTIFS($C$3:$P$3,"MAT",$C29:$P29,AK$3)=0)*(COUNTIFS($C$3:$P$3,"NOTTE",$C29:$P29,AK$3)=0))+((AK29&lt;&gt;"Xp")*(COUNTIFS($C$3:$P$3,"POM",$C29:$P29,AK$3)=0)*(COUNTIFS($C$3:$P$3,"NOTTE",$C29:$P29,AK$3)=0))+((AK29&lt;&gt;"Xn")*(COUNTIFS($C$3:$P$3,"MAT",$C29:$P29,AK$3)=0)*(COUNTIFS($C$3:$P$3,"POM",$C29:$P29,AK$3)=0)*(COUNTIFS($C$3:$P$3,"NOTTE",$C29:$P29,AK$3)=0))=0,"",IF(((AK29&lt;&gt;"Xm")*(COUNTIFS($C$3:$P$3,"MAT",$C29:$P29,AK$3)=0)*(COUNTIFS($C$3:$P$3,"NOTTE",$C29:$P29,AK$3)=0))+((AK29&lt;&gt;"Xp")*(COUNTIFS($C$3:$P$3,"POM",$C29:$P29,AK$3)=0)*(COUNTIFS($C$3:$P$3,"NOTTE",$C29:$P29,AK$3)=0))+((AK29&lt;&gt;"Xn")*(COUNTIFS($C$3:$P$3,"MAT",$C29:$P29,AK$3)=0)*(COUNTIFS($C$3:$P$3,"POM",$C29:$P29,AK$3)=0)*(COUNTIFS($C$3:$P$3,"NOTTE",$C29:$P29,AK$3)=0))=3,AK$3&amp;", ",AK$3&amp;IF((AK29&lt;&gt;"Xm")*(COUNTIFS($C$3:$P$3,"MAT",$C29:$P29,AK$3)=0)*(COUNTIFS($C$3:$P$3,"NOTTE",$C29:$P29,AK$3)=0),"_m","")&amp;IF((AK29&lt;&gt;"Xp")*(COUNTIFS($C$3:$P$3,"POM",$C29:$P29,AK$3)=0)*(COUNTIFS($C$3:$P$3,"NOTTE",$C29:$P29,AK$3)=0),"_p","")&amp;IF((AK29&lt;&gt;"Xn")*(COUNTIFS($C$3:$P$3,"MAT",$C29:$P29,AK$3)=0)*(COUNTIFS($C$3:$P$3,"POM",$C29:$P29,AK$3)=0)*(COUNTIFS($C$3:$P$3,"NOTTE",$C29:$P29,AK$3)=0),"_n","")&amp;", ")))</f>
        <v/>
      </c>
      <c r="CO29" s="1" t="str">
        <f aca="false">IF((AL29="X")+(AL29="Gn")+(AL29="C")+(AL28="Gn")&gt;0,"",IF(((AL29&lt;&gt;"Xm")*(COUNTIFS($C$3:$P$3,"MAT",$C29:$P29,AL$3)=0)*(COUNTIFS($C$3:$P$3,"NOTTE",$C29:$P29,AL$3)=0))+((AL29&lt;&gt;"Xp")*(COUNTIFS($C$3:$P$3,"POM",$C29:$P29,AL$3)=0)*(COUNTIFS($C$3:$P$3,"NOTTE",$C29:$P29,AL$3)=0))+((AL29&lt;&gt;"Xn")*(COUNTIFS($C$3:$P$3,"MAT",$C29:$P29,AL$3)=0)*(COUNTIFS($C$3:$P$3,"POM",$C29:$P29,AL$3)=0)*(COUNTIFS($C$3:$P$3,"NOTTE",$C29:$P29,AL$3)=0))=0,"",IF(((AL29&lt;&gt;"Xm")*(COUNTIFS($C$3:$P$3,"MAT",$C29:$P29,AL$3)=0)*(COUNTIFS($C$3:$P$3,"NOTTE",$C29:$P29,AL$3)=0))+((AL29&lt;&gt;"Xp")*(COUNTIFS($C$3:$P$3,"POM",$C29:$P29,AL$3)=0)*(COUNTIFS($C$3:$P$3,"NOTTE",$C29:$P29,AL$3)=0))+((AL29&lt;&gt;"Xn")*(COUNTIFS($C$3:$P$3,"MAT",$C29:$P29,AL$3)=0)*(COUNTIFS($C$3:$P$3,"POM",$C29:$P29,AL$3)=0)*(COUNTIFS($C$3:$P$3,"NOTTE",$C29:$P29,AL$3)=0))=3,AL$3&amp;", ",AL$3&amp;IF((AL29&lt;&gt;"Xm")*(COUNTIFS($C$3:$P$3,"MAT",$C29:$P29,AL$3)=0)*(COUNTIFS($C$3:$P$3,"NOTTE",$C29:$P29,AL$3)=0),"_m","")&amp;IF((AL29&lt;&gt;"Xp")*(COUNTIFS($C$3:$P$3,"POM",$C29:$P29,AL$3)=0)*(COUNTIFS($C$3:$P$3,"NOTTE",$C29:$P29,AL$3)=0),"_p","")&amp;IF((AL29&lt;&gt;"Xn")*(COUNTIFS($C$3:$P$3,"MAT",$C29:$P29,AL$3)=0)*(COUNTIFS($C$3:$P$3,"POM",$C29:$P29,AL$3)=0)*(COUNTIFS($C$3:$P$3,"NOTTE",$C29:$P29,AL$3)=0),"_n","")&amp;", ")))</f>
        <v>GRECO, </v>
      </c>
      <c r="CP29" s="1" t="str">
        <f aca="false">IF((AM29="X")+(AM29="Gn")+(AM29="C")+(AM28="Gn")&gt;0,"",IF(((AM29&lt;&gt;"Xm")*(COUNTIFS($C$3:$P$3,"MAT",$C29:$P29,AM$3)=0)*(COUNTIFS($C$3:$P$3,"NOTTE",$C29:$P29,AM$3)=0))+((AM29&lt;&gt;"Xp")*(COUNTIFS($C$3:$P$3,"POM",$C29:$P29,AM$3)=0)*(COUNTIFS($C$3:$P$3,"NOTTE",$C29:$P29,AM$3)=0))+((AM29&lt;&gt;"Xn")*(COUNTIFS($C$3:$P$3,"MAT",$C29:$P29,AM$3)=0)*(COUNTIFS($C$3:$P$3,"POM",$C29:$P29,AM$3)=0)*(COUNTIFS($C$3:$P$3,"NOTTE",$C29:$P29,AM$3)=0))=0,"",IF(((AM29&lt;&gt;"Xm")*(COUNTIFS($C$3:$P$3,"MAT",$C29:$P29,AM$3)=0)*(COUNTIFS($C$3:$P$3,"NOTTE",$C29:$P29,AM$3)=0))+((AM29&lt;&gt;"Xp")*(COUNTIFS($C$3:$P$3,"POM",$C29:$P29,AM$3)=0)*(COUNTIFS($C$3:$P$3,"NOTTE",$C29:$P29,AM$3)=0))+((AM29&lt;&gt;"Xn")*(COUNTIFS($C$3:$P$3,"MAT",$C29:$P29,AM$3)=0)*(COUNTIFS($C$3:$P$3,"POM",$C29:$P29,AM$3)=0)*(COUNTIFS($C$3:$P$3,"NOTTE",$C29:$P29,AM$3)=0))=3,AM$3&amp;", ",AM$3&amp;IF((AM29&lt;&gt;"Xm")*(COUNTIFS($C$3:$P$3,"MAT",$C29:$P29,AM$3)=0)*(COUNTIFS($C$3:$P$3,"NOTTE",$C29:$P29,AM$3)=0),"_m","")&amp;IF((AM29&lt;&gt;"Xp")*(COUNTIFS($C$3:$P$3,"POM",$C29:$P29,AM$3)=0)*(COUNTIFS($C$3:$P$3,"NOTTE",$C29:$P29,AM$3)=0),"_p","")&amp;IF((AM29&lt;&gt;"Xn")*(COUNTIFS($C$3:$P$3,"MAT",$C29:$P29,AM$3)=0)*(COUNTIFS($C$3:$P$3,"POM",$C29:$P29,AM$3)=0)*(COUNTIFS($C$3:$P$3,"NOTTE",$C29:$P29,AM$3)=0),"_n","")&amp;", ")))</f>
        <v/>
      </c>
      <c r="CQ29" s="1" t="str">
        <f aca="false">IF((AN29="X")+(AN29="Gn")+(AN29="C")+(AN28="Gn")&gt;0,"",IF(((AN29&lt;&gt;"Xm")*(COUNTIFS($C$3:$P$3,"MAT",$C29:$P29,AN$3)=0)*(COUNTIFS($C$3:$P$3,"NOTTE",$C29:$P29,AN$3)=0))+((AN29&lt;&gt;"Xp")*(COUNTIFS($C$3:$P$3,"POM",$C29:$P29,AN$3)=0)*(COUNTIFS($C$3:$P$3,"NOTTE",$C29:$P29,AN$3)=0))+((AN29&lt;&gt;"Xn")*(COUNTIFS($C$3:$P$3,"MAT",$C29:$P29,AN$3)=0)*(COUNTIFS($C$3:$P$3,"POM",$C29:$P29,AN$3)=0)*(COUNTIFS($C$3:$P$3,"NOTTE",$C29:$P29,AN$3)=0))=0,"",IF(((AN29&lt;&gt;"Xm")*(COUNTIFS($C$3:$P$3,"MAT",$C29:$P29,AN$3)=0)*(COUNTIFS($C$3:$P$3,"NOTTE",$C29:$P29,AN$3)=0))+((AN29&lt;&gt;"Xp")*(COUNTIFS($C$3:$P$3,"POM",$C29:$P29,AN$3)=0)*(COUNTIFS($C$3:$P$3,"NOTTE",$C29:$P29,AN$3)=0))+((AN29&lt;&gt;"Xn")*(COUNTIFS($C$3:$P$3,"MAT",$C29:$P29,AN$3)=0)*(COUNTIFS($C$3:$P$3,"POM",$C29:$P29,AN$3)=0)*(COUNTIFS($C$3:$P$3,"NOTTE",$C29:$P29,AN$3)=0))=3,AN$3&amp;", ",AN$3&amp;IF((AN29&lt;&gt;"Xm")*(COUNTIFS($C$3:$P$3,"MAT",$C29:$P29,AN$3)=0)*(COUNTIFS($C$3:$P$3,"NOTTE",$C29:$P29,AN$3)=0),"_m","")&amp;IF((AN29&lt;&gt;"Xp")*(COUNTIFS($C$3:$P$3,"POM",$C29:$P29,AN$3)=0)*(COUNTIFS($C$3:$P$3,"NOTTE",$C29:$P29,AN$3)=0),"_p","")&amp;IF((AN29&lt;&gt;"Xn")*(COUNTIFS($C$3:$P$3,"MAT",$C29:$P29,AN$3)=0)*(COUNTIFS($C$3:$P$3,"POM",$C29:$P29,AN$3)=0)*(COUNTIFS($C$3:$P$3,"NOTTE",$C29:$P29,AN$3)=0),"_n","")&amp;", ")))</f>
        <v>LI_m, </v>
      </c>
    </row>
    <row r="30" customFormat="false" ht="15" hidden="false" customHeight="true" outlineLevel="0" collapsed="false">
      <c r="A30" s="15" t="str">
        <f aca="false">CHOOSE(WEEKDAY(DATE($B$1,$A$2,B30),2),"lunedì","martedì","mercoledì","giovedì","venerdì","sabato","domenica")</f>
        <v>venerdì</v>
      </c>
      <c r="B30" s="15" t="n">
        <v>27</v>
      </c>
      <c r="C30" s="16" t="s">
        <v>23</v>
      </c>
      <c r="D30" s="16" t="s">
        <v>23</v>
      </c>
      <c r="E30" s="16" t="s">
        <v>32</v>
      </c>
      <c r="F30" s="16" t="s">
        <v>32</v>
      </c>
      <c r="G30" s="16" t="s">
        <v>35</v>
      </c>
      <c r="H30" s="16" t="s">
        <v>35</v>
      </c>
      <c r="I30" s="16" t="s">
        <v>31</v>
      </c>
      <c r="J30" s="16" t="s">
        <v>31</v>
      </c>
      <c r="K30" s="16" t="s">
        <v>24</v>
      </c>
      <c r="L30" s="16"/>
      <c r="M30" s="16" t="s">
        <v>26</v>
      </c>
      <c r="N30" s="16" t="s">
        <v>25</v>
      </c>
      <c r="O30" s="16" t="s">
        <v>25</v>
      </c>
      <c r="P30" s="16" t="s">
        <v>33</v>
      </c>
      <c r="Q30" s="16"/>
      <c r="R30" s="16" t="str">
        <f aca="false">IF(SUMPRODUCT(($C$3:$P$3&lt;&gt;"")*($C30:$P30&lt;&gt;"")*(COUNTIFS($C30:$P30,$C30:$P30,$C$3:$P$3,$C$3:$P$3)&gt;1))&gt;0,"X","")</f>
        <v/>
      </c>
      <c r="S30" s="17" t="str">
        <f aca="false"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VERDI_m_n, HU, CONTI A, CONTI S, FERRARI, SANNA, LI</v>
      </c>
      <c r="T30" s="17" t="str">
        <f aca="false"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ROSSI M_p, GALLINA_m, VERDI_m_n, HU, LI</v>
      </c>
      <c r="Y30" s="15" t="str">
        <f aca="false">A30</f>
        <v>venerdì</v>
      </c>
      <c r="Z30" s="15" t="n">
        <f aca="false">B30</f>
        <v>27</v>
      </c>
      <c r="AA30" s="16"/>
      <c r="AB30" s="16"/>
      <c r="AC30" s="16"/>
      <c r="AD30" s="16"/>
      <c r="AE30" s="16" t="s">
        <v>42</v>
      </c>
      <c r="AF30" s="16" t="s">
        <v>43</v>
      </c>
      <c r="AG30" s="16"/>
      <c r="AH30" s="16" t="s">
        <v>44</v>
      </c>
      <c r="AI30" s="16"/>
      <c r="AJ30" s="16"/>
      <c r="AK30" s="16"/>
      <c r="AL30" s="16" t="s">
        <v>42</v>
      </c>
      <c r="AM30" s="16"/>
      <c r="AN30" s="16"/>
      <c r="BO30" s="1" t="str">
        <f aca="false">IF((AA30="X")+(AA30="Gn")+(AA30="C")+(AA29="Gn")&gt;0,"",IF(((AA30&lt;&gt;"Xm"))+((AA30&lt;&gt;"Xp"))+((AA30&lt;&gt;"Xn"))=0,"",IF(((AA30&lt;&gt;"Xm"))+((AA30&lt;&gt;"Xp"))+((AA30&lt;&gt;"Xn"))=3,AA$3&amp;", ",AA$3&amp;IF((AA30&lt;&gt;"Xm"),"_m","")&amp;IF((AA30&lt;&gt;"Xp"),"_p","")&amp;IF((AA30&lt;&gt;"Xn"),"_n","")&amp;", ")))</f>
        <v>LEONI, </v>
      </c>
      <c r="BP30" s="1" t="str">
        <f aca="false">IF((AB30="X")+(AB30="Gn")+(AB30="C")+(AB29="Gn")&gt;0,"",IF(((AB30&lt;&gt;"Xm"))+((AB30&lt;&gt;"Xp"))+((AB30&lt;&gt;"Xn"))=0,"",IF(((AB30&lt;&gt;"Xm"))+((AB30&lt;&gt;"Xp"))+((AB30&lt;&gt;"Xn"))=3,AB$3&amp;", ",AB$3&amp;IF((AB30&lt;&gt;"Xm"),"_m","")&amp;IF((AB30&lt;&gt;"Xp"),"_p","")&amp;IF((AB30&lt;&gt;"Xn"),"_n","")&amp;", ")))</f>
        <v>ROSSI M, </v>
      </c>
      <c r="BQ30" s="1" t="str">
        <f aca="false">IF((AC30="X")+(AC30="Gn")+(AC30="C")+(AC29="Gn")&gt;0,"",IF(((AC30&lt;&gt;"Xm"))+((AC30&lt;&gt;"Xp"))+((AC30&lt;&gt;"Xn"))=0,"",IF(((AC30&lt;&gt;"Xm"))+((AC30&lt;&gt;"Xp"))+((AC30&lt;&gt;"Xn"))=3,AC$3&amp;", ",AC$3&amp;IF((AC30&lt;&gt;"Xm"),"_m","")&amp;IF((AC30&lt;&gt;"Xp"),"_p","")&amp;IF((AC30&lt;&gt;"Xn"),"_n","")&amp;", ")))</f>
        <v>ROSSI L, </v>
      </c>
      <c r="BR30" s="1" t="str">
        <f aca="false">IF((AD30="X")+(AD30="Gn")+(AD30="C")+(AD29="Gn")&gt;0,"",IF(((AD30&lt;&gt;"Xm"))+((AD30&lt;&gt;"Xp"))+((AD30&lt;&gt;"Xn"))=0,"",IF(((AD30&lt;&gt;"Xm"))+((AD30&lt;&gt;"Xp"))+((AD30&lt;&gt;"Xn"))=3,AD$3&amp;", ",AD$3&amp;IF((AD30&lt;&gt;"Xm"),"_m","")&amp;IF((AD30&lt;&gt;"Xp"),"_p","")&amp;IF((AD30&lt;&gt;"Xn"),"_n","")&amp;", ")))</f>
        <v>GALLINA, </v>
      </c>
      <c r="BS30" s="1" t="str">
        <f aca="false">IF((AE30="X")+(AE30="Gn")+(AE30="C")+(AE29="Gn")&gt;0,"",IF(((AE30&lt;&gt;"Xm"))+((AE30&lt;&gt;"Xp"))+((AE30&lt;&gt;"Xn"))=0,"",IF(((AE30&lt;&gt;"Xm"))+((AE30&lt;&gt;"Xp"))+((AE30&lt;&gt;"Xn"))=3,AE$3&amp;", ",AE$3&amp;IF((AE30&lt;&gt;"Xm"),"_m","")&amp;IF((AE30&lt;&gt;"Xp"),"_p","")&amp;IF((AE30&lt;&gt;"Xn"),"_n","")&amp;", ")))</f>
        <v/>
      </c>
      <c r="BT30" s="1" t="str">
        <f aca="false">IF((AF30="X")+(AF30="Gn")+(AF30="C")+(AF29="Gn")&gt;0,"",IF(((AF30&lt;&gt;"Xm"))+((AF30&lt;&gt;"Xp"))+((AF30&lt;&gt;"Xn"))=0,"",IF(((AF30&lt;&gt;"Xm"))+((AF30&lt;&gt;"Xp"))+((AF30&lt;&gt;"Xn"))=3,AF$3&amp;", ",AF$3&amp;IF((AF30&lt;&gt;"Xm"),"_m","")&amp;IF((AF30&lt;&gt;"Xp"),"_p","")&amp;IF((AF30&lt;&gt;"Xn"),"_n","")&amp;", ")))</f>
        <v>VERDI_m_n, </v>
      </c>
      <c r="BU30" s="1" t="str">
        <f aca="false">IF((AG30="X")+(AG30="Gn")+(AG30="C")+(AG29="Gn")&gt;0,"",IF(((AG30&lt;&gt;"Xm"))+((AG30&lt;&gt;"Xp"))+((AG30&lt;&gt;"Xn"))=0,"",IF(((AG30&lt;&gt;"Xm"))+((AG30&lt;&gt;"Xp"))+((AG30&lt;&gt;"Xn"))=3,AG$3&amp;", ",AG$3&amp;IF((AG30&lt;&gt;"Xm"),"_m","")&amp;IF((AG30&lt;&gt;"Xp"),"_p","")&amp;IF((AG30&lt;&gt;"Xn"),"_n","")&amp;", ")))</f>
        <v>HU, </v>
      </c>
      <c r="BV30" s="1" t="str">
        <f aca="false">IF((AH30="X")+(AH30="Gn")+(AH30="C")+(AH29="Gn")&gt;0,"",IF(((AH30&lt;&gt;"Xm"))+((AH30&lt;&gt;"Xp"))+((AH30&lt;&gt;"Xn"))=0,"",IF(((AH30&lt;&gt;"Xm"))+((AH30&lt;&gt;"Xp"))+((AH30&lt;&gt;"Xn"))=3,AH$3&amp;", ",AH$3&amp;IF((AH30&lt;&gt;"Xm"),"_m","")&amp;IF((AH30&lt;&gt;"Xp"),"_p","")&amp;IF((AH30&lt;&gt;"Xn"),"_n","")&amp;", ")))</f>
        <v/>
      </c>
      <c r="BW30" s="1" t="str">
        <f aca="false">IF((AI30="X")+(AI30="Gn")+(AI30="C")+(AI29="Gn")&gt;0,"",IF(((AI30&lt;&gt;"Xm"))+((AI30&lt;&gt;"Xp"))+((AI30&lt;&gt;"Xn"))=0,"",IF(((AI30&lt;&gt;"Xm"))+((AI30&lt;&gt;"Xp"))+((AI30&lt;&gt;"Xn"))=3,AI$3&amp;", ",AI$3&amp;IF((AI30&lt;&gt;"Xm"),"_m","")&amp;IF((AI30&lt;&gt;"Xp"),"_p","")&amp;IF((AI30&lt;&gt;"Xn"),"_n","")&amp;", ")))</f>
        <v>CONTI A, </v>
      </c>
      <c r="BX30" s="1" t="str">
        <f aca="false">IF((AJ30="X")+(AJ30="Gn")+(AJ30="C")+(AJ29="Gn")&gt;0,"",IF(((AJ30&lt;&gt;"Xm"))+((AJ30&lt;&gt;"Xp"))+((AJ30&lt;&gt;"Xn"))=0,"",IF(((AJ30&lt;&gt;"Xm"))+((AJ30&lt;&gt;"Xp"))+((AJ30&lt;&gt;"Xn"))=3,AJ$3&amp;", ",AJ$3&amp;IF((AJ30&lt;&gt;"Xm"),"_m","")&amp;IF((AJ30&lt;&gt;"Xp"),"_p","")&amp;IF((AJ30&lt;&gt;"Xn"),"_n","")&amp;", ")))</f>
        <v>CONTI S, </v>
      </c>
      <c r="BY30" s="1" t="str">
        <f aca="false">IF((AK30="X")+(AK30="Gn")+(AK30="C")+(AK29="Gn")&gt;0,"",IF(((AK30&lt;&gt;"Xm"))+((AK30&lt;&gt;"Xp"))+((AK30&lt;&gt;"Xn"))=0,"",IF(((AK30&lt;&gt;"Xm"))+((AK30&lt;&gt;"Xp"))+((AK30&lt;&gt;"Xn"))=3,AK$3&amp;", ",AK$3&amp;IF((AK30&lt;&gt;"Xm"),"_m","")&amp;IF((AK30&lt;&gt;"Xp"),"_p","")&amp;IF((AK30&lt;&gt;"Xn"),"_n","")&amp;", ")))</f>
        <v>FERRARI, </v>
      </c>
      <c r="BZ30" s="1" t="str">
        <f aca="false">IF((AL30="X")+(AL30="Gn")+(AL30="C")+(AL29="Gn")&gt;0,"",IF(((AL30&lt;&gt;"Xm"))+((AL30&lt;&gt;"Xp"))+((AL30&lt;&gt;"Xn"))=0,"",IF(((AL30&lt;&gt;"Xm"))+((AL30&lt;&gt;"Xp"))+((AL30&lt;&gt;"Xn"))=3,AL$3&amp;", ",AL$3&amp;IF((AL30&lt;&gt;"Xm"),"_m","")&amp;IF((AL30&lt;&gt;"Xp"),"_p","")&amp;IF((AL30&lt;&gt;"Xn"),"_n","")&amp;", ")))</f>
        <v/>
      </c>
      <c r="CA30" s="1" t="str">
        <f aca="false">IF((AM30="X")+(AM30="Gn")+(AM30="C")+(AM29="Gn")&gt;0,"",IF(((AM30&lt;&gt;"Xm"))+((AM30&lt;&gt;"Xp"))+((AM30&lt;&gt;"Xn"))=0,"",IF(((AM30&lt;&gt;"Xm"))+((AM30&lt;&gt;"Xp"))+((AM30&lt;&gt;"Xn"))=3,AM$3&amp;", ",AM$3&amp;IF((AM30&lt;&gt;"Xm"),"_m","")&amp;IF((AM30&lt;&gt;"Xp"),"_p","")&amp;IF((AM30&lt;&gt;"Xn"),"_n","")&amp;", ")))</f>
        <v>SANNA, </v>
      </c>
      <c r="CB30" s="1" t="str">
        <f aca="false">IF((AN30="X")+(AN30="Gn")+(AN30="C")+(AN29="Gn")&gt;0,"",IF(((AN30&lt;&gt;"Xm"))+((AN30&lt;&gt;"Xp"))+((AN30&lt;&gt;"Xn"))=0,"",IF(((AN30&lt;&gt;"Xm"))+((AN30&lt;&gt;"Xp"))+((AN30&lt;&gt;"Xn"))=3,AN$3&amp;", ",AN$3&amp;IF((AN30&lt;&gt;"Xm"),"_m","")&amp;IF((AN30&lt;&gt;"Xp"),"_p","")&amp;IF((AN30&lt;&gt;"Xn"),"_n","")&amp;", ")))</f>
        <v>LI, </v>
      </c>
      <c r="CD30" s="1" t="str">
        <f aca="false">IF((AA30="X")+(AA30="Gn")+(AA30="C")+(AA29="Gn")&gt;0,"",IF(((AA30&lt;&gt;"Xm")*(COUNTIFS($C$3:$P$3,"MAT",$C30:$P30,AA$3)=0)*(COUNTIFS($C$3:$P$3,"NOTTE",$C30:$P30,AA$3)=0))+((AA30&lt;&gt;"Xp")*(COUNTIFS($C$3:$P$3,"POM",$C30:$P30,AA$3)=0)*(COUNTIFS($C$3:$P$3,"NOTTE",$C30:$P30,AA$3)=0))+((AA30&lt;&gt;"Xn")*(COUNTIFS($C$3:$P$3,"MAT",$C30:$P30,AA$3)=0)*(COUNTIFS($C$3:$P$3,"POM",$C30:$P30,AA$3)=0)*(COUNTIFS($C$3:$P$3,"NOTTE",$C30:$P30,AA$3)=0))=0,"",IF(((AA30&lt;&gt;"Xm")*(COUNTIFS($C$3:$P$3,"MAT",$C30:$P30,AA$3)=0)*(COUNTIFS($C$3:$P$3,"NOTTE",$C30:$P30,AA$3)=0))+((AA30&lt;&gt;"Xp")*(COUNTIFS($C$3:$P$3,"POM",$C30:$P30,AA$3)=0)*(COUNTIFS($C$3:$P$3,"NOTTE",$C30:$P30,AA$3)=0))+((AA30&lt;&gt;"Xn")*(COUNTIFS($C$3:$P$3,"MAT",$C30:$P30,AA$3)=0)*(COUNTIFS($C$3:$P$3,"POM",$C30:$P30,AA$3)=0)*(COUNTIFS($C$3:$P$3,"NOTTE",$C30:$P30,AA$3)=0))=3,AA$3&amp;", ",AA$3&amp;IF((AA30&lt;&gt;"Xm")*(COUNTIFS($C$3:$P$3,"MAT",$C30:$P30,AA$3)=0)*(COUNTIFS($C$3:$P$3,"NOTTE",$C30:$P30,AA$3)=0),"_m","")&amp;IF((AA30&lt;&gt;"Xp")*(COUNTIFS($C$3:$P$3,"POM",$C30:$P30,AA$3)=0)*(COUNTIFS($C$3:$P$3,"NOTTE",$C30:$P30,AA$3)=0),"_p","")&amp;IF((AA30&lt;&gt;"Xn")*(COUNTIFS($C$3:$P$3,"MAT",$C30:$P30,AA$3)=0)*(COUNTIFS($C$3:$P$3,"POM",$C30:$P30,AA$3)=0)*(COUNTIFS($C$3:$P$3,"NOTTE",$C30:$P30,AA$3)=0),"_n","")&amp;", ")))</f>
        <v/>
      </c>
      <c r="CE30" s="1" t="str">
        <f aca="false">IF((AB30="X")+(AB30="Gn")+(AB30="C")+(AB29="Gn")&gt;0,"",IF(((AB30&lt;&gt;"Xm")*(COUNTIFS($C$3:$P$3,"MAT",$C30:$P30,AB$3)=0)*(COUNTIFS($C$3:$P$3,"NOTTE",$C30:$P30,AB$3)=0))+((AB30&lt;&gt;"Xp")*(COUNTIFS($C$3:$P$3,"POM",$C30:$P30,AB$3)=0)*(COUNTIFS($C$3:$P$3,"NOTTE",$C30:$P30,AB$3)=0))+((AB30&lt;&gt;"Xn")*(COUNTIFS($C$3:$P$3,"MAT",$C30:$P30,AB$3)=0)*(COUNTIFS($C$3:$P$3,"POM",$C30:$P30,AB$3)=0)*(COUNTIFS($C$3:$P$3,"NOTTE",$C30:$P30,AB$3)=0))=0,"",IF(((AB30&lt;&gt;"Xm")*(COUNTIFS($C$3:$P$3,"MAT",$C30:$P30,AB$3)=0)*(COUNTIFS($C$3:$P$3,"NOTTE",$C30:$P30,AB$3)=0))+((AB30&lt;&gt;"Xp")*(COUNTIFS($C$3:$P$3,"POM",$C30:$P30,AB$3)=0)*(COUNTIFS($C$3:$P$3,"NOTTE",$C30:$P30,AB$3)=0))+((AB30&lt;&gt;"Xn")*(COUNTIFS($C$3:$P$3,"MAT",$C30:$P30,AB$3)=0)*(COUNTIFS($C$3:$P$3,"POM",$C30:$P30,AB$3)=0)*(COUNTIFS($C$3:$P$3,"NOTTE",$C30:$P30,AB$3)=0))=3,AB$3&amp;", ",AB$3&amp;IF((AB30&lt;&gt;"Xm")*(COUNTIFS($C$3:$P$3,"MAT",$C30:$P30,AB$3)=0)*(COUNTIFS($C$3:$P$3,"NOTTE",$C30:$P30,AB$3)=0),"_m","")&amp;IF((AB30&lt;&gt;"Xp")*(COUNTIFS($C$3:$P$3,"POM",$C30:$P30,AB$3)=0)*(COUNTIFS($C$3:$P$3,"NOTTE",$C30:$P30,AB$3)=0),"_p","")&amp;IF((AB30&lt;&gt;"Xn")*(COUNTIFS($C$3:$P$3,"MAT",$C30:$P30,AB$3)=0)*(COUNTIFS($C$3:$P$3,"POM",$C30:$P30,AB$3)=0)*(COUNTIFS($C$3:$P$3,"NOTTE",$C30:$P30,AB$3)=0),"_n","")&amp;", ")))</f>
        <v>ROSSI M_p, </v>
      </c>
      <c r="CF30" s="1" t="str">
        <f aca="false">IF((AC30="X")+(AC30="Gn")+(AC30="C")+(AC29="Gn")&gt;0,"",IF(((AC30&lt;&gt;"Xm")*(COUNTIFS($C$3:$P$3,"MAT",$C30:$P30,AC$3)=0)*(COUNTIFS($C$3:$P$3,"NOTTE",$C30:$P30,AC$3)=0))+((AC30&lt;&gt;"Xp")*(COUNTIFS($C$3:$P$3,"POM",$C30:$P30,AC$3)=0)*(COUNTIFS($C$3:$P$3,"NOTTE",$C30:$P30,AC$3)=0))+((AC30&lt;&gt;"Xn")*(COUNTIFS($C$3:$P$3,"MAT",$C30:$P30,AC$3)=0)*(COUNTIFS($C$3:$P$3,"POM",$C30:$P30,AC$3)=0)*(COUNTIFS($C$3:$P$3,"NOTTE",$C30:$P30,AC$3)=0))=0,"",IF(((AC30&lt;&gt;"Xm")*(COUNTIFS($C$3:$P$3,"MAT",$C30:$P30,AC$3)=0)*(COUNTIFS($C$3:$P$3,"NOTTE",$C30:$P30,AC$3)=0))+((AC30&lt;&gt;"Xp")*(COUNTIFS($C$3:$P$3,"POM",$C30:$P30,AC$3)=0)*(COUNTIFS($C$3:$P$3,"NOTTE",$C30:$P30,AC$3)=0))+((AC30&lt;&gt;"Xn")*(COUNTIFS($C$3:$P$3,"MAT",$C30:$P30,AC$3)=0)*(COUNTIFS($C$3:$P$3,"POM",$C30:$P30,AC$3)=0)*(COUNTIFS($C$3:$P$3,"NOTTE",$C30:$P30,AC$3)=0))=3,AC$3&amp;", ",AC$3&amp;IF((AC30&lt;&gt;"Xm")*(COUNTIFS($C$3:$P$3,"MAT",$C30:$P30,AC$3)=0)*(COUNTIFS($C$3:$P$3,"NOTTE",$C30:$P30,AC$3)=0),"_m","")&amp;IF((AC30&lt;&gt;"Xp")*(COUNTIFS($C$3:$P$3,"POM",$C30:$P30,AC$3)=0)*(COUNTIFS($C$3:$P$3,"NOTTE",$C30:$P30,AC$3)=0),"_p","")&amp;IF((AC30&lt;&gt;"Xn")*(COUNTIFS($C$3:$P$3,"MAT",$C30:$P30,AC$3)=0)*(COUNTIFS($C$3:$P$3,"POM",$C30:$P30,AC$3)=0)*(COUNTIFS($C$3:$P$3,"NOTTE",$C30:$P30,AC$3)=0),"_n","")&amp;", ")))</f>
        <v/>
      </c>
      <c r="CG30" s="1" t="str">
        <f aca="false">IF((AD30="X")+(AD30="Gn")+(AD30="C")+(AD29="Gn")&gt;0,"",IF(((AD30&lt;&gt;"Xm")*(COUNTIFS($C$3:$P$3,"MAT",$C30:$P30,AD$3)=0)*(COUNTIFS($C$3:$P$3,"NOTTE",$C30:$P30,AD$3)=0))+((AD30&lt;&gt;"Xp")*(COUNTIFS($C$3:$P$3,"POM",$C30:$P30,AD$3)=0)*(COUNTIFS($C$3:$P$3,"NOTTE",$C30:$P30,AD$3)=0))+((AD30&lt;&gt;"Xn")*(COUNTIFS($C$3:$P$3,"MAT",$C30:$P30,AD$3)=0)*(COUNTIFS($C$3:$P$3,"POM",$C30:$P30,AD$3)=0)*(COUNTIFS($C$3:$P$3,"NOTTE",$C30:$P30,AD$3)=0))=0,"",IF(((AD30&lt;&gt;"Xm")*(COUNTIFS($C$3:$P$3,"MAT",$C30:$P30,AD$3)=0)*(COUNTIFS($C$3:$P$3,"NOTTE",$C30:$P30,AD$3)=0))+((AD30&lt;&gt;"Xp")*(COUNTIFS($C$3:$P$3,"POM",$C30:$P30,AD$3)=0)*(COUNTIFS($C$3:$P$3,"NOTTE",$C30:$P30,AD$3)=0))+((AD30&lt;&gt;"Xn")*(COUNTIFS($C$3:$P$3,"MAT",$C30:$P30,AD$3)=0)*(COUNTIFS($C$3:$P$3,"POM",$C30:$P30,AD$3)=0)*(COUNTIFS($C$3:$P$3,"NOTTE",$C30:$P30,AD$3)=0))=3,AD$3&amp;", ",AD$3&amp;IF((AD30&lt;&gt;"Xm")*(COUNTIFS($C$3:$P$3,"MAT",$C30:$P30,AD$3)=0)*(COUNTIFS($C$3:$P$3,"NOTTE",$C30:$P30,AD$3)=0),"_m","")&amp;IF((AD30&lt;&gt;"Xp")*(COUNTIFS($C$3:$P$3,"POM",$C30:$P30,AD$3)=0)*(COUNTIFS($C$3:$P$3,"NOTTE",$C30:$P30,AD$3)=0),"_p","")&amp;IF((AD30&lt;&gt;"Xn")*(COUNTIFS($C$3:$P$3,"MAT",$C30:$P30,AD$3)=0)*(COUNTIFS($C$3:$P$3,"POM",$C30:$P30,AD$3)=0)*(COUNTIFS($C$3:$P$3,"NOTTE",$C30:$P30,AD$3)=0),"_n","")&amp;", ")))</f>
        <v>GALLINA_m, </v>
      </c>
      <c r="CH30" s="1" t="str">
        <f aca="false">IF((AE30="X")+(AE30="Gn")+(AE30="C")+(AE29="Gn")&gt;0,"",IF(((AE30&lt;&gt;"Xm")*(COUNTIFS($C$3:$P$3,"MAT",$C30:$P30,AE$3)=0)*(COUNTIFS($C$3:$P$3,"NOTTE",$C30:$P30,AE$3)=0))+((AE30&lt;&gt;"Xp")*(COUNTIFS($C$3:$P$3,"POM",$C30:$P30,AE$3)=0)*(COUNTIFS($C$3:$P$3,"NOTTE",$C30:$P30,AE$3)=0))+((AE30&lt;&gt;"Xn")*(COUNTIFS($C$3:$P$3,"MAT",$C30:$P30,AE$3)=0)*(COUNTIFS($C$3:$P$3,"POM",$C30:$P30,AE$3)=0)*(COUNTIFS($C$3:$P$3,"NOTTE",$C30:$P30,AE$3)=0))=0,"",IF(((AE30&lt;&gt;"Xm")*(COUNTIFS($C$3:$P$3,"MAT",$C30:$P30,AE$3)=0)*(COUNTIFS($C$3:$P$3,"NOTTE",$C30:$P30,AE$3)=0))+((AE30&lt;&gt;"Xp")*(COUNTIFS($C$3:$P$3,"POM",$C30:$P30,AE$3)=0)*(COUNTIFS($C$3:$P$3,"NOTTE",$C30:$P30,AE$3)=0))+((AE30&lt;&gt;"Xn")*(COUNTIFS($C$3:$P$3,"MAT",$C30:$P30,AE$3)=0)*(COUNTIFS($C$3:$P$3,"POM",$C30:$P30,AE$3)=0)*(COUNTIFS($C$3:$P$3,"NOTTE",$C30:$P30,AE$3)=0))=3,AE$3&amp;", ",AE$3&amp;IF((AE30&lt;&gt;"Xm")*(COUNTIFS($C$3:$P$3,"MAT",$C30:$P30,AE$3)=0)*(COUNTIFS($C$3:$P$3,"NOTTE",$C30:$P30,AE$3)=0),"_m","")&amp;IF((AE30&lt;&gt;"Xp")*(COUNTIFS($C$3:$P$3,"POM",$C30:$P30,AE$3)=0)*(COUNTIFS($C$3:$P$3,"NOTTE",$C30:$P30,AE$3)=0),"_p","")&amp;IF((AE30&lt;&gt;"Xn")*(COUNTIFS($C$3:$P$3,"MAT",$C30:$P30,AE$3)=0)*(COUNTIFS($C$3:$P$3,"POM",$C30:$P30,AE$3)=0)*(COUNTIFS($C$3:$P$3,"NOTTE",$C30:$P30,AE$3)=0),"_n","")&amp;", ")))</f>
        <v/>
      </c>
      <c r="CI30" s="1" t="str">
        <f aca="false">IF((AF30="X")+(AF30="Gn")+(AF30="C")+(AF29="Gn")&gt;0,"",IF(((AF30&lt;&gt;"Xm")*(COUNTIFS($C$3:$P$3,"MAT",$C30:$P30,AF$3)=0)*(COUNTIFS($C$3:$P$3,"NOTTE",$C30:$P30,AF$3)=0))+((AF30&lt;&gt;"Xp")*(COUNTIFS($C$3:$P$3,"POM",$C30:$P30,AF$3)=0)*(COUNTIFS($C$3:$P$3,"NOTTE",$C30:$P30,AF$3)=0))+((AF30&lt;&gt;"Xn")*(COUNTIFS($C$3:$P$3,"MAT",$C30:$P30,AF$3)=0)*(COUNTIFS($C$3:$P$3,"POM",$C30:$P30,AF$3)=0)*(COUNTIFS($C$3:$P$3,"NOTTE",$C30:$P30,AF$3)=0))=0,"",IF(((AF30&lt;&gt;"Xm")*(COUNTIFS($C$3:$P$3,"MAT",$C30:$P30,AF$3)=0)*(COUNTIFS($C$3:$P$3,"NOTTE",$C30:$P30,AF$3)=0))+((AF30&lt;&gt;"Xp")*(COUNTIFS($C$3:$P$3,"POM",$C30:$P30,AF$3)=0)*(COUNTIFS($C$3:$P$3,"NOTTE",$C30:$P30,AF$3)=0))+((AF30&lt;&gt;"Xn")*(COUNTIFS($C$3:$P$3,"MAT",$C30:$P30,AF$3)=0)*(COUNTIFS($C$3:$P$3,"POM",$C30:$P30,AF$3)=0)*(COUNTIFS($C$3:$P$3,"NOTTE",$C30:$P30,AF$3)=0))=3,AF$3&amp;", ",AF$3&amp;IF((AF30&lt;&gt;"Xm")*(COUNTIFS($C$3:$P$3,"MAT",$C30:$P30,AF$3)=0)*(COUNTIFS($C$3:$P$3,"NOTTE",$C30:$P30,AF$3)=0),"_m","")&amp;IF((AF30&lt;&gt;"Xp")*(COUNTIFS($C$3:$P$3,"POM",$C30:$P30,AF$3)=0)*(COUNTIFS($C$3:$P$3,"NOTTE",$C30:$P30,AF$3)=0),"_p","")&amp;IF((AF30&lt;&gt;"Xn")*(COUNTIFS($C$3:$P$3,"MAT",$C30:$P30,AF$3)=0)*(COUNTIFS($C$3:$P$3,"POM",$C30:$P30,AF$3)=0)*(COUNTIFS($C$3:$P$3,"NOTTE",$C30:$P30,AF$3)=0),"_n","")&amp;", ")))</f>
        <v>VERDI_m_n, </v>
      </c>
      <c r="CJ30" s="1" t="str">
        <f aca="false">IF((AG30="X")+(AG30="Gn")+(AG30="C")+(AG29="Gn")&gt;0,"",IF(((AG30&lt;&gt;"Xm")*(COUNTIFS($C$3:$P$3,"MAT",$C30:$P30,AG$3)=0)*(COUNTIFS($C$3:$P$3,"NOTTE",$C30:$P30,AG$3)=0))+((AG30&lt;&gt;"Xp")*(COUNTIFS($C$3:$P$3,"POM",$C30:$P30,AG$3)=0)*(COUNTIFS($C$3:$P$3,"NOTTE",$C30:$P30,AG$3)=0))+((AG30&lt;&gt;"Xn")*(COUNTIFS($C$3:$P$3,"MAT",$C30:$P30,AG$3)=0)*(COUNTIFS($C$3:$P$3,"POM",$C30:$P30,AG$3)=0)*(COUNTIFS($C$3:$P$3,"NOTTE",$C30:$P30,AG$3)=0))=0,"",IF(((AG30&lt;&gt;"Xm")*(COUNTIFS($C$3:$P$3,"MAT",$C30:$P30,AG$3)=0)*(COUNTIFS($C$3:$P$3,"NOTTE",$C30:$P30,AG$3)=0))+((AG30&lt;&gt;"Xp")*(COUNTIFS($C$3:$P$3,"POM",$C30:$P30,AG$3)=0)*(COUNTIFS($C$3:$P$3,"NOTTE",$C30:$P30,AG$3)=0))+((AG30&lt;&gt;"Xn")*(COUNTIFS($C$3:$P$3,"MAT",$C30:$P30,AG$3)=0)*(COUNTIFS($C$3:$P$3,"POM",$C30:$P30,AG$3)=0)*(COUNTIFS($C$3:$P$3,"NOTTE",$C30:$P30,AG$3)=0))=3,AG$3&amp;", ",AG$3&amp;IF((AG30&lt;&gt;"Xm")*(COUNTIFS($C$3:$P$3,"MAT",$C30:$P30,AG$3)=0)*(COUNTIFS($C$3:$P$3,"NOTTE",$C30:$P30,AG$3)=0),"_m","")&amp;IF((AG30&lt;&gt;"Xp")*(COUNTIFS($C$3:$P$3,"POM",$C30:$P30,AG$3)=0)*(COUNTIFS($C$3:$P$3,"NOTTE",$C30:$P30,AG$3)=0),"_p","")&amp;IF((AG30&lt;&gt;"Xn")*(COUNTIFS($C$3:$P$3,"MAT",$C30:$P30,AG$3)=0)*(COUNTIFS($C$3:$P$3,"POM",$C30:$P30,AG$3)=0)*(COUNTIFS($C$3:$P$3,"NOTTE",$C30:$P30,AG$3)=0),"_n","")&amp;", ")))</f>
        <v>HU, </v>
      </c>
      <c r="CK30" s="1" t="str">
        <f aca="false">IF((AH30="X")+(AH30="Gn")+(AH30="C")+(AH29="Gn")&gt;0,"",IF(((AH30&lt;&gt;"Xm")*(COUNTIFS($C$3:$P$3,"MAT",$C30:$P30,AH$3)=0)*(COUNTIFS($C$3:$P$3,"NOTTE",$C30:$P30,AH$3)=0))+((AH30&lt;&gt;"Xp")*(COUNTIFS($C$3:$P$3,"POM",$C30:$P30,AH$3)=0)*(COUNTIFS($C$3:$P$3,"NOTTE",$C30:$P30,AH$3)=0))+((AH30&lt;&gt;"Xn")*(COUNTIFS($C$3:$P$3,"MAT",$C30:$P30,AH$3)=0)*(COUNTIFS($C$3:$P$3,"POM",$C30:$P30,AH$3)=0)*(COUNTIFS($C$3:$P$3,"NOTTE",$C30:$P30,AH$3)=0))=0,"",IF(((AH30&lt;&gt;"Xm")*(COUNTIFS($C$3:$P$3,"MAT",$C30:$P30,AH$3)=0)*(COUNTIFS($C$3:$P$3,"NOTTE",$C30:$P30,AH$3)=0))+((AH30&lt;&gt;"Xp")*(COUNTIFS($C$3:$P$3,"POM",$C30:$P30,AH$3)=0)*(COUNTIFS($C$3:$P$3,"NOTTE",$C30:$P30,AH$3)=0))+((AH30&lt;&gt;"Xn")*(COUNTIFS($C$3:$P$3,"MAT",$C30:$P30,AH$3)=0)*(COUNTIFS($C$3:$P$3,"POM",$C30:$P30,AH$3)=0)*(COUNTIFS($C$3:$P$3,"NOTTE",$C30:$P30,AH$3)=0))=3,AH$3&amp;", ",AH$3&amp;IF((AH30&lt;&gt;"Xm")*(COUNTIFS($C$3:$P$3,"MAT",$C30:$P30,AH$3)=0)*(COUNTIFS($C$3:$P$3,"NOTTE",$C30:$P30,AH$3)=0),"_m","")&amp;IF((AH30&lt;&gt;"Xp")*(COUNTIFS($C$3:$P$3,"POM",$C30:$P30,AH$3)=0)*(COUNTIFS($C$3:$P$3,"NOTTE",$C30:$P30,AH$3)=0),"_p","")&amp;IF((AH30&lt;&gt;"Xn")*(COUNTIFS($C$3:$P$3,"MAT",$C30:$P30,AH$3)=0)*(COUNTIFS($C$3:$P$3,"POM",$C30:$P30,AH$3)=0)*(COUNTIFS($C$3:$P$3,"NOTTE",$C30:$P30,AH$3)=0),"_n","")&amp;", ")))</f>
        <v/>
      </c>
      <c r="CL30" s="1" t="str">
        <f aca="false">IF((AI30="X")+(AI30="Gn")+(AI30="C")+(AI29="Gn")&gt;0,"",IF(((AI30&lt;&gt;"Xm")*(COUNTIFS($C$3:$P$3,"MAT",$C30:$P30,AI$3)=0)*(COUNTIFS($C$3:$P$3,"NOTTE",$C30:$P30,AI$3)=0))+((AI30&lt;&gt;"Xp")*(COUNTIFS($C$3:$P$3,"POM",$C30:$P30,AI$3)=0)*(COUNTIFS($C$3:$P$3,"NOTTE",$C30:$P30,AI$3)=0))+((AI30&lt;&gt;"Xn")*(COUNTIFS($C$3:$P$3,"MAT",$C30:$P30,AI$3)=0)*(COUNTIFS($C$3:$P$3,"POM",$C30:$P30,AI$3)=0)*(COUNTIFS($C$3:$P$3,"NOTTE",$C30:$P30,AI$3)=0))=0,"",IF(((AI30&lt;&gt;"Xm")*(COUNTIFS($C$3:$P$3,"MAT",$C30:$P30,AI$3)=0)*(COUNTIFS($C$3:$P$3,"NOTTE",$C30:$P30,AI$3)=0))+((AI30&lt;&gt;"Xp")*(COUNTIFS($C$3:$P$3,"POM",$C30:$P30,AI$3)=0)*(COUNTIFS($C$3:$P$3,"NOTTE",$C30:$P30,AI$3)=0))+((AI30&lt;&gt;"Xn")*(COUNTIFS($C$3:$P$3,"MAT",$C30:$P30,AI$3)=0)*(COUNTIFS($C$3:$P$3,"POM",$C30:$P30,AI$3)=0)*(COUNTIFS($C$3:$P$3,"NOTTE",$C30:$P30,AI$3)=0))=3,AI$3&amp;", ",AI$3&amp;IF((AI30&lt;&gt;"Xm")*(COUNTIFS($C$3:$P$3,"MAT",$C30:$P30,AI$3)=0)*(COUNTIFS($C$3:$P$3,"NOTTE",$C30:$P30,AI$3)=0),"_m","")&amp;IF((AI30&lt;&gt;"Xp")*(COUNTIFS($C$3:$P$3,"POM",$C30:$P30,AI$3)=0)*(COUNTIFS($C$3:$P$3,"NOTTE",$C30:$P30,AI$3)=0),"_p","")&amp;IF((AI30&lt;&gt;"Xn")*(COUNTIFS($C$3:$P$3,"MAT",$C30:$P30,AI$3)=0)*(COUNTIFS($C$3:$P$3,"POM",$C30:$P30,AI$3)=0)*(COUNTIFS($C$3:$P$3,"NOTTE",$C30:$P30,AI$3)=0),"_n","")&amp;", ")))</f>
        <v/>
      </c>
      <c r="CM30" s="1" t="str">
        <f aca="false">IF((AJ30="X")+(AJ30="Gn")+(AJ30="C")+(AJ29="Gn")&gt;0,"",IF(((AJ30&lt;&gt;"Xm")*(COUNTIFS($C$3:$P$3,"MAT",$C30:$P30,AJ$3)=0)*(COUNTIFS($C$3:$P$3,"NOTTE",$C30:$P30,AJ$3)=0))+((AJ30&lt;&gt;"Xp")*(COUNTIFS($C$3:$P$3,"POM",$C30:$P30,AJ$3)=0)*(COUNTIFS($C$3:$P$3,"NOTTE",$C30:$P30,AJ$3)=0))+((AJ30&lt;&gt;"Xn")*(COUNTIFS($C$3:$P$3,"MAT",$C30:$P30,AJ$3)=0)*(COUNTIFS($C$3:$P$3,"POM",$C30:$P30,AJ$3)=0)*(COUNTIFS($C$3:$P$3,"NOTTE",$C30:$P30,AJ$3)=0))=0,"",IF(((AJ30&lt;&gt;"Xm")*(COUNTIFS($C$3:$P$3,"MAT",$C30:$P30,AJ$3)=0)*(COUNTIFS($C$3:$P$3,"NOTTE",$C30:$P30,AJ$3)=0))+((AJ30&lt;&gt;"Xp")*(COUNTIFS($C$3:$P$3,"POM",$C30:$P30,AJ$3)=0)*(COUNTIFS($C$3:$P$3,"NOTTE",$C30:$P30,AJ$3)=0))+((AJ30&lt;&gt;"Xn")*(COUNTIFS($C$3:$P$3,"MAT",$C30:$P30,AJ$3)=0)*(COUNTIFS($C$3:$P$3,"POM",$C30:$P30,AJ$3)=0)*(COUNTIFS($C$3:$P$3,"NOTTE",$C30:$P30,AJ$3)=0))=3,AJ$3&amp;", ",AJ$3&amp;IF((AJ30&lt;&gt;"Xm")*(COUNTIFS($C$3:$P$3,"MAT",$C30:$P30,AJ$3)=0)*(COUNTIFS($C$3:$P$3,"NOTTE",$C30:$P30,AJ$3)=0),"_m","")&amp;IF((AJ30&lt;&gt;"Xp")*(COUNTIFS($C$3:$P$3,"POM",$C30:$P30,AJ$3)=0)*(COUNTIFS($C$3:$P$3,"NOTTE",$C30:$P30,AJ$3)=0),"_p","")&amp;IF((AJ30&lt;&gt;"Xn")*(COUNTIFS($C$3:$P$3,"MAT",$C30:$P30,AJ$3)=0)*(COUNTIFS($C$3:$P$3,"POM",$C30:$P30,AJ$3)=0)*(COUNTIFS($C$3:$P$3,"NOTTE",$C30:$P30,AJ$3)=0),"_n","")&amp;", ")))</f>
        <v/>
      </c>
      <c r="CN30" s="1" t="str">
        <f aca="false">IF((AK30="X")+(AK30="Gn")+(AK30="C")+(AK29="Gn")&gt;0,"",IF(((AK30&lt;&gt;"Xm")*(COUNTIFS($C$3:$P$3,"MAT",$C30:$P30,AK$3)=0)*(COUNTIFS($C$3:$P$3,"NOTTE",$C30:$P30,AK$3)=0))+((AK30&lt;&gt;"Xp")*(COUNTIFS($C$3:$P$3,"POM",$C30:$P30,AK$3)=0)*(COUNTIFS($C$3:$P$3,"NOTTE",$C30:$P30,AK$3)=0))+((AK30&lt;&gt;"Xn")*(COUNTIFS($C$3:$P$3,"MAT",$C30:$P30,AK$3)=0)*(COUNTIFS($C$3:$P$3,"POM",$C30:$P30,AK$3)=0)*(COUNTIFS($C$3:$P$3,"NOTTE",$C30:$P30,AK$3)=0))=0,"",IF(((AK30&lt;&gt;"Xm")*(COUNTIFS($C$3:$P$3,"MAT",$C30:$P30,AK$3)=0)*(COUNTIFS($C$3:$P$3,"NOTTE",$C30:$P30,AK$3)=0))+((AK30&lt;&gt;"Xp")*(COUNTIFS($C$3:$P$3,"POM",$C30:$P30,AK$3)=0)*(COUNTIFS($C$3:$P$3,"NOTTE",$C30:$P30,AK$3)=0))+((AK30&lt;&gt;"Xn")*(COUNTIFS($C$3:$P$3,"MAT",$C30:$P30,AK$3)=0)*(COUNTIFS($C$3:$P$3,"POM",$C30:$P30,AK$3)=0)*(COUNTIFS($C$3:$P$3,"NOTTE",$C30:$P30,AK$3)=0))=3,AK$3&amp;", ",AK$3&amp;IF((AK30&lt;&gt;"Xm")*(COUNTIFS($C$3:$P$3,"MAT",$C30:$P30,AK$3)=0)*(COUNTIFS($C$3:$P$3,"NOTTE",$C30:$P30,AK$3)=0),"_m","")&amp;IF((AK30&lt;&gt;"Xp")*(COUNTIFS($C$3:$P$3,"POM",$C30:$P30,AK$3)=0)*(COUNTIFS($C$3:$P$3,"NOTTE",$C30:$P30,AK$3)=0),"_p","")&amp;IF((AK30&lt;&gt;"Xn")*(COUNTIFS($C$3:$P$3,"MAT",$C30:$P30,AK$3)=0)*(COUNTIFS($C$3:$P$3,"POM",$C30:$P30,AK$3)=0)*(COUNTIFS($C$3:$P$3,"NOTTE",$C30:$P30,AK$3)=0),"_n","")&amp;", ")))</f>
        <v/>
      </c>
      <c r="CO30" s="1" t="str">
        <f aca="false">IF((AL30="X")+(AL30="Gn")+(AL30="C")+(AL29="Gn")&gt;0,"",IF(((AL30&lt;&gt;"Xm")*(COUNTIFS($C$3:$P$3,"MAT",$C30:$P30,AL$3)=0)*(COUNTIFS($C$3:$P$3,"NOTTE",$C30:$P30,AL$3)=0))+((AL30&lt;&gt;"Xp")*(COUNTIFS($C$3:$P$3,"POM",$C30:$P30,AL$3)=0)*(COUNTIFS($C$3:$P$3,"NOTTE",$C30:$P30,AL$3)=0))+((AL30&lt;&gt;"Xn")*(COUNTIFS($C$3:$P$3,"MAT",$C30:$P30,AL$3)=0)*(COUNTIFS($C$3:$P$3,"POM",$C30:$P30,AL$3)=0)*(COUNTIFS($C$3:$P$3,"NOTTE",$C30:$P30,AL$3)=0))=0,"",IF(((AL30&lt;&gt;"Xm")*(COUNTIFS($C$3:$P$3,"MAT",$C30:$P30,AL$3)=0)*(COUNTIFS($C$3:$P$3,"NOTTE",$C30:$P30,AL$3)=0))+((AL30&lt;&gt;"Xp")*(COUNTIFS($C$3:$P$3,"POM",$C30:$P30,AL$3)=0)*(COUNTIFS($C$3:$P$3,"NOTTE",$C30:$P30,AL$3)=0))+((AL30&lt;&gt;"Xn")*(COUNTIFS($C$3:$P$3,"MAT",$C30:$P30,AL$3)=0)*(COUNTIFS($C$3:$P$3,"POM",$C30:$P30,AL$3)=0)*(COUNTIFS($C$3:$P$3,"NOTTE",$C30:$P30,AL$3)=0))=3,AL$3&amp;", ",AL$3&amp;IF((AL30&lt;&gt;"Xm")*(COUNTIFS($C$3:$P$3,"MAT",$C30:$P30,AL$3)=0)*(COUNTIFS($C$3:$P$3,"NOTTE",$C30:$P30,AL$3)=0),"_m","")&amp;IF((AL30&lt;&gt;"Xp")*(COUNTIFS($C$3:$P$3,"POM",$C30:$P30,AL$3)=0)*(COUNTIFS($C$3:$P$3,"NOTTE",$C30:$P30,AL$3)=0),"_p","")&amp;IF((AL30&lt;&gt;"Xn")*(COUNTIFS($C$3:$P$3,"MAT",$C30:$P30,AL$3)=0)*(COUNTIFS($C$3:$P$3,"POM",$C30:$P30,AL$3)=0)*(COUNTIFS($C$3:$P$3,"NOTTE",$C30:$P30,AL$3)=0),"_n","")&amp;", ")))</f>
        <v/>
      </c>
      <c r="CP30" s="1" t="str">
        <f aca="false">IF((AM30="X")+(AM30="Gn")+(AM30="C")+(AM29="Gn")&gt;0,"",IF(((AM30&lt;&gt;"Xm")*(COUNTIFS($C$3:$P$3,"MAT",$C30:$P30,AM$3)=0)*(COUNTIFS($C$3:$P$3,"NOTTE",$C30:$P30,AM$3)=0))+((AM30&lt;&gt;"Xp")*(COUNTIFS($C$3:$P$3,"POM",$C30:$P30,AM$3)=0)*(COUNTIFS($C$3:$P$3,"NOTTE",$C30:$P30,AM$3)=0))+((AM30&lt;&gt;"Xn")*(COUNTIFS($C$3:$P$3,"MAT",$C30:$P30,AM$3)=0)*(COUNTIFS($C$3:$P$3,"POM",$C30:$P30,AM$3)=0)*(COUNTIFS($C$3:$P$3,"NOTTE",$C30:$P30,AM$3)=0))=0,"",IF(((AM30&lt;&gt;"Xm")*(COUNTIFS($C$3:$P$3,"MAT",$C30:$P30,AM$3)=0)*(COUNTIFS($C$3:$P$3,"NOTTE",$C30:$P30,AM$3)=0))+((AM30&lt;&gt;"Xp")*(COUNTIFS($C$3:$P$3,"POM",$C30:$P30,AM$3)=0)*(COUNTIFS($C$3:$P$3,"NOTTE",$C30:$P30,AM$3)=0))+((AM30&lt;&gt;"Xn")*(COUNTIFS($C$3:$P$3,"MAT",$C30:$P30,AM$3)=0)*(COUNTIFS($C$3:$P$3,"POM",$C30:$P30,AM$3)=0)*(COUNTIFS($C$3:$P$3,"NOTTE",$C30:$P30,AM$3)=0))=3,AM$3&amp;", ",AM$3&amp;IF((AM30&lt;&gt;"Xm")*(COUNTIFS($C$3:$P$3,"MAT",$C30:$P30,AM$3)=0)*(COUNTIFS($C$3:$P$3,"NOTTE",$C30:$P30,AM$3)=0),"_m","")&amp;IF((AM30&lt;&gt;"Xp")*(COUNTIFS($C$3:$P$3,"POM",$C30:$P30,AM$3)=0)*(COUNTIFS($C$3:$P$3,"NOTTE",$C30:$P30,AM$3)=0),"_p","")&amp;IF((AM30&lt;&gt;"Xn")*(COUNTIFS($C$3:$P$3,"MAT",$C30:$P30,AM$3)=0)*(COUNTIFS($C$3:$P$3,"POM",$C30:$P30,AM$3)=0)*(COUNTIFS($C$3:$P$3,"NOTTE",$C30:$P30,AM$3)=0),"_n","")&amp;", ")))</f>
        <v/>
      </c>
      <c r="CQ30" s="1" t="str">
        <f aca="false">IF((AN30="X")+(AN30="Gn")+(AN30="C")+(AN29="Gn")&gt;0,"",IF(((AN30&lt;&gt;"Xm")*(COUNTIFS($C$3:$P$3,"MAT",$C30:$P30,AN$3)=0)*(COUNTIFS($C$3:$P$3,"NOTTE",$C30:$P30,AN$3)=0))+((AN30&lt;&gt;"Xp")*(COUNTIFS($C$3:$P$3,"POM",$C30:$P30,AN$3)=0)*(COUNTIFS($C$3:$P$3,"NOTTE",$C30:$P30,AN$3)=0))+((AN30&lt;&gt;"Xn")*(COUNTIFS($C$3:$P$3,"MAT",$C30:$P30,AN$3)=0)*(COUNTIFS($C$3:$P$3,"POM",$C30:$P30,AN$3)=0)*(COUNTIFS($C$3:$P$3,"NOTTE",$C30:$P30,AN$3)=0))=0,"",IF(((AN30&lt;&gt;"Xm")*(COUNTIFS($C$3:$P$3,"MAT",$C30:$P30,AN$3)=0)*(COUNTIFS($C$3:$P$3,"NOTTE",$C30:$P30,AN$3)=0))+((AN30&lt;&gt;"Xp")*(COUNTIFS($C$3:$P$3,"POM",$C30:$P30,AN$3)=0)*(COUNTIFS($C$3:$P$3,"NOTTE",$C30:$P30,AN$3)=0))+((AN30&lt;&gt;"Xn")*(COUNTIFS($C$3:$P$3,"MAT",$C30:$P30,AN$3)=0)*(COUNTIFS($C$3:$P$3,"POM",$C30:$P30,AN$3)=0)*(COUNTIFS($C$3:$P$3,"NOTTE",$C30:$P30,AN$3)=0))=3,AN$3&amp;", ",AN$3&amp;IF((AN30&lt;&gt;"Xm")*(COUNTIFS($C$3:$P$3,"MAT",$C30:$P30,AN$3)=0)*(COUNTIFS($C$3:$P$3,"NOTTE",$C30:$P30,AN$3)=0),"_m","")&amp;IF((AN30&lt;&gt;"Xp")*(COUNTIFS($C$3:$P$3,"POM",$C30:$P30,AN$3)=0)*(COUNTIFS($C$3:$P$3,"NOTTE",$C30:$P30,AN$3)=0),"_p","")&amp;IF((AN30&lt;&gt;"Xn")*(COUNTIFS($C$3:$P$3,"MAT",$C30:$P30,AN$3)=0)*(COUNTIFS($C$3:$P$3,"POM",$C30:$P30,AN$3)=0)*(COUNTIFS($C$3:$P$3,"NOTTE",$C30:$P30,AN$3)=0),"_n","")&amp;", ")))</f>
        <v>LI, </v>
      </c>
    </row>
    <row r="31" customFormat="false" ht="15" hidden="false" customHeight="true" outlineLevel="0" collapsed="false">
      <c r="A31" s="8" t="str">
        <f aca="false">CHOOSE(WEEKDAY(DATE($B$1,$A$2,B31),2),"lunedì","martedì","mercoledì","giovedì","venerdì","sabato","domenica")</f>
        <v>sabato</v>
      </c>
      <c r="B31" s="8" t="n">
        <v>28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 t="s">
        <v>24</v>
      </c>
      <c r="O31" s="8" t="s">
        <v>25</v>
      </c>
      <c r="P31" s="8" t="s">
        <v>32</v>
      </c>
      <c r="Q31" s="8"/>
      <c r="R31" s="8" t="str">
        <f aca="false">IF(SUMPRODUCT(($C$3:$P$3&lt;&gt;"")*($C31:$P31&lt;&gt;"")*(COUNTIFS($C31:$P31,$C31:$P31,$C$3:$P$3,$C$3:$P$3)&gt;1))&gt;0,"X","")</f>
        <v/>
      </c>
      <c r="S31" s="9" t="str">
        <f aca="false"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ROSSI M, ROSSI L_p_n, GALLINA, RUSSO, VERDI, HU, CONTI A, CONTI S, FERRARI, GRECO, SANNA</v>
      </c>
      <c r="T31" s="9" t="str">
        <f aca="false"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ROSSI M_p, GALLINA, RUSSO, VERDI, HU, CONTI A, FERRARI, GRECO, SANNA</v>
      </c>
      <c r="Y31" s="8" t="str">
        <f aca="false">A31</f>
        <v>sabato</v>
      </c>
      <c r="Z31" s="8" t="n">
        <f aca="false">B31</f>
        <v>28</v>
      </c>
      <c r="AA31" s="10" t="s">
        <v>44</v>
      </c>
      <c r="AB31" s="10"/>
      <c r="AC31" s="10" t="s">
        <v>46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 t="s">
        <v>44</v>
      </c>
      <c r="BO31" s="1" t="str">
        <f aca="false">IF((AA31="X")+(AA31="Gn")+(AA31="C")+(AA30="Gn")&gt;0,"",IF(((AA31&lt;&gt;"Xm"))+((AA31&lt;&gt;"Xp"))+((AA31&lt;&gt;"Xn"))=0,"",IF(((AA31&lt;&gt;"Xm"))+((AA31&lt;&gt;"Xp"))+((AA31&lt;&gt;"Xn"))=3,AA$3&amp;", ",AA$3&amp;IF((AA31&lt;&gt;"Xm"),"_m","")&amp;IF((AA31&lt;&gt;"Xp"),"_p","")&amp;IF((AA31&lt;&gt;"Xn"),"_n","")&amp;", ")))</f>
        <v/>
      </c>
      <c r="BP31" s="1" t="str">
        <f aca="false">IF((AB31="X")+(AB31="Gn")+(AB31="C")+(AB30="Gn")&gt;0,"",IF(((AB31&lt;&gt;"Xm"))+((AB31&lt;&gt;"Xp"))+((AB31&lt;&gt;"Xn"))=0,"",IF(((AB31&lt;&gt;"Xm"))+((AB31&lt;&gt;"Xp"))+((AB31&lt;&gt;"Xn"))=3,AB$3&amp;", ",AB$3&amp;IF((AB31&lt;&gt;"Xm"),"_m","")&amp;IF((AB31&lt;&gt;"Xp"),"_p","")&amp;IF((AB31&lt;&gt;"Xn"),"_n","")&amp;", ")))</f>
        <v>ROSSI M, </v>
      </c>
      <c r="BQ31" s="1" t="str">
        <f aca="false">IF((AC31="X")+(AC31="Gn")+(AC31="C")+(AC30="Gn")&gt;0,"",IF(((AC31&lt;&gt;"Xm"))+((AC31&lt;&gt;"Xp"))+((AC31&lt;&gt;"Xn"))=0,"",IF(((AC31&lt;&gt;"Xm"))+((AC31&lt;&gt;"Xp"))+((AC31&lt;&gt;"Xn"))=3,AC$3&amp;", ",AC$3&amp;IF((AC31&lt;&gt;"Xm"),"_m","")&amp;IF((AC31&lt;&gt;"Xp"),"_p","")&amp;IF((AC31&lt;&gt;"Xn"),"_n","")&amp;", ")))</f>
        <v>ROSSI L_p_n, </v>
      </c>
      <c r="BR31" s="1" t="str">
        <f aca="false">IF((AD31="X")+(AD31="Gn")+(AD31="C")+(AD30="Gn")&gt;0,"",IF(((AD31&lt;&gt;"Xm"))+((AD31&lt;&gt;"Xp"))+((AD31&lt;&gt;"Xn"))=0,"",IF(((AD31&lt;&gt;"Xm"))+((AD31&lt;&gt;"Xp"))+((AD31&lt;&gt;"Xn"))=3,AD$3&amp;", ",AD$3&amp;IF((AD31&lt;&gt;"Xm"),"_m","")&amp;IF((AD31&lt;&gt;"Xp"),"_p","")&amp;IF((AD31&lt;&gt;"Xn"),"_n","")&amp;", ")))</f>
        <v>GALLINA, </v>
      </c>
      <c r="BS31" s="1" t="str">
        <f aca="false">IF((AE31="X")+(AE31="Gn")+(AE31="C")+(AE30="Gn")&gt;0,"",IF(((AE31&lt;&gt;"Xm"))+((AE31&lt;&gt;"Xp"))+((AE31&lt;&gt;"Xn"))=0,"",IF(((AE31&lt;&gt;"Xm"))+((AE31&lt;&gt;"Xp"))+((AE31&lt;&gt;"Xn"))=3,AE$3&amp;", ",AE$3&amp;IF((AE31&lt;&gt;"Xm"),"_m","")&amp;IF((AE31&lt;&gt;"Xp"),"_p","")&amp;IF((AE31&lt;&gt;"Xn"),"_n","")&amp;", ")))</f>
        <v>RUSSO, </v>
      </c>
      <c r="BT31" s="1" t="str">
        <f aca="false">IF((AF31="X")+(AF31="Gn")+(AF31="C")+(AF30="Gn")&gt;0,"",IF(((AF31&lt;&gt;"Xm"))+((AF31&lt;&gt;"Xp"))+((AF31&lt;&gt;"Xn"))=0,"",IF(((AF31&lt;&gt;"Xm"))+((AF31&lt;&gt;"Xp"))+((AF31&lt;&gt;"Xn"))=3,AF$3&amp;", ",AF$3&amp;IF((AF31&lt;&gt;"Xm"),"_m","")&amp;IF((AF31&lt;&gt;"Xp"),"_p","")&amp;IF((AF31&lt;&gt;"Xn"),"_n","")&amp;", ")))</f>
        <v>VERDI, </v>
      </c>
      <c r="BU31" s="1" t="str">
        <f aca="false">IF((AG31="X")+(AG31="Gn")+(AG31="C")+(AG30="Gn")&gt;0,"",IF(((AG31&lt;&gt;"Xm"))+((AG31&lt;&gt;"Xp"))+((AG31&lt;&gt;"Xn"))=0,"",IF(((AG31&lt;&gt;"Xm"))+((AG31&lt;&gt;"Xp"))+((AG31&lt;&gt;"Xn"))=3,AG$3&amp;", ",AG$3&amp;IF((AG31&lt;&gt;"Xm"),"_m","")&amp;IF((AG31&lt;&gt;"Xp"),"_p","")&amp;IF((AG31&lt;&gt;"Xn"),"_n","")&amp;", ")))</f>
        <v>HU, </v>
      </c>
      <c r="BV31" s="1" t="str">
        <f aca="false">IF((AH31="X")+(AH31="Gn")+(AH31="C")+(AH30="Gn")&gt;0,"",IF(((AH31&lt;&gt;"Xm"))+((AH31&lt;&gt;"Xp"))+((AH31&lt;&gt;"Xn"))=0,"",IF(((AH31&lt;&gt;"Xm"))+((AH31&lt;&gt;"Xp"))+((AH31&lt;&gt;"Xn"))=3,AH$3&amp;", ",AH$3&amp;IF((AH31&lt;&gt;"Xm"),"_m","")&amp;IF((AH31&lt;&gt;"Xp"),"_p","")&amp;IF((AH31&lt;&gt;"Xn"),"_n","")&amp;", ")))</f>
        <v/>
      </c>
      <c r="BW31" s="1" t="str">
        <f aca="false">IF((AI31="X")+(AI31="Gn")+(AI31="C")+(AI30="Gn")&gt;0,"",IF(((AI31&lt;&gt;"Xm"))+((AI31&lt;&gt;"Xp"))+((AI31&lt;&gt;"Xn"))=0,"",IF(((AI31&lt;&gt;"Xm"))+((AI31&lt;&gt;"Xp"))+((AI31&lt;&gt;"Xn"))=3,AI$3&amp;", ",AI$3&amp;IF((AI31&lt;&gt;"Xm"),"_m","")&amp;IF((AI31&lt;&gt;"Xp"),"_p","")&amp;IF((AI31&lt;&gt;"Xn"),"_n","")&amp;", ")))</f>
        <v>CONTI A, </v>
      </c>
      <c r="BX31" s="1" t="str">
        <f aca="false">IF((AJ31="X")+(AJ31="Gn")+(AJ31="C")+(AJ30="Gn")&gt;0,"",IF(((AJ31&lt;&gt;"Xm"))+((AJ31&lt;&gt;"Xp"))+((AJ31&lt;&gt;"Xn"))=0,"",IF(((AJ31&lt;&gt;"Xm"))+((AJ31&lt;&gt;"Xp"))+((AJ31&lt;&gt;"Xn"))=3,AJ$3&amp;", ",AJ$3&amp;IF((AJ31&lt;&gt;"Xm"),"_m","")&amp;IF((AJ31&lt;&gt;"Xp"),"_p","")&amp;IF((AJ31&lt;&gt;"Xn"),"_n","")&amp;", ")))</f>
        <v>CONTI S, </v>
      </c>
      <c r="BY31" s="1" t="str">
        <f aca="false">IF((AK31="X")+(AK31="Gn")+(AK31="C")+(AK30="Gn")&gt;0,"",IF(((AK31&lt;&gt;"Xm"))+((AK31&lt;&gt;"Xp"))+((AK31&lt;&gt;"Xn"))=0,"",IF(((AK31&lt;&gt;"Xm"))+((AK31&lt;&gt;"Xp"))+((AK31&lt;&gt;"Xn"))=3,AK$3&amp;", ",AK$3&amp;IF((AK31&lt;&gt;"Xm"),"_m","")&amp;IF((AK31&lt;&gt;"Xp"),"_p","")&amp;IF((AK31&lt;&gt;"Xn"),"_n","")&amp;", ")))</f>
        <v>FERRARI, </v>
      </c>
      <c r="BZ31" s="1" t="str">
        <f aca="false">IF((AL31="X")+(AL31="Gn")+(AL31="C")+(AL30="Gn")&gt;0,"",IF(((AL31&lt;&gt;"Xm"))+((AL31&lt;&gt;"Xp"))+((AL31&lt;&gt;"Xn"))=0,"",IF(((AL31&lt;&gt;"Xm"))+((AL31&lt;&gt;"Xp"))+((AL31&lt;&gt;"Xn"))=3,AL$3&amp;", ",AL$3&amp;IF((AL31&lt;&gt;"Xm"),"_m","")&amp;IF((AL31&lt;&gt;"Xp"),"_p","")&amp;IF((AL31&lt;&gt;"Xn"),"_n","")&amp;", ")))</f>
        <v>GRECO, </v>
      </c>
      <c r="CA31" s="1" t="str">
        <f aca="false">IF((AM31="X")+(AM31="Gn")+(AM31="C")+(AM30="Gn")&gt;0,"",IF(((AM31&lt;&gt;"Xm"))+((AM31&lt;&gt;"Xp"))+((AM31&lt;&gt;"Xn"))=0,"",IF(((AM31&lt;&gt;"Xm"))+((AM31&lt;&gt;"Xp"))+((AM31&lt;&gt;"Xn"))=3,AM$3&amp;", ",AM$3&amp;IF((AM31&lt;&gt;"Xm"),"_m","")&amp;IF((AM31&lt;&gt;"Xp"),"_p","")&amp;IF((AM31&lt;&gt;"Xn"),"_n","")&amp;", ")))</f>
        <v>SANNA, </v>
      </c>
      <c r="CB31" s="1" t="str">
        <f aca="false">IF((AN31="X")+(AN31="Gn")+(AN31="C")+(AN30="Gn")&gt;0,"",IF(((AN31&lt;&gt;"Xm"))+((AN31&lt;&gt;"Xp"))+((AN31&lt;&gt;"Xn"))=0,"",IF(((AN31&lt;&gt;"Xm"))+((AN31&lt;&gt;"Xp"))+((AN31&lt;&gt;"Xn"))=3,AN$3&amp;", ",AN$3&amp;IF((AN31&lt;&gt;"Xm"),"_m","")&amp;IF((AN31&lt;&gt;"Xp"),"_p","")&amp;IF((AN31&lt;&gt;"Xn"),"_n","")&amp;", ")))</f>
        <v/>
      </c>
      <c r="CD31" s="1" t="str">
        <f aca="false">IF((AA31="X")+(AA31="Gn")+(AA31="C")+(AA30="Gn")&gt;0,"",IF(((AA31&lt;&gt;"Xm")*(COUNTIFS($C$3:$P$3,"MAT",$C31:$P31,AA$3)=0)*(COUNTIFS($C$3:$P$3,"NOTTE",$C31:$P31,AA$3)=0))+((AA31&lt;&gt;"Xp")*(COUNTIFS($C$3:$P$3,"POM",$C31:$P31,AA$3)=0)*(COUNTIFS($C$3:$P$3,"NOTTE",$C31:$P31,AA$3)=0))+((AA31&lt;&gt;"Xn")*(COUNTIFS($C$3:$P$3,"MAT",$C31:$P31,AA$3)=0)*(COUNTIFS($C$3:$P$3,"POM",$C31:$P31,AA$3)=0)*(COUNTIFS($C$3:$P$3,"NOTTE",$C31:$P31,AA$3)=0))=0,"",IF(((AA31&lt;&gt;"Xm")*(COUNTIFS($C$3:$P$3,"MAT",$C31:$P31,AA$3)=0)*(COUNTIFS($C$3:$P$3,"NOTTE",$C31:$P31,AA$3)=0))+((AA31&lt;&gt;"Xp")*(COUNTIFS($C$3:$P$3,"POM",$C31:$P31,AA$3)=0)*(COUNTIFS($C$3:$P$3,"NOTTE",$C31:$P31,AA$3)=0))+((AA31&lt;&gt;"Xn")*(COUNTIFS($C$3:$P$3,"MAT",$C31:$P31,AA$3)=0)*(COUNTIFS($C$3:$P$3,"POM",$C31:$P31,AA$3)=0)*(COUNTIFS($C$3:$P$3,"NOTTE",$C31:$P31,AA$3)=0))=3,AA$3&amp;", ",AA$3&amp;IF((AA31&lt;&gt;"Xm")*(COUNTIFS($C$3:$P$3,"MAT",$C31:$P31,AA$3)=0)*(COUNTIFS($C$3:$P$3,"NOTTE",$C31:$P31,AA$3)=0),"_m","")&amp;IF((AA31&lt;&gt;"Xp")*(COUNTIFS($C$3:$P$3,"POM",$C31:$P31,AA$3)=0)*(COUNTIFS($C$3:$P$3,"NOTTE",$C31:$P31,AA$3)=0),"_p","")&amp;IF((AA31&lt;&gt;"Xn")*(COUNTIFS($C$3:$P$3,"MAT",$C31:$P31,AA$3)=0)*(COUNTIFS($C$3:$P$3,"POM",$C31:$P31,AA$3)=0)*(COUNTIFS($C$3:$P$3,"NOTTE",$C31:$P31,AA$3)=0),"_n","")&amp;", ")))</f>
        <v/>
      </c>
      <c r="CE31" s="1" t="str">
        <f aca="false">IF((AB31="X")+(AB31="Gn")+(AB31="C")+(AB30="Gn")&gt;0,"",IF(((AB31&lt;&gt;"Xm")*(COUNTIFS($C$3:$P$3,"MAT",$C31:$P31,AB$3)=0)*(COUNTIFS($C$3:$P$3,"NOTTE",$C31:$P31,AB$3)=0))+((AB31&lt;&gt;"Xp")*(COUNTIFS($C$3:$P$3,"POM",$C31:$P31,AB$3)=0)*(COUNTIFS($C$3:$P$3,"NOTTE",$C31:$P31,AB$3)=0))+((AB31&lt;&gt;"Xn")*(COUNTIFS($C$3:$P$3,"MAT",$C31:$P31,AB$3)=0)*(COUNTIFS($C$3:$P$3,"POM",$C31:$P31,AB$3)=0)*(COUNTIFS($C$3:$P$3,"NOTTE",$C31:$P31,AB$3)=0))=0,"",IF(((AB31&lt;&gt;"Xm")*(COUNTIFS($C$3:$P$3,"MAT",$C31:$P31,AB$3)=0)*(COUNTIFS($C$3:$P$3,"NOTTE",$C31:$P31,AB$3)=0))+((AB31&lt;&gt;"Xp")*(COUNTIFS($C$3:$P$3,"POM",$C31:$P31,AB$3)=0)*(COUNTIFS($C$3:$P$3,"NOTTE",$C31:$P31,AB$3)=0))+((AB31&lt;&gt;"Xn")*(COUNTIFS($C$3:$P$3,"MAT",$C31:$P31,AB$3)=0)*(COUNTIFS($C$3:$P$3,"POM",$C31:$P31,AB$3)=0)*(COUNTIFS($C$3:$P$3,"NOTTE",$C31:$P31,AB$3)=0))=3,AB$3&amp;", ",AB$3&amp;IF((AB31&lt;&gt;"Xm")*(COUNTIFS($C$3:$P$3,"MAT",$C31:$P31,AB$3)=0)*(COUNTIFS($C$3:$P$3,"NOTTE",$C31:$P31,AB$3)=0),"_m","")&amp;IF((AB31&lt;&gt;"Xp")*(COUNTIFS($C$3:$P$3,"POM",$C31:$P31,AB$3)=0)*(COUNTIFS($C$3:$P$3,"NOTTE",$C31:$P31,AB$3)=0),"_p","")&amp;IF((AB31&lt;&gt;"Xn")*(COUNTIFS($C$3:$P$3,"MAT",$C31:$P31,AB$3)=0)*(COUNTIFS($C$3:$P$3,"POM",$C31:$P31,AB$3)=0)*(COUNTIFS($C$3:$P$3,"NOTTE",$C31:$P31,AB$3)=0),"_n","")&amp;", ")))</f>
        <v>ROSSI M_p, </v>
      </c>
      <c r="CF31" s="1" t="str">
        <f aca="false">IF((AC31="X")+(AC31="Gn")+(AC31="C")+(AC30="Gn")&gt;0,"",IF(((AC31&lt;&gt;"Xm")*(COUNTIFS($C$3:$P$3,"MAT",$C31:$P31,AC$3)=0)*(COUNTIFS($C$3:$P$3,"NOTTE",$C31:$P31,AC$3)=0))+((AC31&lt;&gt;"Xp")*(COUNTIFS($C$3:$P$3,"POM",$C31:$P31,AC$3)=0)*(COUNTIFS($C$3:$P$3,"NOTTE",$C31:$P31,AC$3)=0))+((AC31&lt;&gt;"Xn")*(COUNTIFS($C$3:$P$3,"MAT",$C31:$P31,AC$3)=0)*(COUNTIFS($C$3:$P$3,"POM",$C31:$P31,AC$3)=0)*(COUNTIFS($C$3:$P$3,"NOTTE",$C31:$P31,AC$3)=0))=0,"",IF(((AC31&lt;&gt;"Xm")*(COUNTIFS($C$3:$P$3,"MAT",$C31:$P31,AC$3)=0)*(COUNTIFS($C$3:$P$3,"NOTTE",$C31:$P31,AC$3)=0))+((AC31&lt;&gt;"Xp")*(COUNTIFS($C$3:$P$3,"POM",$C31:$P31,AC$3)=0)*(COUNTIFS($C$3:$P$3,"NOTTE",$C31:$P31,AC$3)=0))+((AC31&lt;&gt;"Xn")*(COUNTIFS($C$3:$P$3,"MAT",$C31:$P31,AC$3)=0)*(COUNTIFS($C$3:$P$3,"POM",$C31:$P31,AC$3)=0)*(COUNTIFS($C$3:$P$3,"NOTTE",$C31:$P31,AC$3)=0))=3,AC$3&amp;", ",AC$3&amp;IF((AC31&lt;&gt;"Xm")*(COUNTIFS($C$3:$P$3,"MAT",$C31:$P31,AC$3)=0)*(COUNTIFS($C$3:$P$3,"NOTTE",$C31:$P31,AC$3)=0),"_m","")&amp;IF((AC31&lt;&gt;"Xp")*(COUNTIFS($C$3:$P$3,"POM",$C31:$P31,AC$3)=0)*(COUNTIFS($C$3:$P$3,"NOTTE",$C31:$P31,AC$3)=0),"_p","")&amp;IF((AC31&lt;&gt;"Xn")*(COUNTIFS($C$3:$P$3,"MAT",$C31:$P31,AC$3)=0)*(COUNTIFS($C$3:$P$3,"POM",$C31:$P31,AC$3)=0)*(COUNTIFS($C$3:$P$3,"NOTTE",$C31:$P31,AC$3)=0),"_n","")&amp;", ")))</f>
        <v/>
      </c>
      <c r="CG31" s="1" t="str">
        <f aca="false">IF((AD31="X")+(AD31="Gn")+(AD31="C")+(AD30="Gn")&gt;0,"",IF(((AD31&lt;&gt;"Xm")*(COUNTIFS($C$3:$P$3,"MAT",$C31:$P31,AD$3)=0)*(COUNTIFS($C$3:$P$3,"NOTTE",$C31:$P31,AD$3)=0))+((AD31&lt;&gt;"Xp")*(COUNTIFS($C$3:$P$3,"POM",$C31:$P31,AD$3)=0)*(COUNTIFS($C$3:$P$3,"NOTTE",$C31:$P31,AD$3)=0))+((AD31&lt;&gt;"Xn")*(COUNTIFS($C$3:$P$3,"MAT",$C31:$P31,AD$3)=0)*(COUNTIFS($C$3:$P$3,"POM",$C31:$P31,AD$3)=0)*(COUNTIFS($C$3:$P$3,"NOTTE",$C31:$P31,AD$3)=0))=0,"",IF(((AD31&lt;&gt;"Xm")*(COUNTIFS($C$3:$P$3,"MAT",$C31:$P31,AD$3)=0)*(COUNTIFS($C$3:$P$3,"NOTTE",$C31:$P31,AD$3)=0))+((AD31&lt;&gt;"Xp")*(COUNTIFS($C$3:$P$3,"POM",$C31:$P31,AD$3)=0)*(COUNTIFS($C$3:$P$3,"NOTTE",$C31:$P31,AD$3)=0))+((AD31&lt;&gt;"Xn")*(COUNTIFS($C$3:$P$3,"MAT",$C31:$P31,AD$3)=0)*(COUNTIFS($C$3:$P$3,"POM",$C31:$P31,AD$3)=0)*(COUNTIFS($C$3:$P$3,"NOTTE",$C31:$P31,AD$3)=0))=3,AD$3&amp;", ",AD$3&amp;IF((AD31&lt;&gt;"Xm")*(COUNTIFS($C$3:$P$3,"MAT",$C31:$P31,AD$3)=0)*(COUNTIFS($C$3:$P$3,"NOTTE",$C31:$P31,AD$3)=0),"_m","")&amp;IF((AD31&lt;&gt;"Xp")*(COUNTIFS($C$3:$P$3,"POM",$C31:$P31,AD$3)=0)*(COUNTIFS($C$3:$P$3,"NOTTE",$C31:$P31,AD$3)=0),"_p","")&amp;IF((AD31&lt;&gt;"Xn")*(COUNTIFS($C$3:$P$3,"MAT",$C31:$P31,AD$3)=0)*(COUNTIFS($C$3:$P$3,"POM",$C31:$P31,AD$3)=0)*(COUNTIFS($C$3:$P$3,"NOTTE",$C31:$P31,AD$3)=0),"_n","")&amp;", ")))</f>
        <v>GALLINA, </v>
      </c>
      <c r="CH31" s="1" t="str">
        <f aca="false">IF((AE31="X")+(AE31="Gn")+(AE31="C")+(AE30="Gn")&gt;0,"",IF(((AE31&lt;&gt;"Xm")*(COUNTIFS($C$3:$P$3,"MAT",$C31:$P31,AE$3)=0)*(COUNTIFS($C$3:$P$3,"NOTTE",$C31:$P31,AE$3)=0))+((AE31&lt;&gt;"Xp")*(COUNTIFS($C$3:$P$3,"POM",$C31:$P31,AE$3)=0)*(COUNTIFS($C$3:$P$3,"NOTTE",$C31:$P31,AE$3)=0))+((AE31&lt;&gt;"Xn")*(COUNTIFS($C$3:$P$3,"MAT",$C31:$P31,AE$3)=0)*(COUNTIFS($C$3:$P$3,"POM",$C31:$P31,AE$3)=0)*(COUNTIFS($C$3:$P$3,"NOTTE",$C31:$P31,AE$3)=0))=0,"",IF(((AE31&lt;&gt;"Xm")*(COUNTIFS($C$3:$P$3,"MAT",$C31:$P31,AE$3)=0)*(COUNTIFS($C$3:$P$3,"NOTTE",$C31:$P31,AE$3)=0))+((AE31&lt;&gt;"Xp")*(COUNTIFS($C$3:$P$3,"POM",$C31:$P31,AE$3)=0)*(COUNTIFS($C$3:$P$3,"NOTTE",$C31:$P31,AE$3)=0))+((AE31&lt;&gt;"Xn")*(COUNTIFS($C$3:$P$3,"MAT",$C31:$P31,AE$3)=0)*(COUNTIFS($C$3:$P$3,"POM",$C31:$P31,AE$3)=0)*(COUNTIFS($C$3:$P$3,"NOTTE",$C31:$P31,AE$3)=0))=3,AE$3&amp;", ",AE$3&amp;IF((AE31&lt;&gt;"Xm")*(COUNTIFS($C$3:$P$3,"MAT",$C31:$P31,AE$3)=0)*(COUNTIFS($C$3:$P$3,"NOTTE",$C31:$P31,AE$3)=0),"_m","")&amp;IF((AE31&lt;&gt;"Xp")*(COUNTIFS($C$3:$P$3,"POM",$C31:$P31,AE$3)=0)*(COUNTIFS($C$3:$P$3,"NOTTE",$C31:$P31,AE$3)=0),"_p","")&amp;IF((AE31&lt;&gt;"Xn")*(COUNTIFS($C$3:$P$3,"MAT",$C31:$P31,AE$3)=0)*(COUNTIFS($C$3:$P$3,"POM",$C31:$P31,AE$3)=0)*(COUNTIFS($C$3:$P$3,"NOTTE",$C31:$P31,AE$3)=0),"_n","")&amp;", ")))</f>
        <v>RUSSO, </v>
      </c>
      <c r="CI31" s="1" t="str">
        <f aca="false">IF((AF31="X")+(AF31="Gn")+(AF31="C")+(AF30="Gn")&gt;0,"",IF(((AF31&lt;&gt;"Xm")*(COUNTIFS($C$3:$P$3,"MAT",$C31:$P31,AF$3)=0)*(COUNTIFS($C$3:$P$3,"NOTTE",$C31:$P31,AF$3)=0))+((AF31&lt;&gt;"Xp")*(COUNTIFS($C$3:$P$3,"POM",$C31:$P31,AF$3)=0)*(COUNTIFS($C$3:$P$3,"NOTTE",$C31:$P31,AF$3)=0))+((AF31&lt;&gt;"Xn")*(COUNTIFS($C$3:$P$3,"MAT",$C31:$P31,AF$3)=0)*(COUNTIFS($C$3:$P$3,"POM",$C31:$P31,AF$3)=0)*(COUNTIFS($C$3:$P$3,"NOTTE",$C31:$P31,AF$3)=0))=0,"",IF(((AF31&lt;&gt;"Xm")*(COUNTIFS($C$3:$P$3,"MAT",$C31:$P31,AF$3)=0)*(COUNTIFS($C$3:$P$3,"NOTTE",$C31:$P31,AF$3)=0))+((AF31&lt;&gt;"Xp")*(COUNTIFS($C$3:$P$3,"POM",$C31:$P31,AF$3)=0)*(COUNTIFS($C$3:$P$3,"NOTTE",$C31:$P31,AF$3)=0))+((AF31&lt;&gt;"Xn")*(COUNTIFS($C$3:$P$3,"MAT",$C31:$P31,AF$3)=0)*(COUNTIFS($C$3:$P$3,"POM",$C31:$P31,AF$3)=0)*(COUNTIFS($C$3:$P$3,"NOTTE",$C31:$P31,AF$3)=0))=3,AF$3&amp;", ",AF$3&amp;IF((AF31&lt;&gt;"Xm")*(COUNTIFS($C$3:$P$3,"MAT",$C31:$P31,AF$3)=0)*(COUNTIFS($C$3:$P$3,"NOTTE",$C31:$P31,AF$3)=0),"_m","")&amp;IF((AF31&lt;&gt;"Xp")*(COUNTIFS($C$3:$P$3,"POM",$C31:$P31,AF$3)=0)*(COUNTIFS($C$3:$P$3,"NOTTE",$C31:$P31,AF$3)=0),"_p","")&amp;IF((AF31&lt;&gt;"Xn")*(COUNTIFS($C$3:$P$3,"MAT",$C31:$P31,AF$3)=0)*(COUNTIFS($C$3:$P$3,"POM",$C31:$P31,AF$3)=0)*(COUNTIFS($C$3:$P$3,"NOTTE",$C31:$P31,AF$3)=0),"_n","")&amp;", ")))</f>
        <v>VERDI, </v>
      </c>
      <c r="CJ31" s="1" t="str">
        <f aca="false">IF((AG31="X")+(AG31="Gn")+(AG31="C")+(AG30="Gn")&gt;0,"",IF(((AG31&lt;&gt;"Xm")*(COUNTIFS($C$3:$P$3,"MAT",$C31:$P31,AG$3)=0)*(COUNTIFS($C$3:$P$3,"NOTTE",$C31:$P31,AG$3)=0))+((AG31&lt;&gt;"Xp")*(COUNTIFS($C$3:$P$3,"POM",$C31:$P31,AG$3)=0)*(COUNTIFS($C$3:$P$3,"NOTTE",$C31:$P31,AG$3)=0))+((AG31&lt;&gt;"Xn")*(COUNTIFS($C$3:$P$3,"MAT",$C31:$P31,AG$3)=0)*(COUNTIFS($C$3:$P$3,"POM",$C31:$P31,AG$3)=0)*(COUNTIFS($C$3:$P$3,"NOTTE",$C31:$P31,AG$3)=0))=0,"",IF(((AG31&lt;&gt;"Xm")*(COUNTIFS($C$3:$P$3,"MAT",$C31:$P31,AG$3)=0)*(COUNTIFS($C$3:$P$3,"NOTTE",$C31:$P31,AG$3)=0))+((AG31&lt;&gt;"Xp")*(COUNTIFS($C$3:$P$3,"POM",$C31:$P31,AG$3)=0)*(COUNTIFS($C$3:$P$3,"NOTTE",$C31:$P31,AG$3)=0))+((AG31&lt;&gt;"Xn")*(COUNTIFS($C$3:$P$3,"MAT",$C31:$P31,AG$3)=0)*(COUNTIFS($C$3:$P$3,"POM",$C31:$P31,AG$3)=0)*(COUNTIFS($C$3:$P$3,"NOTTE",$C31:$P31,AG$3)=0))=3,AG$3&amp;", ",AG$3&amp;IF((AG31&lt;&gt;"Xm")*(COUNTIFS($C$3:$P$3,"MAT",$C31:$P31,AG$3)=0)*(COUNTIFS($C$3:$P$3,"NOTTE",$C31:$P31,AG$3)=0),"_m","")&amp;IF((AG31&lt;&gt;"Xp")*(COUNTIFS($C$3:$P$3,"POM",$C31:$P31,AG$3)=0)*(COUNTIFS($C$3:$P$3,"NOTTE",$C31:$P31,AG$3)=0),"_p","")&amp;IF((AG31&lt;&gt;"Xn")*(COUNTIFS($C$3:$P$3,"MAT",$C31:$P31,AG$3)=0)*(COUNTIFS($C$3:$P$3,"POM",$C31:$P31,AG$3)=0)*(COUNTIFS($C$3:$P$3,"NOTTE",$C31:$P31,AG$3)=0),"_n","")&amp;", ")))</f>
        <v>HU, </v>
      </c>
      <c r="CK31" s="1" t="str">
        <f aca="false">IF((AH31="X")+(AH31="Gn")+(AH31="C")+(AH30="Gn")&gt;0,"",IF(((AH31&lt;&gt;"Xm")*(COUNTIFS($C$3:$P$3,"MAT",$C31:$P31,AH$3)=0)*(COUNTIFS($C$3:$P$3,"NOTTE",$C31:$P31,AH$3)=0))+((AH31&lt;&gt;"Xp")*(COUNTIFS($C$3:$P$3,"POM",$C31:$P31,AH$3)=0)*(COUNTIFS($C$3:$P$3,"NOTTE",$C31:$P31,AH$3)=0))+((AH31&lt;&gt;"Xn")*(COUNTIFS($C$3:$P$3,"MAT",$C31:$P31,AH$3)=0)*(COUNTIFS($C$3:$P$3,"POM",$C31:$P31,AH$3)=0)*(COUNTIFS($C$3:$P$3,"NOTTE",$C31:$P31,AH$3)=0))=0,"",IF(((AH31&lt;&gt;"Xm")*(COUNTIFS($C$3:$P$3,"MAT",$C31:$P31,AH$3)=0)*(COUNTIFS($C$3:$P$3,"NOTTE",$C31:$P31,AH$3)=0))+((AH31&lt;&gt;"Xp")*(COUNTIFS($C$3:$P$3,"POM",$C31:$P31,AH$3)=0)*(COUNTIFS($C$3:$P$3,"NOTTE",$C31:$P31,AH$3)=0))+((AH31&lt;&gt;"Xn")*(COUNTIFS($C$3:$P$3,"MAT",$C31:$P31,AH$3)=0)*(COUNTIFS($C$3:$P$3,"POM",$C31:$P31,AH$3)=0)*(COUNTIFS($C$3:$P$3,"NOTTE",$C31:$P31,AH$3)=0))=3,AH$3&amp;", ",AH$3&amp;IF((AH31&lt;&gt;"Xm")*(COUNTIFS($C$3:$P$3,"MAT",$C31:$P31,AH$3)=0)*(COUNTIFS($C$3:$P$3,"NOTTE",$C31:$P31,AH$3)=0),"_m","")&amp;IF((AH31&lt;&gt;"Xp")*(COUNTIFS($C$3:$P$3,"POM",$C31:$P31,AH$3)=0)*(COUNTIFS($C$3:$P$3,"NOTTE",$C31:$P31,AH$3)=0),"_p","")&amp;IF((AH31&lt;&gt;"Xn")*(COUNTIFS($C$3:$P$3,"MAT",$C31:$P31,AH$3)=0)*(COUNTIFS($C$3:$P$3,"POM",$C31:$P31,AH$3)=0)*(COUNTIFS($C$3:$P$3,"NOTTE",$C31:$P31,AH$3)=0),"_n","")&amp;", ")))</f>
        <v/>
      </c>
      <c r="CL31" s="1" t="str">
        <f aca="false">IF((AI31="X")+(AI31="Gn")+(AI31="C")+(AI30="Gn")&gt;0,"",IF(((AI31&lt;&gt;"Xm")*(COUNTIFS($C$3:$P$3,"MAT",$C31:$P31,AI$3)=0)*(COUNTIFS($C$3:$P$3,"NOTTE",$C31:$P31,AI$3)=0))+((AI31&lt;&gt;"Xp")*(COUNTIFS($C$3:$P$3,"POM",$C31:$P31,AI$3)=0)*(COUNTIFS($C$3:$P$3,"NOTTE",$C31:$P31,AI$3)=0))+((AI31&lt;&gt;"Xn")*(COUNTIFS($C$3:$P$3,"MAT",$C31:$P31,AI$3)=0)*(COUNTIFS($C$3:$P$3,"POM",$C31:$P31,AI$3)=0)*(COUNTIFS($C$3:$P$3,"NOTTE",$C31:$P31,AI$3)=0))=0,"",IF(((AI31&lt;&gt;"Xm")*(COUNTIFS($C$3:$P$3,"MAT",$C31:$P31,AI$3)=0)*(COUNTIFS($C$3:$P$3,"NOTTE",$C31:$P31,AI$3)=0))+((AI31&lt;&gt;"Xp")*(COUNTIFS($C$3:$P$3,"POM",$C31:$P31,AI$3)=0)*(COUNTIFS($C$3:$P$3,"NOTTE",$C31:$P31,AI$3)=0))+((AI31&lt;&gt;"Xn")*(COUNTIFS($C$3:$P$3,"MAT",$C31:$P31,AI$3)=0)*(COUNTIFS($C$3:$P$3,"POM",$C31:$P31,AI$3)=0)*(COUNTIFS($C$3:$P$3,"NOTTE",$C31:$P31,AI$3)=0))=3,AI$3&amp;", ",AI$3&amp;IF((AI31&lt;&gt;"Xm")*(COUNTIFS($C$3:$P$3,"MAT",$C31:$P31,AI$3)=0)*(COUNTIFS($C$3:$P$3,"NOTTE",$C31:$P31,AI$3)=0),"_m","")&amp;IF((AI31&lt;&gt;"Xp")*(COUNTIFS($C$3:$P$3,"POM",$C31:$P31,AI$3)=0)*(COUNTIFS($C$3:$P$3,"NOTTE",$C31:$P31,AI$3)=0),"_p","")&amp;IF((AI31&lt;&gt;"Xn")*(COUNTIFS($C$3:$P$3,"MAT",$C31:$P31,AI$3)=0)*(COUNTIFS($C$3:$P$3,"POM",$C31:$P31,AI$3)=0)*(COUNTIFS($C$3:$P$3,"NOTTE",$C31:$P31,AI$3)=0),"_n","")&amp;", ")))</f>
        <v>CONTI A, </v>
      </c>
      <c r="CM31" s="1" t="str">
        <f aca="false">IF((AJ31="X")+(AJ31="Gn")+(AJ31="C")+(AJ30="Gn")&gt;0,"",IF(((AJ31&lt;&gt;"Xm")*(COUNTIFS($C$3:$P$3,"MAT",$C31:$P31,AJ$3)=0)*(COUNTIFS($C$3:$P$3,"NOTTE",$C31:$P31,AJ$3)=0))+((AJ31&lt;&gt;"Xp")*(COUNTIFS($C$3:$P$3,"POM",$C31:$P31,AJ$3)=0)*(COUNTIFS($C$3:$P$3,"NOTTE",$C31:$P31,AJ$3)=0))+((AJ31&lt;&gt;"Xn")*(COUNTIFS($C$3:$P$3,"MAT",$C31:$P31,AJ$3)=0)*(COUNTIFS($C$3:$P$3,"POM",$C31:$P31,AJ$3)=0)*(COUNTIFS($C$3:$P$3,"NOTTE",$C31:$P31,AJ$3)=0))=0,"",IF(((AJ31&lt;&gt;"Xm")*(COUNTIFS($C$3:$P$3,"MAT",$C31:$P31,AJ$3)=0)*(COUNTIFS($C$3:$P$3,"NOTTE",$C31:$P31,AJ$3)=0))+((AJ31&lt;&gt;"Xp")*(COUNTIFS($C$3:$P$3,"POM",$C31:$P31,AJ$3)=0)*(COUNTIFS($C$3:$P$3,"NOTTE",$C31:$P31,AJ$3)=0))+((AJ31&lt;&gt;"Xn")*(COUNTIFS($C$3:$P$3,"MAT",$C31:$P31,AJ$3)=0)*(COUNTIFS($C$3:$P$3,"POM",$C31:$P31,AJ$3)=0)*(COUNTIFS($C$3:$P$3,"NOTTE",$C31:$P31,AJ$3)=0))=3,AJ$3&amp;", ",AJ$3&amp;IF((AJ31&lt;&gt;"Xm")*(COUNTIFS($C$3:$P$3,"MAT",$C31:$P31,AJ$3)=0)*(COUNTIFS($C$3:$P$3,"NOTTE",$C31:$P31,AJ$3)=0),"_m","")&amp;IF((AJ31&lt;&gt;"Xp")*(COUNTIFS($C$3:$P$3,"POM",$C31:$P31,AJ$3)=0)*(COUNTIFS($C$3:$P$3,"NOTTE",$C31:$P31,AJ$3)=0),"_p","")&amp;IF((AJ31&lt;&gt;"Xn")*(COUNTIFS($C$3:$P$3,"MAT",$C31:$P31,AJ$3)=0)*(COUNTIFS($C$3:$P$3,"POM",$C31:$P31,AJ$3)=0)*(COUNTIFS($C$3:$P$3,"NOTTE",$C31:$P31,AJ$3)=0),"_n","")&amp;", ")))</f>
        <v/>
      </c>
      <c r="CN31" s="1" t="str">
        <f aca="false">IF((AK31="X")+(AK31="Gn")+(AK31="C")+(AK30="Gn")&gt;0,"",IF(((AK31&lt;&gt;"Xm")*(COUNTIFS($C$3:$P$3,"MAT",$C31:$P31,AK$3)=0)*(COUNTIFS($C$3:$P$3,"NOTTE",$C31:$P31,AK$3)=0))+((AK31&lt;&gt;"Xp")*(COUNTIFS($C$3:$P$3,"POM",$C31:$P31,AK$3)=0)*(COUNTIFS($C$3:$P$3,"NOTTE",$C31:$P31,AK$3)=0))+((AK31&lt;&gt;"Xn")*(COUNTIFS($C$3:$P$3,"MAT",$C31:$P31,AK$3)=0)*(COUNTIFS($C$3:$P$3,"POM",$C31:$P31,AK$3)=0)*(COUNTIFS($C$3:$P$3,"NOTTE",$C31:$P31,AK$3)=0))=0,"",IF(((AK31&lt;&gt;"Xm")*(COUNTIFS($C$3:$P$3,"MAT",$C31:$P31,AK$3)=0)*(COUNTIFS($C$3:$P$3,"NOTTE",$C31:$P31,AK$3)=0))+((AK31&lt;&gt;"Xp")*(COUNTIFS($C$3:$P$3,"POM",$C31:$P31,AK$3)=0)*(COUNTIFS($C$3:$P$3,"NOTTE",$C31:$P31,AK$3)=0))+((AK31&lt;&gt;"Xn")*(COUNTIFS($C$3:$P$3,"MAT",$C31:$P31,AK$3)=0)*(COUNTIFS($C$3:$P$3,"POM",$C31:$P31,AK$3)=0)*(COUNTIFS($C$3:$P$3,"NOTTE",$C31:$P31,AK$3)=0))=3,AK$3&amp;", ",AK$3&amp;IF((AK31&lt;&gt;"Xm")*(COUNTIFS($C$3:$P$3,"MAT",$C31:$P31,AK$3)=0)*(COUNTIFS($C$3:$P$3,"NOTTE",$C31:$P31,AK$3)=0),"_m","")&amp;IF((AK31&lt;&gt;"Xp")*(COUNTIFS($C$3:$P$3,"POM",$C31:$P31,AK$3)=0)*(COUNTIFS($C$3:$P$3,"NOTTE",$C31:$P31,AK$3)=0),"_p","")&amp;IF((AK31&lt;&gt;"Xn")*(COUNTIFS($C$3:$P$3,"MAT",$C31:$P31,AK$3)=0)*(COUNTIFS($C$3:$P$3,"POM",$C31:$P31,AK$3)=0)*(COUNTIFS($C$3:$P$3,"NOTTE",$C31:$P31,AK$3)=0),"_n","")&amp;", ")))</f>
        <v>FERRARI, </v>
      </c>
      <c r="CO31" s="1" t="str">
        <f aca="false">IF((AL31="X")+(AL31="Gn")+(AL31="C")+(AL30="Gn")&gt;0,"",IF(((AL31&lt;&gt;"Xm")*(COUNTIFS($C$3:$P$3,"MAT",$C31:$P31,AL$3)=0)*(COUNTIFS($C$3:$P$3,"NOTTE",$C31:$P31,AL$3)=0))+((AL31&lt;&gt;"Xp")*(COUNTIFS($C$3:$P$3,"POM",$C31:$P31,AL$3)=0)*(COUNTIFS($C$3:$P$3,"NOTTE",$C31:$P31,AL$3)=0))+((AL31&lt;&gt;"Xn")*(COUNTIFS($C$3:$P$3,"MAT",$C31:$P31,AL$3)=0)*(COUNTIFS($C$3:$P$3,"POM",$C31:$P31,AL$3)=0)*(COUNTIFS($C$3:$P$3,"NOTTE",$C31:$P31,AL$3)=0))=0,"",IF(((AL31&lt;&gt;"Xm")*(COUNTIFS($C$3:$P$3,"MAT",$C31:$P31,AL$3)=0)*(COUNTIFS($C$3:$P$3,"NOTTE",$C31:$P31,AL$3)=0))+((AL31&lt;&gt;"Xp")*(COUNTIFS($C$3:$P$3,"POM",$C31:$P31,AL$3)=0)*(COUNTIFS($C$3:$P$3,"NOTTE",$C31:$P31,AL$3)=0))+((AL31&lt;&gt;"Xn")*(COUNTIFS($C$3:$P$3,"MAT",$C31:$P31,AL$3)=0)*(COUNTIFS($C$3:$P$3,"POM",$C31:$P31,AL$3)=0)*(COUNTIFS($C$3:$P$3,"NOTTE",$C31:$P31,AL$3)=0))=3,AL$3&amp;", ",AL$3&amp;IF((AL31&lt;&gt;"Xm")*(COUNTIFS($C$3:$P$3,"MAT",$C31:$P31,AL$3)=0)*(COUNTIFS($C$3:$P$3,"NOTTE",$C31:$P31,AL$3)=0),"_m","")&amp;IF((AL31&lt;&gt;"Xp")*(COUNTIFS($C$3:$P$3,"POM",$C31:$P31,AL$3)=0)*(COUNTIFS($C$3:$P$3,"NOTTE",$C31:$P31,AL$3)=0),"_p","")&amp;IF((AL31&lt;&gt;"Xn")*(COUNTIFS($C$3:$P$3,"MAT",$C31:$P31,AL$3)=0)*(COUNTIFS($C$3:$P$3,"POM",$C31:$P31,AL$3)=0)*(COUNTIFS($C$3:$P$3,"NOTTE",$C31:$P31,AL$3)=0),"_n","")&amp;", ")))</f>
        <v>GRECO, </v>
      </c>
      <c r="CP31" s="1" t="str">
        <f aca="false">IF((AM31="X")+(AM31="Gn")+(AM31="C")+(AM30="Gn")&gt;0,"",IF(((AM31&lt;&gt;"Xm")*(COUNTIFS($C$3:$P$3,"MAT",$C31:$P31,AM$3)=0)*(COUNTIFS($C$3:$P$3,"NOTTE",$C31:$P31,AM$3)=0))+((AM31&lt;&gt;"Xp")*(COUNTIFS($C$3:$P$3,"POM",$C31:$P31,AM$3)=0)*(COUNTIFS($C$3:$P$3,"NOTTE",$C31:$P31,AM$3)=0))+((AM31&lt;&gt;"Xn")*(COUNTIFS($C$3:$P$3,"MAT",$C31:$P31,AM$3)=0)*(COUNTIFS($C$3:$P$3,"POM",$C31:$P31,AM$3)=0)*(COUNTIFS($C$3:$P$3,"NOTTE",$C31:$P31,AM$3)=0))=0,"",IF(((AM31&lt;&gt;"Xm")*(COUNTIFS($C$3:$P$3,"MAT",$C31:$P31,AM$3)=0)*(COUNTIFS($C$3:$P$3,"NOTTE",$C31:$P31,AM$3)=0))+((AM31&lt;&gt;"Xp")*(COUNTIFS($C$3:$P$3,"POM",$C31:$P31,AM$3)=0)*(COUNTIFS($C$3:$P$3,"NOTTE",$C31:$P31,AM$3)=0))+((AM31&lt;&gt;"Xn")*(COUNTIFS($C$3:$P$3,"MAT",$C31:$P31,AM$3)=0)*(COUNTIFS($C$3:$P$3,"POM",$C31:$P31,AM$3)=0)*(COUNTIFS($C$3:$P$3,"NOTTE",$C31:$P31,AM$3)=0))=3,AM$3&amp;", ",AM$3&amp;IF((AM31&lt;&gt;"Xm")*(COUNTIFS($C$3:$P$3,"MAT",$C31:$P31,AM$3)=0)*(COUNTIFS($C$3:$P$3,"NOTTE",$C31:$P31,AM$3)=0),"_m","")&amp;IF((AM31&lt;&gt;"Xp")*(COUNTIFS($C$3:$P$3,"POM",$C31:$P31,AM$3)=0)*(COUNTIFS($C$3:$P$3,"NOTTE",$C31:$P31,AM$3)=0),"_p","")&amp;IF((AM31&lt;&gt;"Xn")*(COUNTIFS($C$3:$P$3,"MAT",$C31:$P31,AM$3)=0)*(COUNTIFS($C$3:$P$3,"POM",$C31:$P31,AM$3)=0)*(COUNTIFS($C$3:$P$3,"NOTTE",$C31:$P31,AM$3)=0),"_n","")&amp;", ")))</f>
        <v>SANNA, </v>
      </c>
      <c r="CQ31" s="1" t="str">
        <f aca="false">IF((AN31="X")+(AN31="Gn")+(AN31="C")+(AN30="Gn")&gt;0,"",IF(((AN31&lt;&gt;"Xm")*(COUNTIFS($C$3:$P$3,"MAT",$C31:$P31,AN$3)=0)*(COUNTIFS($C$3:$P$3,"NOTTE",$C31:$P31,AN$3)=0))+((AN31&lt;&gt;"Xp")*(COUNTIFS($C$3:$P$3,"POM",$C31:$P31,AN$3)=0)*(COUNTIFS($C$3:$P$3,"NOTTE",$C31:$P31,AN$3)=0))+((AN31&lt;&gt;"Xn")*(COUNTIFS($C$3:$P$3,"MAT",$C31:$P31,AN$3)=0)*(COUNTIFS($C$3:$P$3,"POM",$C31:$P31,AN$3)=0)*(COUNTIFS($C$3:$P$3,"NOTTE",$C31:$P31,AN$3)=0))=0,"",IF(((AN31&lt;&gt;"Xm")*(COUNTIFS($C$3:$P$3,"MAT",$C31:$P31,AN$3)=0)*(COUNTIFS($C$3:$P$3,"NOTTE",$C31:$P31,AN$3)=0))+((AN31&lt;&gt;"Xp")*(COUNTIFS($C$3:$P$3,"POM",$C31:$P31,AN$3)=0)*(COUNTIFS($C$3:$P$3,"NOTTE",$C31:$P31,AN$3)=0))+((AN31&lt;&gt;"Xn")*(COUNTIFS($C$3:$P$3,"MAT",$C31:$P31,AN$3)=0)*(COUNTIFS($C$3:$P$3,"POM",$C31:$P31,AN$3)=0)*(COUNTIFS($C$3:$P$3,"NOTTE",$C31:$P31,AN$3)=0))=3,AN$3&amp;", ",AN$3&amp;IF((AN31&lt;&gt;"Xm")*(COUNTIFS($C$3:$P$3,"MAT",$C31:$P31,AN$3)=0)*(COUNTIFS($C$3:$P$3,"NOTTE",$C31:$P31,AN$3)=0),"_m","")&amp;IF((AN31&lt;&gt;"Xp")*(COUNTIFS($C$3:$P$3,"POM",$C31:$P31,AN$3)=0)*(COUNTIFS($C$3:$P$3,"NOTTE",$C31:$P31,AN$3)=0),"_p","")&amp;IF((AN31&lt;&gt;"Xn")*(COUNTIFS($C$3:$P$3,"MAT",$C31:$P31,AN$3)=0)*(COUNTIFS($C$3:$P$3,"POM",$C31:$P31,AN$3)=0)*(COUNTIFS($C$3:$P$3,"NOTTE",$C31:$P31,AN$3)=0),"_n","")&amp;", ")))</f>
        <v/>
      </c>
    </row>
    <row r="32" customFormat="false" ht="15" hidden="false" customHeight="true" outlineLevel="0" collapsed="false">
      <c r="A32" s="8" t="str">
        <f aca="false">CHOOSE(WEEKDAY(DATE($B$1,$A$2,B32),2),"lunedì","martedì","mercoledì","giovedì","venerdì","sabato","domenica")</f>
        <v>domenica</v>
      </c>
      <c r="B32" s="8" t="n">
        <v>29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 t="s">
        <v>24</v>
      </c>
      <c r="O32" s="8" t="s">
        <v>25</v>
      </c>
      <c r="P32" s="8" t="s">
        <v>33</v>
      </c>
      <c r="Q32" s="8"/>
      <c r="R32" s="8" t="str">
        <f aca="false">IF(SUMPRODUCT(($C$3:$P$3&lt;&gt;"")*($C32:$P32&lt;&gt;"")*(COUNTIFS($C32:$P32,$C32:$P32,$C$3:$P$3,$C$3:$P$3)&gt;1))&gt;0,"X","")</f>
        <v/>
      </c>
      <c r="S32" s="9" t="str">
        <f aca="false"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ROSSI M, ROSSI L_p_n, GALLINA, RUSSO_m_n, VERDI, HU, MARINI, CONTI A, CONTI S, FERRARI, GRECO, SANNA</v>
      </c>
      <c r="T32" s="9" t="str">
        <f aca="false"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ROSSI M_p, GALLINA, RUSSO_m_n, VERDI, HU, MARINI, CONTI A, CONTI S, GRECO, SANNA</v>
      </c>
      <c r="Y32" s="8" t="str">
        <f aca="false">A32</f>
        <v>domenica</v>
      </c>
      <c r="Z32" s="8" t="n">
        <f aca="false">B32</f>
        <v>29</v>
      </c>
      <c r="AA32" s="10"/>
      <c r="AB32" s="10"/>
      <c r="AC32" s="10" t="s">
        <v>46</v>
      </c>
      <c r="AD32" s="10"/>
      <c r="AE32" s="10" t="s">
        <v>43</v>
      </c>
      <c r="AF32" s="10"/>
      <c r="AG32" s="10"/>
      <c r="AH32" s="10"/>
      <c r="AI32" s="10"/>
      <c r="AJ32" s="10"/>
      <c r="AK32" s="10"/>
      <c r="AL32" s="10"/>
      <c r="AM32" s="10"/>
      <c r="AN32" s="10"/>
      <c r="BO32" s="1" t="str">
        <f aca="false">IF((AA32="X")+(AA32="Gn")+(AA32="C")+(AA31="Gn")&gt;0,"",IF(((AA32&lt;&gt;"Xm"))+((AA32&lt;&gt;"Xp"))+((AA32&lt;&gt;"Xn"))=0,"",IF(((AA32&lt;&gt;"Xm"))+((AA32&lt;&gt;"Xp"))+((AA32&lt;&gt;"Xn"))=3,AA$3&amp;", ",AA$3&amp;IF((AA32&lt;&gt;"Xm"),"_m","")&amp;IF((AA32&lt;&gt;"Xp"),"_p","")&amp;IF((AA32&lt;&gt;"Xn"),"_n","")&amp;", ")))</f>
        <v/>
      </c>
      <c r="BP32" s="1" t="str">
        <f aca="false">IF((AB32="X")+(AB32="Gn")+(AB32="C")+(AB31="Gn")&gt;0,"",IF(((AB32&lt;&gt;"Xm"))+((AB32&lt;&gt;"Xp"))+((AB32&lt;&gt;"Xn"))=0,"",IF(((AB32&lt;&gt;"Xm"))+((AB32&lt;&gt;"Xp"))+((AB32&lt;&gt;"Xn"))=3,AB$3&amp;", ",AB$3&amp;IF((AB32&lt;&gt;"Xm"),"_m","")&amp;IF((AB32&lt;&gt;"Xp"),"_p","")&amp;IF((AB32&lt;&gt;"Xn"),"_n","")&amp;", ")))</f>
        <v>ROSSI M, </v>
      </c>
      <c r="BQ32" s="1" t="str">
        <f aca="false">IF((AC32="X")+(AC32="Gn")+(AC32="C")+(AC31="Gn")&gt;0,"",IF(((AC32&lt;&gt;"Xm"))+((AC32&lt;&gt;"Xp"))+((AC32&lt;&gt;"Xn"))=0,"",IF(((AC32&lt;&gt;"Xm"))+((AC32&lt;&gt;"Xp"))+((AC32&lt;&gt;"Xn"))=3,AC$3&amp;", ",AC$3&amp;IF((AC32&lt;&gt;"Xm"),"_m","")&amp;IF((AC32&lt;&gt;"Xp"),"_p","")&amp;IF((AC32&lt;&gt;"Xn"),"_n","")&amp;", ")))</f>
        <v>ROSSI L_p_n, </v>
      </c>
      <c r="BR32" s="1" t="str">
        <f aca="false">IF((AD32="X")+(AD32="Gn")+(AD32="C")+(AD31="Gn")&gt;0,"",IF(((AD32&lt;&gt;"Xm"))+((AD32&lt;&gt;"Xp"))+((AD32&lt;&gt;"Xn"))=0,"",IF(((AD32&lt;&gt;"Xm"))+((AD32&lt;&gt;"Xp"))+((AD32&lt;&gt;"Xn"))=3,AD$3&amp;", ",AD$3&amp;IF((AD32&lt;&gt;"Xm"),"_m","")&amp;IF((AD32&lt;&gt;"Xp"),"_p","")&amp;IF((AD32&lt;&gt;"Xn"),"_n","")&amp;", ")))</f>
        <v>GALLINA, </v>
      </c>
      <c r="BS32" s="1" t="str">
        <f aca="false">IF((AE32="X")+(AE32="Gn")+(AE32="C")+(AE31="Gn")&gt;0,"",IF(((AE32&lt;&gt;"Xm"))+((AE32&lt;&gt;"Xp"))+((AE32&lt;&gt;"Xn"))=0,"",IF(((AE32&lt;&gt;"Xm"))+((AE32&lt;&gt;"Xp"))+((AE32&lt;&gt;"Xn"))=3,AE$3&amp;", ",AE$3&amp;IF((AE32&lt;&gt;"Xm"),"_m","")&amp;IF((AE32&lt;&gt;"Xp"),"_p","")&amp;IF((AE32&lt;&gt;"Xn"),"_n","")&amp;", ")))</f>
        <v>RUSSO_m_n, </v>
      </c>
      <c r="BT32" s="1" t="str">
        <f aca="false">IF((AF32="X")+(AF32="Gn")+(AF32="C")+(AF31="Gn")&gt;0,"",IF(((AF32&lt;&gt;"Xm"))+((AF32&lt;&gt;"Xp"))+((AF32&lt;&gt;"Xn"))=0,"",IF(((AF32&lt;&gt;"Xm"))+((AF32&lt;&gt;"Xp"))+((AF32&lt;&gt;"Xn"))=3,AF$3&amp;", ",AF$3&amp;IF((AF32&lt;&gt;"Xm"),"_m","")&amp;IF((AF32&lt;&gt;"Xp"),"_p","")&amp;IF((AF32&lt;&gt;"Xn"),"_n","")&amp;", ")))</f>
        <v>VERDI, </v>
      </c>
      <c r="BU32" s="1" t="str">
        <f aca="false">IF((AG32="X")+(AG32="Gn")+(AG32="C")+(AG31="Gn")&gt;0,"",IF(((AG32&lt;&gt;"Xm"))+((AG32&lt;&gt;"Xp"))+((AG32&lt;&gt;"Xn"))=0,"",IF(((AG32&lt;&gt;"Xm"))+((AG32&lt;&gt;"Xp"))+((AG32&lt;&gt;"Xn"))=3,AG$3&amp;", ",AG$3&amp;IF((AG32&lt;&gt;"Xm"),"_m","")&amp;IF((AG32&lt;&gt;"Xp"),"_p","")&amp;IF((AG32&lt;&gt;"Xn"),"_n","")&amp;", ")))</f>
        <v>HU, </v>
      </c>
      <c r="BV32" s="1" t="str">
        <f aca="false">IF((AH32="X")+(AH32="Gn")+(AH32="C")+(AH31="Gn")&gt;0,"",IF(((AH32&lt;&gt;"Xm"))+((AH32&lt;&gt;"Xp"))+((AH32&lt;&gt;"Xn"))=0,"",IF(((AH32&lt;&gt;"Xm"))+((AH32&lt;&gt;"Xp"))+((AH32&lt;&gt;"Xn"))=3,AH$3&amp;", ",AH$3&amp;IF((AH32&lt;&gt;"Xm"),"_m","")&amp;IF((AH32&lt;&gt;"Xp"),"_p","")&amp;IF((AH32&lt;&gt;"Xn"),"_n","")&amp;", ")))</f>
        <v>MARINI, </v>
      </c>
      <c r="BW32" s="1" t="str">
        <f aca="false">IF((AI32="X")+(AI32="Gn")+(AI32="C")+(AI31="Gn")&gt;0,"",IF(((AI32&lt;&gt;"Xm"))+((AI32&lt;&gt;"Xp"))+((AI32&lt;&gt;"Xn"))=0,"",IF(((AI32&lt;&gt;"Xm"))+((AI32&lt;&gt;"Xp"))+((AI32&lt;&gt;"Xn"))=3,AI$3&amp;", ",AI$3&amp;IF((AI32&lt;&gt;"Xm"),"_m","")&amp;IF((AI32&lt;&gt;"Xp"),"_p","")&amp;IF((AI32&lt;&gt;"Xn"),"_n","")&amp;", ")))</f>
        <v>CONTI A, </v>
      </c>
      <c r="BX32" s="1" t="str">
        <f aca="false">IF((AJ32="X")+(AJ32="Gn")+(AJ32="C")+(AJ31="Gn")&gt;0,"",IF(((AJ32&lt;&gt;"Xm"))+((AJ32&lt;&gt;"Xp"))+((AJ32&lt;&gt;"Xn"))=0,"",IF(((AJ32&lt;&gt;"Xm"))+((AJ32&lt;&gt;"Xp"))+((AJ32&lt;&gt;"Xn"))=3,AJ$3&amp;", ",AJ$3&amp;IF((AJ32&lt;&gt;"Xm"),"_m","")&amp;IF((AJ32&lt;&gt;"Xp"),"_p","")&amp;IF((AJ32&lt;&gt;"Xn"),"_n","")&amp;", ")))</f>
        <v>CONTI S, </v>
      </c>
      <c r="BY32" s="1" t="str">
        <f aca="false">IF((AK32="X")+(AK32="Gn")+(AK32="C")+(AK31="Gn")&gt;0,"",IF(((AK32&lt;&gt;"Xm"))+((AK32&lt;&gt;"Xp"))+((AK32&lt;&gt;"Xn"))=0,"",IF(((AK32&lt;&gt;"Xm"))+((AK32&lt;&gt;"Xp"))+((AK32&lt;&gt;"Xn"))=3,AK$3&amp;", ",AK$3&amp;IF((AK32&lt;&gt;"Xm"),"_m","")&amp;IF((AK32&lt;&gt;"Xp"),"_p","")&amp;IF((AK32&lt;&gt;"Xn"),"_n","")&amp;", ")))</f>
        <v>FERRARI, </v>
      </c>
      <c r="BZ32" s="1" t="str">
        <f aca="false">IF((AL32="X")+(AL32="Gn")+(AL32="C")+(AL31="Gn")&gt;0,"",IF(((AL32&lt;&gt;"Xm"))+((AL32&lt;&gt;"Xp"))+((AL32&lt;&gt;"Xn"))=0,"",IF(((AL32&lt;&gt;"Xm"))+((AL32&lt;&gt;"Xp"))+((AL32&lt;&gt;"Xn"))=3,AL$3&amp;", ",AL$3&amp;IF((AL32&lt;&gt;"Xm"),"_m","")&amp;IF((AL32&lt;&gt;"Xp"),"_p","")&amp;IF((AL32&lt;&gt;"Xn"),"_n","")&amp;", ")))</f>
        <v>GRECO, </v>
      </c>
      <c r="CA32" s="1" t="str">
        <f aca="false">IF((AM32="X")+(AM32="Gn")+(AM32="C")+(AM31="Gn")&gt;0,"",IF(((AM32&lt;&gt;"Xm"))+((AM32&lt;&gt;"Xp"))+((AM32&lt;&gt;"Xn"))=0,"",IF(((AM32&lt;&gt;"Xm"))+((AM32&lt;&gt;"Xp"))+((AM32&lt;&gt;"Xn"))=3,AM$3&amp;", ",AM$3&amp;IF((AM32&lt;&gt;"Xm"),"_m","")&amp;IF((AM32&lt;&gt;"Xp"),"_p","")&amp;IF((AM32&lt;&gt;"Xn"),"_n","")&amp;", ")))</f>
        <v>SANNA, </v>
      </c>
      <c r="CB32" s="1" t="str">
        <f aca="false">IF((AN32="X")+(AN32="Gn")+(AN32="C")+(AN31="Gn")&gt;0,"",IF(((AN32&lt;&gt;"Xm"))+((AN32&lt;&gt;"Xp"))+((AN32&lt;&gt;"Xn"))=0,"",IF(((AN32&lt;&gt;"Xm"))+((AN32&lt;&gt;"Xp"))+((AN32&lt;&gt;"Xn"))=3,AN$3&amp;", ",AN$3&amp;IF((AN32&lt;&gt;"Xm"),"_m","")&amp;IF((AN32&lt;&gt;"Xp"),"_p","")&amp;IF((AN32&lt;&gt;"Xn"),"_n","")&amp;", ")))</f>
        <v/>
      </c>
      <c r="CD32" s="1" t="str">
        <f aca="false">IF((AA32="X")+(AA32="Gn")+(AA32="C")+(AA31="Gn")&gt;0,"",IF(((AA32&lt;&gt;"Xm")*(COUNTIFS($C$3:$P$3,"MAT",$C32:$P32,AA$3)=0)*(COUNTIFS($C$3:$P$3,"NOTTE",$C32:$P32,AA$3)=0))+((AA32&lt;&gt;"Xp")*(COUNTIFS($C$3:$P$3,"POM",$C32:$P32,AA$3)=0)*(COUNTIFS($C$3:$P$3,"NOTTE",$C32:$P32,AA$3)=0))+((AA32&lt;&gt;"Xn")*(COUNTIFS($C$3:$P$3,"MAT",$C32:$P32,AA$3)=0)*(COUNTIFS($C$3:$P$3,"POM",$C32:$P32,AA$3)=0)*(COUNTIFS($C$3:$P$3,"NOTTE",$C32:$P32,AA$3)=0))=0,"",IF(((AA32&lt;&gt;"Xm")*(COUNTIFS($C$3:$P$3,"MAT",$C32:$P32,AA$3)=0)*(COUNTIFS($C$3:$P$3,"NOTTE",$C32:$P32,AA$3)=0))+((AA32&lt;&gt;"Xp")*(COUNTIFS($C$3:$P$3,"POM",$C32:$P32,AA$3)=0)*(COUNTIFS($C$3:$P$3,"NOTTE",$C32:$P32,AA$3)=0))+((AA32&lt;&gt;"Xn")*(COUNTIFS($C$3:$P$3,"MAT",$C32:$P32,AA$3)=0)*(COUNTIFS($C$3:$P$3,"POM",$C32:$P32,AA$3)=0)*(COUNTIFS($C$3:$P$3,"NOTTE",$C32:$P32,AA$3)=0))=3,AA$3&amp;", ",AA$3&amp;IF((AA32&lt;&gt;"Xm")*(COUNTIFS($C$3:$P$3,"MAT",$C32:$P32,AA$3)=0)*(COUNTIFS($C$3:$P$3,"NOTTE",$C32:$P32,AA$3)=0),"_m","")&amp;IF((AA32&lt;&gt;"Xp")*(COUNTIFS($C$3:$P$3,"POM",$C32:$P32,AA$3)=0)*(COUNTIFS($C$3:$P$3,"NOTTE",$C32:$P32,AA$3)=0),"_p","")&amp;IF((AA32&lt;&gt;"Xn")*(COUNTIFS($C$3:$P$3,"MAT",$C32:$P32,AA$3)=0)*(COUNTIFS($C$3:$P$3,"POM",$C32:$P32,AA$3)=0)*(COUNTIFS($C$3:$P$3,"NOTTE",$C32:$P32,AA$3)=0),"_n","")&amp;", ")))</f>
        <v/>
      </c>
      <c r="CE32" s="1" t="str">
        <f aca="false">IF((AB32="X")+(AB32="Gn")+(AB32="C")+(AB31="Gn")&gt;0,"",IF(((AB32&lt;&gt;"Xm")*(COUNTIFS($C$3:$P$3,"MAT",$C32:$P32,AB$3)=0)*(COUNTIFS($C$3:$P$3,"NOTTE",$C32:$P32,AB$3)=0))+((AB32&lt;&gt;"Xp")*(COUNTIFS($C$3:$P$3,"POM",$C32:$P32,AB$3)=0)*(COUNTIFS($C$3:$P$3,"NOTTE",$C32:$P32,AB$3)=0))+((AB32&lt;&gt;"Xn")*(COUNTIFS($C$3:$P$3,"MAT",$C32:$P32,AB$3)=0)*(COUNTIFS($C$3:$P$3,"POM",$C32:$P32,AB$3)=0)*(COUNTIFS($C$3:$P$3,"NOTTE",$C32:$P32,AB$3)=0))=0,"",IF(((AB32&lt;&gt;"Xm")*(COUNTIFS($C$3:$P$3,"MAT",$C32:$P32,AB$3)=0)*(COUNTIFS($C$3:$P$3,"NOTTE",$C32:$P32,AB$3)=0))+((AB32&lt;&gt;"Xp")*(COUNTIFS($C$3:$P$3,"POM",$C32:$P32,AB$3)=0)*(COUNTIFS($C$3:$P$3,"NOTTE",$C32:$P32,AB$3)=0))+((AB32&lt;&gt;"Xn")*(COUNTIFS($C$3:$P$3,"MAT",$C32:$P32,AB$3)=0)*(COUNTIFS($C$3:$P$3,"POM",$C32:$P32,AB$3)=0)*(COUNTIFS($C$3:$P$3,"NOTTE",$C32:$P32,AB$3)=0))=3,AB$3&amp;", ",AB$3&amp;IF((AB32&lt;&gt;"Xm")*(COUNTIFS($C$3:$P$3,"MAT",$C32:$P32,AB$3)=0)*(COUNTIFS($C$3:$P$3,"NOTTE",$C32:$P32,AB$3)=0),"_m","")&amp;IF((AB32&lt;&gt;"Xp")*(COUNTIFS($C$3:$P$3,"POM",$C32:$P32,AB$3)=0)*(COUNTIFS($C$3:$P$3,"NOTTE",$C32:$P32,AB$3)=0),"_p","")&amp;IF((AB32&lt;&gt;"Xn")*(COUNTIFS($C$3:$P$3,"MAT",$C32:$P32,AB$3)=0)*(COUNTIFS($C$3:$P$3,"POM",$C32:$P32,AB$3)=0)*(COUNTIFS($C$3:$P$3,"NOTTE",$C32:$P32,AB$3)=0),"_n","")&amp;", ")))</f>
        <v>ROSSI M_p, </v>
      </c>
      <c r="CF32" s="1" t="str">
        <f aca="false">IF((AC32="X")+(AC32="Gn")+(AC32="C")+(AC31="Gn")&gt;0,"",IF(((AC32&lt;&gt;"Xm")*(COUNTIFS($C$3:$P$3,"MAT",$C32:$P32,AC$3)=0)*(COUNTIFS($C$3:$P$3,"NOTTE",$C32:$P32,AC$3)=0))+((AC32&lt;&gt;"Xp")*(COUNTIFS($C$3:$P$3,"POM",$C32:$P32,AC$3)=0)*(COUNTIFS($C$3:$P$3,"NOTTE",$C32:$P32,AC$3)=0))+((AC32&lt;&gt;"Xn")*(COUNTIFS($C$3:$P$3,"MAT",$C32:$P32,AC$3)=0)*(COUNTIFS($C$3:$P$3,"POM",$C32:$P32,AC$3)=0)*(COUNTIFS($C$3:$P$3,"NOTTE",$C32:$P32,AC$3)=0))=0,"",IF(((AC32&lt;&gt;"Xm")*(COUNTIFS($C$3:$P$3,"MAT",$C32:$P32,AC$3)=0)*(COUNTIFS($C$3:$P$3,"NOTTE",$C32:$P32,AC$3)=0))+((AC32&lt;&gt;"Xp")*(COUNTIFS($C$3:$P$3,"POM",$C32:$P32,AC$3)=0)*(COUNTIFS($C$3:$P$3,"NOTTE",$C32:$P32,AC$3)=0))+((AC32&lt;&gt;"Xn")*(COUNTIFS($C$3:$P$3,"MAT",$C32:$P32,AC$3)=0)*(COUNTIFS($C$3:$P$3,"POM",$C32:$P32,AC$3)=0)*(COUNTIFS($C$3:$P$3,"NOTTE",$C32:$P32,AC$3)=0))=3,AC$3&amp;", ",AC$3&amp;IF((AC32&lt;&gt;"Xm")*(COUNTIFS($C$3:$P$3,"MAT",$C32:$P32,AC$3)=0)*(COUNTIFS($C$3:$P$3,"NOTTE",$C32:$P32,AC$3)=0),"_m","")&amp;IF((AC32&lt;&gt;"Xp")*(COUNTIFS($C$3:$P$3,"POM",$C32:$P32,AC$3)=0)*(COUNTIFS($C$3:$P$3,"NOTTE",$C32:$P32,AC$3)=0),"_p","")&amp;IF((AC32&lt;&gt;"Xn")*(COUNTIFS($C$3:$P$3,"MAT",$C32:$P32,AC$3)=0)*(COUNTIFS($C$3:$P$3,"POM",$C32:$P32,AC$3)=0)*(COUNTIFS($C$3:$P$3,"NOTTE",$C32:$P32,AC$3)=0),"_n","")&amp;", ")))</f>
        <v/>
      </c>
      <c r="CG32" s="1" t="str">
        <f aca="false">IF((AD32="X")+(AD32="Gn")+(AD32="C")+(AD31="Gn")&gt;0,"",IF(((AD32&lt;&gt;"Xm")*(COUNTIFS($C$3:$P$3,"MAT",$C32:$P32,AD$3)=0)*(COUNTIFS($C$3:$P$3,"NOTTE",$C32:$P32,AD$3)=0))+((AD32&lt;&gt;"Xp")*(COUNTIFS($C$3:$P$3,"POM",$C32:$P32,AD$3)=0)*(COUNTIFS($C$3:$P$3,"NOTTE",$C32:$P32,AD$3)=0))+((AD32&lt;&gt;"Xn")*(COUNTIFS($C$3:$P$3,"MAT",$C32:$P32,AD$3)=0)*(COUNTIFS($C$3:$P$3,"POM",$C32:$P32,AD$3)=0)*(COUNTIFS($C$3:$P$3,"NOTTE",$C32:$P32,AD$3)=0))=0,"",IF(((AD32&lt;&gt;"Xm")*(COUNTIFS($C$3:$P$3,"MAT",$C32:$P32,AD$3)=0)*(COUNTIFS($C$3:$P$3,"NOTTE",$C32:$P32,AD$3)=0))+((AD32&lt;&gt;"Xp")*(COUNTIFS($C$3:$P$3,"POM",$C32:$P32,AD$3)=0)*(COUNTIFS($C$3:$P$3,"NOTTE",$C32:$P32,AD$3)=0))+((AD32&lt;&gt;"Xn")*(COUNTIFS($C$3:$P$3,"MAT",$C32:$P32,AD$3)=0)*(COUNTIFS($C$3:$P$3,"POM",$C32:$P32,AD$3)=0)*(COUNTIFS($C$3:$P$3,"NOTTE",$C32:$P32,AD$3)=0))=3,AD$3&amp;", ",AD$3&amp;IF((AD32&lt;&gt;"Xm")*(COUNTIFS($C$3:$P$3,"MAT",$C32:$P32,AD$3)=0)*(COUNTIFS($C$3:$P$3,"NOTTE",$C32:$P32,AD$3)=0),"_m","")&amp;IF((AD32&lt;&gt;"Xp")*(COUNTIFS($C$3:$P$3,"POM",$C32:$P32,AD$3)=0)*(COUNTIFS($C$3:$P$3,"NOTTE",$C32:$P32,AD$3)=0),"_p","")&amp;IF((AD32&lt;&gt;"Xn")*(COUNTIFS($C$3:$P$3,"MAT",$C32:$P32,AD$3)=0)*(COUNTIFS($C$3:$P$3,"POM",$C32:$P32,AD$3)=0)*(COUNTIFS($C$3:$P$3,"NOTTE",$C32:$P32,AD$3)=0),"_n","")&amp;", ")))</f>
        <v>GALLINA, </v>
      </c>
      <c r="CH32" s="1" t="str">
        <f aca="false">IF((AE32="X")+(AE32="Gn")+(AE32="C")+(AE31="Gn")&gt;0,"",IF(((AE32&lt;&gt;"Xm")*(COUNTIFS($C$3:$P$3,"MAT",$C32:$P32,AE$3)=0)*(COUNTIFS($C$3:$P$3,"NOTTE",$C32:$P32,AE$3)=0))+((AE32&lt;&gt;"Xp")*(COUNTIFS($C$3:$P$3,"POM",$C32:$P32,AE$3)=0)*(COUNTIFS($C$3:$P$3,"NOTTE",$C32:$P32,AE$3)=0))+((AE32&lt;&gt;"Xn")*(COUNTIFS($C$3:$P$3,"MAT",$C32:$P32,AE$3)=0)*(COUNTIFS($C$3:$P$3,"POM",$C32:$P32,AE$3)=0)*(COUNTIFS($C$3:$P$3,"NOTTE",$C32:$P32,AE$3)=0))=0,"",IF(((AE32&lt;&gt;"Xm")*(COUNTIFS($C$3:$P$3,"MAT",$C32:$P32,AE$3)=0)*(COUNTIFS($C$3:$P$3,"NOTTE",$C32:$P32,AE$3)=0))+((AE32&lt;&gt;"Xp")*(COUNTIFS($C$3:$P$3,"POM",$C32:$P32,AE$3)=0)*(COUNTIFS($C$3:$P$3,"NOTTE",$C32:$P32,AE$3)=0))+((AE32&lt;&gt;"Xn")*(COUNTIFS($C$3:$P$3,"MAT",$C32:$P32,AE$3)=0)*(COUNTIFS($C$3:$P$3,"POM",$C32:$P32,AE$3)=0)*(COUNTIFS($C$3:$P$3,"NOTTE",$C32:$P32,AE$3)=0))=3,AE$3&amp;", ",AE$3&amp;IF((AE32&lt;&gt;"Xm")*(COUNTIFS($C$3:$P$3,"MAT",$C32:$P32,AE$3)=0)*(COUNTIFS($C$3:$P$3,"NOTTE",$C32:$P32,AE$3)=0),"_m","")&amp;IF((AE32&lt;&gt;"Xp")*(COUNTIFS($C$3:$P$3,"POM",$C32:$P32,AE$3)=0)*(COUNTIFS($C$3:$P$3,"NOTTE",$C32:$P32,AE$3)=0),"_p","")&amp;IF((AE32&lt;&gt;"Xn")*(COUNTIFS($C$3:$P$3,"MAT",$C32:$P32,AE$3)=0)*(COUNTIFS($C$3:$P$3,"POM",$C32:$P32,AE$3)=0)*(COUNTIFS($C$3:$P$3,"NOTTE",$C32:$P32,AE$3)=0),"_n","")&amp;", ")))</f>
        <v>RUSSO_m_n, </v>
      </c>
      <c r="CI32" s="1" t="str">
        <f aca="false">IF((AF32="X")+(AF32="Gn")+(AF32="C")+(AF31="Gn")&gt;0,"",IF(((AF32&lt;&gt;"Xm")*(COUNTIFS($C$3:$P$3,"MAT",$C32:$P32,AF$3)=0)*(COUNTIFS($C$3:$P$3,"NOTTE",$C32:$P32,AF$3)=0))+((AF32&lt;&gt;"Xp")*(COUNTIFS($C$3:$P$3,"POM",$C32:$P32,AF$3)=0)*(COUNTIFS($C$3:$P$3,"NOTTE",$C32:$P32,AF$3)=0))+((AF32&lt;&gt;"Xn")*(COUNTIFS($C$3:$P$3,"MAT",$C32:$P32,AF$3)=0)*(COUNTIFS($C$3:$P$3,"POM",$C32:$P32,AF$3)=0)*(COUNTIFS($C$3:$P$3,"NOTTE",$C32:$P32,AF$3)=0))=0,"",IF(((AF32&lt;&gt;"Xm")*(COUNTIFS($C$3:$P$3,"MAT",$C32:$P32,AF$3)=0)*(COUNTIFS($C$3:$P$3,"NOTTE",$C32:$P32,AF$3)=0))+((AF32&lt;&gt;"Xp")*(COUNTIFS($C$3:$P$3,"POM",$C32:$P32,AF$3)=0)*(COUNTIFS($C$3:$P$3,"NOTTE",$C32:$P32,AF$3)=0))+((AF32&lt;&gt;"Xn")*(COUNTIFS($C$3:$P$3,"MAT",$C32:$P32,AF$3)=0)*(COUNTIFS($C$3:$P$3,"POM",$C32:$P32,AF$3)=0)*(COUNTIFS($C$3:$P$3,"NOTTE",$C32:$P32,AF$3)=0))=3,AF$3&amp;", ",AF$3&amp;IF((AF32&lt;&gt;"Xm")*(COUNTIFS($C$3:$P$3,"MAT",$C32:$P32,AF$3)=0)*(COUNTIFS($C$3:$P$3,"NOTTE",$C32:$P32,AF$3)=0),"_m","")&amp;IF((AF32&lt;&gt;"Xp")*(COUNTIFS($C$3:$P$3,"POM",$C32:$P32,AF$3)=0)*(COUNTIFS($C$3:$P$3,"NOTTE",$C32:$P32,AF$3)=0),"_p","")&amp;IF((AF32&lt;&gt;"Xn")*(COUNTIFS($C$3:$P$3,"MAT",$C32:$P32,AF$3)=0)*(COUNTIFS($C$3:$P$3,"POM",$C32:$P32,AF$3)=0)*(COUNTIFS($C$3:$P$3,"NOTTE",$C32:$P32,AF$3)=0),"_n","")&amp;", ")))</f>
        <v>VERDI, </v>
      </c>
      <c r="CJ32" s="1" t="str">
        <f aca="false">IF((AG32="X")+(AG32="Gn")+(AG32="C")+(AG31="Gn")&gt;0,"",IF(((AG32&lt;&gt;"Xm")*(COUNTIFS($C$3:$P$3,"MAT",$C32:$P32,AG$3)=0)*(COUNTIFS($C$3:$P$3,"NOTTE",$C32:$P32,AG$3)=0))+((AG32&lt;&gt;"Xp")*(COUNTIFS($C$3:$P$3,"POM",$C32:$P32,AG$3)=0)*(COUNTIFS($C$3:$P$3,"NOTTE",$C32:$P32,AG$3)=0))+((AG32&lt;&gt;"Xn")*(COUNTIFS($C$3:$P$3,"MAT",$C32:$P32,AG$3)=0)*(COUNTIFS($C$3:$P$3,"POM",$C32:$P32,AG$3)=0)*(COUNTIFS($C$3:$P$3,"NOTTE",$C32:$P32,AG$3)=0))=0,"",IF(((AG32&lt;&gt;"Xm")*(COUNTIFS($C$3:$P$3,"MAT",$C32:$P32,AG$3)=0)*(COUNTIFS($C$3:$P$3,"NOTTE",$C32:$P32,AG$3)=0))+((AG32&lt;&gt;"Xp")*(COUNTIFS($C$3:$P$3,"POM",$C32:$P32,AG$3)=0)*(COUNTIFS($C$3:$P$3,"NOTTE",$C32:$P32,AG$3)=0))+((AG32&lt;&gt;"Xn")*(COUNTIFS($C$3:$P$3,"MAT",$C32:$P32,AG$3)=0)*(COUNTIFS($C$3:$P$3,"POM",$C32:$P32,AG$3)=0)*(COUNTIFS($C$3:$P$3,"NOTTE",$C32:$P32,AG$3)=0))=3,AG$3&amp;", ",AG$3&amp;IF((AG32&lt;&gt;"Xm")*(COUNTIFS($C$3:$P$3,"MAT",$C32:$P32,AG$3)=0)*(COUNTIFS($C$3:$P$3,"NOTTE",$C32:$P32,AG$3)=0),"_m","")&amp;IF((AG32&lt;&gt;"Xp")*(COUNTIFS($C$3:$P$3,"POM",$C32:$P32,AG$3)=0)*(COUNTIFS($C$3:$P$3,"NOTTE",$C32:$P32,AG$3)=0),"_p","")&amp;IF((AG32&lt;&gt;"Xn")*(COUNTIFS($C$3:$P$3,"MAT",$C32:$P32,AG$3)=0)*(COUNTIFS($C$3:$P$3,"POM",$C32:$P32,AG$3)=0)*(COUNTIFS($C$3:$P$3,"NOTTE",$C32:$P32,AG$3)=0),"_n","")&amp;", ")))</f>
        <v>HU, </v>
      </c>
      <c r="CK32" s="1" t="str">
        <f aca="false">IF((AH32="X")+(AH32="Gn")+(AH32="C")+(AH31="Gn")&gt;0,"",IF(((AH32&lt;&gt;"Xm")*(COUNTIFS($C$3:$P$3,"MAT",$C32:$P32,AH$3)=0)*(COUNTIFS($C$3:$P$3,"NOTTE",$C32:$P32,AH$3)=0))+((AH32&lt;&gt;"Xp")*(COUNTIFS($C$3:$P$3,"POM",$C32:$P32,AH$3)=0)*(COUNTIFS($C$3:$P$3,"NOTTE",$C32:$P32,AH$3)=0))+((AH32&lt;&gt;"Xn")*(COUNTIFS($C$3:$P$3,"MAT",$C32:$P32,AH$3)=0)*(COUNTIFS($C$3:$P$3,"POM",$C32:$P32,AH$3)=0)*(COUNTIFS($C$3:$P$3,"NOTTE",$C32:$P32,AH$3)=0))=0,"",IF(((AH32&lt;&gt;"Xm")*(COUNTIFS($C$3:$P$3,"MAT",$C32:$P32,AH$3)=0)*(COUNTIFS($C$3:$P$3,"NOTTE",$C32:$P32,AH$3)=0))+((AH32&lt;&gt;"Xp")*(COUNTIFS($C$3:$P$3,"POM",$C32:$P32,AH$3)=0)*(COUNTIFS($C$3:$P$3,"NOTTE",$C32:$P32,AH$3)=0))+((AH32&lt;&gt;"Xn")*(COUNTIFS($C$3:$P$3,"MAT",$C32:$P32,AH$3)=0)*(COUNTIFS($C$3:$P$3,"POM",$C32:$P32,AH$3)=0)*(COUNTIFS($C$3:$P$3,"NOTTE",$C32:$P32,AH$3)=0))=3,AH$3&amp;", ",AH$3&amp;IF((AH32&lt;&gt;"Xm")*(COUNTIFS($C$3:$P$3,"MAT",$C32:$P32,AH$3)=0)*(COUNTIFS($C$3:$P$3,"NOTTE",$C32:$P32,AH$3)=0),"_m","")&amp;IF((AH32&lt;&gt;"Xp")*(COUNTIFS($C$3:$P$3,"POM",$C32:$P32,AH$3)=0)*(COUNTIFS($C$3:$P$3,"NOTTE",$C32:$P32,AH$3)=0),"_p","")&amp;IF((AH32&lt;&gt;"Xn")*(COUNTIFS($C$3:$P$3,"MAT",$C32:$P32,AH$3)=0)*(COUNTIFS($C$3:$P$3,"POM",$C32:$P32,AH$3)=0)*(COUNTIFS($C$3:$P$3,"NOTTE",$C32:$P32,AH$3)=0),"_n","")&amp;", ")))</f>
        <v>MARINI, </v>
      </c>
      <c r="CL32" s="1" t="str">
        <f aca="false">IF((AI32="X")+(AI32="Gn")+(AI32="C")+(AI31="Gn")&gt;0,"",IF(((AI32&lt;&gt;"Xm")*(COUNTIFS($C$3:$P$3,"MAT",$C32:$P32,AI$3)=0)*(COUNTIFS($C$3:$P$3,"NOTTE",$C32:$P32,AI$3)=0))+((AI32&lt;&gt;"Xp")*(COUNTIFS($C$3:$P$3,"POM",$C32:$P32,AI$3)=0)*(COUNTIFS($C$3:$P$3,"NOTTE",$C32:$P32,AI$3)=0))+((AI32&lt;&gt;"Xn")*(COUNTIFS($C$3:$P$3,"MAT",$C32:$P32,AI$3)=0)*(COUNTIFS($C$3:$P$3,"POM",$C32:$P32,AI$3)=0)*(COUNTIFS($C$3:$P$3,"NOTTE",$C32:$P32,AI$3)=0))=0,"",IF(((AI32&lt;&gt;"Xm")*(COUNTIFS($C$3:$P$3,"MAT",$C32:$P32,AI$3)=0)*(COUNTIFS($C$3:$P$3,"NOTTE",$C32:$P32,AI$3)=0))+((AI32&lt;&gt;"Xp")*(COUNTIFS($C$3:$P$3,"POM",$C32:$P32,AI$3)=0)*(COUNTIFS($C$3:$P$3,"NOTTE",$C32:$P32,AI$3)=0))+((AI32&lt;&gt;"Xn")*(COUNTIFS($C$3:$P$3,"MAT",$C32:$P32,AI$3)=0)*(COUNTIFS($C$3:$P$3,"POM",$C32:$P32,AI$3)=0)*(COUNTIFS($C$3:$P$3,"NOTTE",$C32:$P32,AI$3)=0))=3,AI$3&amp;", ",AI$3&amp;IF((AI32&lt;&gt;"Xm")*(COUNTIFS($C$3:$P$3,"MAT",$C32:$P32,AI$3)=0)*(COUNTIFS($C$3:$P$3,"NOTTE",$C32:$P32,AI$3)=0),"_m","")&amp;IF((AI32&lt;&gt;"Xp")*(COUNTIFS($C$3:$P$3,"POM",$C32:$P32,AI$3)=0)*(COUNTIFS($C$3:$P$3,"NOTTE",$C32:$P32,AI$3)=0),"_p","")&amp;IF((AI32&lt;&gt;"Xn")*(COUNTIFS($C$3:$P$3,"MAT",$C32:$P32,AI$3)=0)*(COUNTIFS($C$3:$P$3,"POM",$C32:$P32,AI$3)=0)*(COUNTIFS($C$3:$P$3,"NOTTE",$C32:$P32,AI$3)=0),"_n","")&amp;", ")))</f>
        <v>CONTI A, </v>
      </c>
      <c r="CM32" s="1" t="str">
        <f aca="false">IF((AJ32="X")+(AJ32="Gn")+(AJ32="C")+(AJ31="Gn")&gt;0,"",IF(((AJ32&lt;&gt;"Xm")*(COUNTIFS($C$3:$P$3,"MAT",$C32:$P32,AJ$3)=0)*(COUNTIFS($C$3:$P$3,"NOTTE",$C32:$P32,AJ$3)=0))+((AJ32&lt;&gt;"Xp")*(COUNTIFS($C$3:$P$3,"POM",$C32:$P32,AJ$3)=0)*(COUNTIFS($C$3:$P$3,"NOTTE",$C32:$P32,AJ$3)=0))+((AJ32&lt;&gt;"Xn")*(COUNTIFS($C$3:$P$3,"MAT",$C32:$P32,AJ$3)=0)*(COUNTIFS($C$3:$P$3,"POM",$C32:$P32,AJ$3)=0)*(COUNTIFS($C$3:$P$3,"NOTTE",$C32:$P32,AJ$3)=0))=0,"",IF(((AJ32&lt;&gt;"Xm")*(COUNTIFS($C$3:$P$3,"MAT",$C32:$P32,AJ$3)=0)*(COUNTIFS($C$3:$P$3,"NOTTE",$C32:$P32,AJ$3)=0))+((AJ32&lt;&gt;"Xp")*(COUNTIFS($C$3:$P$3,"POM",$C32:$P32,AJ$3)=0)*(COUNTIFS($C$3:$P$3,"NOTTE",$C32:$P32,AJ$3)=0))+((AJ32&lt;&gt;"Xn")*(COUNTIFS($C$3:$P$3,"MAT",$C32:$P32,AJ$3)=0)*(COUNTIFS($C$3:$P$3,"POM",$C32:$P32,AJ$3)=0)*(COUNTIFS($C$3:$P$3,"NOTTE",$C32:$P32,AJ$3)=0))=3,AJ$3&amp;", ",AJ$3&amp;IF((AJ32&lt;&gt;"Xm")*(COUNTIFS($C$3:$P$3,"MAT",$C32:$P32,AJ$3)=0)*(COUNTIFS($C$3:$P$3,"NOTTE",$C32:$P32,AJ$3)=0),"_m","")&amp;IF((AJ32&lt;&gt;"Xp")*(COUNTIFS($C$3:$P$3,"POM",$C32:$P32,AJ$3)=0)*(COUNTIFS($C$3:$P$3,"NOTTE",$C32:$P32,AJ$3)=0),"_p","")&amp;IF((AJ32&lt;&gt;"Xn")*(COUNTIFS($C$3:$P$3,"MAT",$C32:$P32,AJ$3)=0)*(COUNTIFS($C$3:$P$3,"POM",$C32:$P32,AJ$3)=0)*(COUNTIFS($C$3:$P$3,"NOTTE",$C32:$P32,AJ$3)=0),"_n","")&amp;", ")))</f>
        <v>CONTI S, </v>
      </c>
      <c r="CN32" s="1" t="str">
        <f aca="false">IF((AK32="X")+(AK32="Gn")+(AK32="C")+(AK31="Gn")&gt;0,"",IF(((AK32&lt;&gt;"Xm")*(COUNTIFS($C$3:$P$3,"MAT",$C32:$P32,AK$3)=0)*(COUNTIFS($C$3:$P$3,"NOTTE",$C32:$P32,AK$3)=0))+((AK32&lt;&gt;"Xp")*(COUNTIFS($C$3:$P$3,"POM",$C32:$P32,AK$3)=0)*(COUNTIFS($C$3:$P$3,"NOTTE",$C32:$P32,AK$3)=0))+((AK32&lt;&gt;"Xn")*(COUNTIFS($C$3:$P$3,"MAT",$C32:$P32,AK$3)=0)*(COUNTIFS($C$3:$P$3,"POM",$C32:$P32,AK$3)=0)*(COUNTIFS($C$3:$P$3,"NOTTE",$C32:$P32,AK$3)=0))=0,"",IF(((AK32&lt;&gt;"Xm")*(COUNTIFS($C$3:$P$3,"MAT",$C32:$P32,AK$3)=0)*(COUNTIFS($C$3:$P$3,"NOTTE",$C32:$P32,AK$3)=0))+((AK32&lt;&gt;"Xp")*(COUNTIFS($C$3:$P$3,"POM",$C32:$P32,AK$3)=0)*(COUNTIFS($C$3:$P$3,"NOTTE",$C32:$P32,AK$3)=0))+((AK32&lt;&gt;"Xn")*(COUNTIFS($C$3:$P$3,"MAT",$C32:$P32,AK$3)=0)*(COUNTIFS($C$3:$P$3,"POM",$C32:$P32,AK$3)=0)*(COUNTIFS($C$3:$P$3,"NOTTE",$C32:$P32,AK$3)=0))=3,AK$3&amp;", ",AK$3&amp;IF((AK32&lt;&gt;"Xm")*(COUNTIFS($C$3:$P$3,"MAT",$C32:$P32,AK$3)=0)*(COUNTIFS($C$3:$P$3,"NOTTE",$C32:$P32,AK$3)=0),"_m","")&amp;IF((AK32&lt;&gt;"Xp")*(COUNTIFS($C$3:$P$3,"POM",$C32:$P32,AK$3)=0)*(COUNTIFS($C$3:$P$3,"NOTTE",$C32:$P32,AK$3)=0),"_p","")&amp;IF((AK32&lt;&gt;"Xn")*(COUNTIFS($C$3:$P$3,"MAT",$C32:$P32,AK$3)=0)*(COUNTIFS($C$3:$P$3,"POM",$C32:$P32,AK$3)=0)*(COUNTIFS($C$3:$P$3,"NOTTE",$C32:$P32,AK$3)=0),"_n","")&amp;", ")))</f>
        <v/>
      </c>
      <c r="CO32" s="1" t="str">
        <f aca="false">IF((AL32="X")+(AL32="Gn")+(AL32="C")+(AL31="Gn")&gt;0,"",IF(((AL32&lt;&gt;"Xm")*(COUNTIFS($C$3:$P$3,"MAT",$C32:$P32,AL$3)=0)*(COUNTIFS($C$3:$P$3,"NOTTE",$C32:$P32,AL$3)=0))+((AL32&lt;&gt;"Xp")*(COUNTIFS($C$3:$P$3,"POM",$C32:$P32,AL$3)=0)*(COUNTIFS($C$3:$P$3,"NOTTE",$C32:$P32,AL$3)=0))+((AL32&lt;&gt;"Xn")*(COUNTIFS($C$3:$P$3,"MAT",$C32:$P32,AL$3)=0)*(COUNTIFS($C$3:$P$3,"POM",$C32:$P32,AL$3)=0)*(COUNTIFS($C$3:$P$3,"NOTTE",$C32:$P32,AL$3)=0))=0,"",IF(((AL32&lt;&gt;"Xm")*(COUNTIFS($C$3:$P$3,"MAT",$C32:$P32,AL$3)=0)*(COUNTIFS($C$3:$P$3,"NOTTE",$C32:$P32,AL$3)=0))+((AL32&lt;&gt;"Xp")*(COUNTIFS($C$3:$P$3,"POM",$C32:$P32,AL$3)=0)*(COUNTIFS($C$3:$P$3,"NOTTE",$C32:$P32,AL$3)=0))+((AL32&lt;&gt;"Xn")*(COUNTIFS($C$3:$P$3,"MAT",$C32:$P32,AL$3)=0)*(COUNTIFS($C$3:$P$3,"POM",$C32:$P32,AL$3)=0)*(COUNTIFS($C$3:$P$3,"NOTTE",$C32:$P32,AL$3)=0))=3,AL$3&amp;", ",AL$3&amp;IF((AL32&lt;&gt;"Xm")*(COUNTIFS($C$3:$P$3,"MAT",$C32:$P32,AL$3)=0)*(COUNTIFS($C$3:$P$3,"NOTTE",$C32:$P32,AL$3)=0),"_m","")&amp;IF((AL32&lt;&gt;"Xp")*(COUNTIFS($C$3:$P$3,"POM",$C32:$P32,AL$3)=0)*(COUNTIFS($C$3:$P$3,"NOTTE",$C32:$P32,AL$3)=0),"_p","")&amp;IF((AL32&lt;&gt;"Xn")*(COUNTIFS($C$3:$P$3,"MAT",$C32:$P32,AL$3)=0)*(COUNTIFS($C$3:$P$3,"POM",$C32:$P32,AL$3)=0)*(COUNTIFS($C$3:$P$3,"NOTTE",$C32:$P32,AL$3)=0),"_n","")&amp;", ")))</f>
        <v>GRECO, </v>
      </c>
      <c r="CP32" s="1" t="str">
        <f aca="false">IF((AM32="X")+(AM32="Gn")+(AM32="C")+(AM31="Gn")&gt;0,"",IF(((AM32&lt;&gt;"Xm")*(COUNTIFS($C$3:$P$3,"MAT",$C32:$P32,AM$3)=0)*(COUNTIFS($C$3:$P$3,"NOTTE",$C32:$P32,AM$3)=0))+((AM32&lt;&gt;"Xp")*(COUNTIFS($C$3:$P$3,"POM",$C32:$P32,AM$3)=0)*(COUNTIFS($C$3:$P$3,"NOTTE",$C32:$P32,AM$3)=0))+((AM32&lt;&gt;"Xn")*(COUNTIFS($C$3:$P$3,"MAT",$C32:$P32,AM$3)=0)*(COUNTIFS($C$3:$P$3,"POM",$C32:$P32,AM$3)=0)*(COUNTIFS($C$3:$P$3,"NOTTE",$C32:$P32,AM$3)=0))=0,"",IF(((AM32&lt;&gt;"Xm")*(COUNTIFS($C$3:$P$3,"MAT",$C32:$P32,AM$3)=0)*(COUNTIFS($C$3:$P$3,"NOTTE",$C32:$P32,AM$3)=0))+((AM32&lt;&gt;"Xp")*(COUNTIFS($C$3:$P$3,"POM",$C32:$P32,AM$3)=0)*(COUNTIFS($C$3:$P$3,"NOTTE",$C32:$P32,AM$3)=0))+((AM32&lt;&gt;"Xn")*(COUNTIFS($C$3:$P$3,"MAT",$C32:$P32,AM$3)=0)*(COUNTIFS($C$3:$P$3,"POM",$C32:$P32,AM$3)=0)*(COUNTIFS($C$3:$P$3,"NOTTE",$C32:$P32,AM$3)=0))=3,AM$3&amp;", ",AM$3&amp;IF((AM32&lt;&gt;"Xm")*(COUNTIFS($C$3:$P$3,"MAT",$C32:$P32,AM$3)=0)*(COUNTIFS($C$3:$P$3,"NOTTE",$C32:$P32,AM$3)=0),"_m","")&amp;IF((AM32&lt;&gt;"Xp")*(COUNTIFS($C$3:$P$3,"POM",$C32:$P32,AM$3)=0)*(COUNTIFS($C$3:$P$3,"NOTTE",$C32:$P32,AM$3)=0),"_p","")&amp;IF((AM32&lt;&gt;"Xn")*(COUNTIFS($C$3:$P$3,"MAT",$C32:$P32,AM$3)=0)*(COUNTIFS($C$3:$P$3,"POM",$C32:$P32,AM$3)=0)*(COUNTIFS($C$3:$P$3,"NOTTE",$C32:$P32,AM$3)=0),"_n","")&amp;", ")))</f>
        <v>SANNA, </v>
      </c>
      <c r="CQ32" s="1" t="str">
        <f aca="false">IF((AN32="X")+(AN32="Gn")+(AN32="C")+(AN31="Gn")&gt;0,"",IF(((AN32&lt;&gt;"Xm")*(COUNTIFS($C$3:$P$3,"MAT",$C32:$P32,AN$3)=0)*(COUNTIFS($C$3:$P$3,"NOTTE",$C32:$P32,AN$3)=0))+((AN32&lt;&gt;"Xp")*(COUNTIFS($C$3:$P$3,"POM",$C32:$P32,AN$3)=0)*(COUNTIFS($C$3:$P$3,"NOTTE",$C32:$P32,AN$3)=0))+((AN32&lt;&gt;"Xn")*(COUNTIFS($C$3:$P$3,"MAT",$C32:$P32,AN$3)=0)*(COUNTIFS($C$3:$P$3,"POM",$C32:$P32,AN$3)=0)*(COUNTIFS($C$3:$P$3,"NOTTE",$C32:$P32,AN$3)=0))=0,"",IF(((AN32&lt;&gt;"Xm")*(COUNTIFS($C$3:$P$3,"MAT",$C32:$P32,AN$3)=0)*(COUNTIFS($C$3:$P$3,"NOTTE",$C32:$P32,AN$3)=0))+((AN32&lt;&gt;"Xp")*(COUNTIFS($C$3:$P$3,"POM",$C32:$P32,AN$3)=0)*(COUNTIFS($C$3:$P$3,"NOTTE",$C32:$P32,AN$3)=0))+((AN32&lt;&gt;"Xn")*(COUNTIFS($C$3:$P$3,"MAT",$C32:$P32,AN$3)=0)*(COUNTIFS($C$3:$P$3,"POM",$C32:$P32,AN$3)=0)*(COUNTIFS($C$3:$P$3,"NOTTE",$C32:$P32,AN$3)=0))=3,AN$3&amp;", ",AN$3&amp;IF((AN32&lt;&gt;"Xm")*(COUNTIFS($C$3:$P$3,"MAT",$C32:$P32,AN$3)=0)*(COUNTIFS($C$3:$P$3,"NOTTE",$C32:$P32,AN$3)=0),"_m","")&amp;IF((AN32&lt;&gt;"Xp")*(COUNTIFS($C$3:$P$3,"POM",$C32:$P32,AN$3)=0)*(COUNTIFS($C$3:$P$3,"NOTTE",$C32:$P32,AN$3)=0),"_p","")&amp;IF((AN32&lt;&gt;"Xn")*(COUNTIFS($C$3:$P$3,"MAT",$C32:$P32,AN$3)=0)*(COUNTIFS($C$3:$P$3,"POM",$C32:$P32,AN$3)=0)*(COUNTIFS($C$3:$P$3,"NOTTE",$C32:$P32,AN$3)=0),"_n","")&amp;", ")))</f>
        <v/>
      </c>
    </row>
    <row r="33" customFormat="false" ht="15" hidden="false" customHeight="true" outlineLevel="0" collapsed="false">
      <c r="A33" s="15" t="str">
        <f aca="false">CHOOSE(WEEKDAY(DATE($B$1,$A$2,B33),2),"lunedì","martedì","mercoledì","giovedì","venerdì","sabato","domenica")</f>
        <v>lunedì</v>
      </c>
      <c r="B33" s="15" t="n">
        <v>30</v>
      </c>
      <c r="C33" s="16" t="s">
        <v>23</v>
      </c>
      <c r="D33" s="16" t="s">
        <v>23</v>
      </c>
      <c r="E33" s="16" t="s">
        <v>28</v>
      </c>
      <c r="F33" s="16" t="s">
        <v>28</v>
      </c>
      <c r="G33" s="16" t="s">
        <v>36</v>
      </c>
      <c r="H33" s="16" t="s">
        <v>36</v>
      </c>
      <c r="I33" s="16" t="s">
        <v>34</v>
      </c>
      <c r="J33" s="16" t="s">
        <v>34</v>
      </c>
      <c r="K33" s="16" t="s">
        <v>27</v>
      </c>
      <c r="L33" s="16"/>
      <c r="M33" s="16" t="s">
        <v>26</v>
      </c>
      <c r="N33" s="16" t="s">
        <v>25</v>
      </c>
      <c r="O33" s="16" t="s">
        <v>25</v>
      </c>
      <c r="P33" s="16" t="s">
        <v>30</v>
      </c>
      <c r="Q33" s="16"/>
      <c r="R33" s="16" t="str">
        <f aca="false">IF(SUMPRODUCT(($C$3:$P$3&lt;&gt;"")*($C33:$P33&lt;&gt;"")*(COUNTIFS($C33:$P33,$C33:$P33,$C$3:$P$3,$C$3:$P$3)&gt;1))&gt;0,"X","")</f>
        <v/>
      </c>
      <c r="S33" s="17" t="str">
        <f aca="false"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S, FERRARI, GRECO, LI</v>
      </c>
      <c r="T33" s="17" t="str">
        <f aca="false"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ROSSI M, GALLINA_m, RUSSO_p, HU, CONTI S, FERRARI</v>
      </c>
      <c r="Y33" s="15" t="str">
        <f aca="false">A33</f>
        <v>lunedì</v>
      </c>
      <c r="Z33" s="15" t="n">
        <f aca="false">B33</f>
        <v>30</v>
      </c>
      <c r="AA33" s="16"/>
      <c r="AB33" s="16"/>
      <c r="AC33" s="16"/>
      <c r="AD33" s="16"/>
      <c r="AE33" s="16"/>
      <c r="AF33" s="16"/>
      <c r="AG33" s="16"/>
      <c r="AH33" s="16"/>
      <c r="AI33" s="16" t="s">
        <v>42</v>
      </c>
      <c r="AJ33" s="16"/>
      <c r="AK33" s="16"/>
      <c r="AL33" s="16"/>
      <c r="AM33" s="16" t="s">
        <v>42</v>
      </c>
      <c r="AN33" s="16"/>
      <c r="BO33" s="1" t="str">
        <f aca="false">IF((AA33="X")+(AA33="Gn")+(AA33="C")+(AA32="Gn")&gt;0,"",IF(((AA33&lt;&gt;"Xm"))+((AA33&lt;&gt;"Xp"))+((AA33&lt;&gt;"Xn"))=0,"",IF(((AA33&lt;&gt;"Xm"))+((AA33&lt;&gt;"Xp"))+((AA33&lt;&gt;"Xn"))=3,AA$3&amp;", ",AA$3&amp;IF((AA33&lt;&gt;"Xm"),"_m","")&amp;IF((AA33&lt;&gt;"Xp"),"_p","")&amp;IF((AA33&lt;&gt;"Xn"),"_n","")&amp;", ")))</f>
        <v>LEONI, </v>
      </c>
      <c r="BP33" s="1" t="str">
        <f aca="false">IF((AB33="X")+(AB33="Gn")+(AB33="C")+(AB32="Gn")&gt;0,"",IF(((AB33&lt;&gt;"Xm"))+((AB33&lt;&gt;"Xp"))+((AB33&lt;&gt;"Xn"))=0,"",IF(((AB33&lt;&gt;"Xm"))+((AB33&lt;&gt;"Xp"))+((AB33&lt;&gt;"Xn"))=3,AB$3&amp;", ",AB$3&amp;IF((AB33&lt;&gt;"Xm"),"_m","")&amp;IF((AB33&lt;&gt;"Xp"),"_p","")&amp;IF((AB33&lt;&gt;"Xn"),"_n","")&amp;", ")))</f>
        <v>ROSSI M, </v>
      </c>
      <c r="BQ33" s="1" t="str">
        <f aca="false">IF((AC33="X")+(AC33="Gn")+(AC33="C")+(AC32="Gn")&gt;0,"",IF(((AC33&lt;&gt;"Xm"))+((AC33&lt;&gt;"Xp"))+((AC33&lt;&gt;"Xn"))=0,"",IF(((AC33&lt;&gt;"Xm"))+((AC33&lt;&gt;"Xp"))+((AC33&lt;&gt;"Xn"))=3,AC$3&amp;", ",AC$3&amp;IF((AC33&lt;&gt;"Xm"),"_m","")&amp;IF((AC33&lt;&gt;"Xp"),"_p","")&amp;IF((AC33&lt;&gt;"Xn"),"_n","")&amp;", ")))</f>
        <v>ROSSI L, </v>
      </c>
      <c r="BR33" s="1" t="str">
        <f aca="false">IF((AD33="X")+(AD33="Gn")+(AD33="C")+(AD32="Gn")&gt;0,"",IF(((AD33&lt;&gt;"Xm"))+((AD33&lt;&gt;"Xp"))+((AD33&lt;&gt;"Xn"))=0,"",IF(((AD33&lt;&gt;"Xm"))+((AD33&lt;&gt;"Xp"))+((AD33&lt;&gt;"Xn"))=3,AD$3&amp;", ",AD$3&amp;IF((AD33&lt;&gt;"Xm"),"_m","")&amp;IF((AD33&lt;&gt;"Xp"),"_p","")&amp;IF((AD33&lt;&gt;"Xn"),"_n","")&amp;", ")))</f>
        <v>GALLINA, </v>
      </c>
      <c r="BS33" s="1" t="str">
        <f aca="false">IF((AE33="X")+(AE33="Gn")+(AE33="C")+(AE32="Gn")&gt;0,"",IF(((AE33&lt;&gt;"Xm"))+((AE33&lt;&gt;"Xp"))+((AE33&lt;&gt;"Xn"))=0,"",IF(((AE33&lt;&gt;"Xm"))+((AE33&lt;&gt;"Xp"))+((AE33&lt;&gt;"Xn"))=3,AE$3&amp;", ",AE$3&amp;IF((AE33&lt;&gt;"Xm"),"_m","")&amp;IF((AE33&lt;&gt;"Xp"),"_p","")&amp;IF((AE33&lt;&gt;"Xn"),"_n","")&amp;", ")))</f>
        <v>RUSSO, </v>
      </c>
      <c r="BT33" s="1" t="str">
        <f aca="false">IF((AF33="X")+(AF33="Gn")+(AF33="C")+(AF32="Gn")&gt;0,"",IF(((AF33&lt;&gt;"Xm"))+((AF33&lt;&gt;"Xp"))+((AF33&lt;&gt;"Xn"))=0,"",IF(((AF33&lt;&gt;"Xm"))+((AF33&lt;&gt;"Xp"))+((AF33&lt;&gt;"Xn"))=3,AF$3&amp;", ",AF$3&amp;IF((AF33&lt;&gt;"Xm"),"_m","")&amp;IF((AF33&lt;&gt;"Xp"),"_p","")&amp;IF((AF33&lt;&gt;"Xn"),"_n","")&amp;", ")))</f>
        <v>VERDI, </v>
      </c>
      <c r="BU33" s="1" t="str">
        <f aca="false">IF((AG33="X")+(AG33="Gn")+(AG33="C")+(AG32="Gn")&gt;0,"",IF(((AG33&lt;&gt;"Xm"))+((AG33&lt;&gt;"Xp"))+((AG33&lt;&gt;"Xn"))=0,"",IF(((AG33&lt;&gt;"Xm"))+((AG33&lt;&gt;"Xp"))+((AG33&lt;&gt;"Xn"))=3,AG$3&amp;", ",AG$3&amp;IF((AG33&lt;&gt;"Xm"),"_m","")&amp;IF((AG33&lt;&gt;"Xp"),"_p","")&amp;IF((AG33&lt;&gt;"Xn"),"_n","")&amp;", ")))</f>
        <v>HU, </v>
      </c>
      <c r="BV33" s="1" t="str">
        <f aca="false">IF((AH33="X")+(AH33="Gn")+(AH33="C")+(AH32="Gn")&gt;0,"",IF(((AH33&lt;&gt;"Xm"))+((AH33&lt;&gt;"Xp"))+((AH33&lt;&gt;"Xn"))=0,"",IF(((AH33&lt;&gt;"Xm"))+((AH33&lt;&gt;"Xp"))+((AH33&lt;&gt;"Xn"))=3,AH$3&amp;", ",AH$3&amp;IF((AH33&lt;&gt;"Xm"),"_m","")&amp;IF((AH33&lt;&gt;"Xp"),"_p","")&amp;IF((AH33&lt;&gt;"Xn"),"_n","")&amp;", ")))</f>
        <v>MARINI, </v>
      </c>
      <c r="BW33" s="1" t="str">
        <f aca="false">IF((AI33="X")+(AI33="Gn")+(AI33="C")+(AI32="Gn")&gt;0,"",IF(((AI33&lt;&gt;"Xm"))+((AI33&lt;&gt;"Xp"))+((AI33&lt;&gt;"Xn"))=0,"",IF(((AI33&lt;&gt;"Xm"))+((AI33&lt;&gt;"Xp"))+((AI33&lt;&gt;"Xn"))=3,AI$3&amp;", ",AI$3&amp;IF((AI33&lt;&gt;"Xm"),"_m","")&amp;IF((AI33&lt;&gt;"Xp"),"_p","")&amp;IF((AI33&lt;&gt;"Xn"),"_n","")&amp;", ")))</f>
        <v/>
      </c>
      <c r="BX33" s="1" t="str">
        <f aca="false">IF((AJ33="X")+(AJ33="Gn")+(AJ33="C")+(AJ32="Gn")&gt;0,"",IF(((AJ33&lt;&gt;"Xm"))+((AJ33&lt;&gt;"Xp"))+((AJ33&lt;&gt;"Xn"))=0,"",IF(((AJ33&lt;&gt;"Xm"))+((AJ33&lt;&gt;"Xp"))+((AJ33&lt;&gt;"Xn"))=3,AJ$3&amp;", ",AJ$3&amp;IF((AJ33&lt;&gt;"Xm"),"_m","")&amp;IF((AJ33&lt;&gt;"Xp"),"_p","")&amp;IF((AJ33&lt;&gt;"Xn"),"_n","")&amp;", ")))</f>
        <v>CONTI S, </v>
      </c>
      <c r="BY33" s="1" t="str">
        <f aca="false">IF((AK33="X")+(AK33="Gn")+(AK33="C")+(AK32="Gn")&gt;0,"",IF(((AK33&lt;&gt;"Xm"))+((AK33&lt;&gt;"Xp"))+((AK33&lt;&gt;"Xn"))=0,"",IF(((AK33&lt;&gt;"Xm"))+((AK33&lt;&gt;"Xp"))+((AK33&lt;&gt;"Xn"))=3,AK$3&amp;", ",AK$3&amp;IF((AK33&lt;&gt;"Xm"),"_m","")&amp;IF((AK33&lt;&gt;"Xp"),"_p","")&amp;IF((AK33&lt;&gt;"Xn"),"_n","")&amp;", ")))</f>
        <v>FERRARI, </v>
      </c>
      <c r="BZ33" s="1" t="str">
        <f aca="false">IF((AL33="X")+(AL33="Gn")+(AL33="C")+(AL32="Gn")&gt;0,"",IF(((AL33&lt;&gt;"Xm"))+((AL33&lt;&gt;"Xp"))+((AL33&lt;&gt;"Xn"))=0,"",IF(((AL33&lt;&gt;"Xm"))+((AL33&lt;&gt;"Xp"))+((AL33&lt;&gt;"Xn"))=3,AL$3&amp;", ",AL$3&amp;IF((AL33&lt;&gt;"Xm"),"_m","")&amp;IF((AL33&lt;&gt;"Xp"),"_p","")&amp;IF((AL33&lt;&gt;"Xn"),"_n","")&amp;", ")))</f>
        <v>GRECO, </v>
      </c>
      <c r="CA33" s="1" t="str">
        <f aca="false">IF((AM33="X")+(AM33="Gn")+(AM33="C")+(AM32="Gn")&gt;0,"",IF(((AM33&lt;&gt;"Xm"))+((AM33&lt;&gt;"Xp"))+((AM33&lt;&gt;"Xn"))=0,"",IF(((AM33&lt;&gt;"Xm"))+((AM33&lt;&gt;"Xp"))+((AM33&lt;&gt;"Xn"))=3,AM$3&amp;", ",AM$3&amp;IF((AM33&lt;&gt;"Xm"),"_m","")&amp;IF((AM33&lt;&gt;"Xp"),"_p","")&amp;IF((AM33&lt;&gt;"Xn"),"_n","")&amp;", ")))</f>
        <v/>
      </c>
      <c r="CB33" s="1" t="str">
        <f aca="false">IF((AN33="X")+(AN33="Gn")+(AN33="C")+(AN32="Gn")&gt;0,"",IF(((AN33&lt;&gt;"Xm"))+((AN33&lt;&gt;"Xp"))+((AN33&lt;&gt;"Xn"))=0,"",IF(((AN33&lt;&gt;"Xm"))+((AN33&lt;&gt;"Xp"))+((AN33&lt;&gt;"Xn"))=3,AN$3&amp;", ",AN$3&amp;IF((AN33&lt;&gt;"Xm"),"_m","")&amp;IF((AN33&lt;&gt;"Xp"),"_p","")&amp;IF((AN33&lt;&gt;"Xn"),"_n","")&amp;", ")))</f>
        <v>LI, </v>
      </c>
      <c r="CD33" s="1" t="str">
        <f aca="false">IF((AA33="X")+(AA33="Gn")+(AA33="C")+(AA32="Gn")&gt;0,"",IF(((AA33&lt;&gt;"Xm")*(COUNTIFS($C$3:$P$3,"MAT",$C33:$P33,AA$3)=0)*(COUNTIFS($C$3:$P$3,"NOTTE",$C33:$P33,AA$3)=0))+((AA33&lt;&gt;"Xp")*(COUNTIFS($C$3:$P$3,"POM",$C33:$P33,AA$3)=0)*(COUNTIFS($C$3:$P$3,"NOTTE",$C33:$P33,AA$3)=0))+((AA33&lt;&gt;"Xn")*(COUNTIFS($C$3:$P$3,"MAT",$C33:$P33,AA$3)=0)*(COUNTIFS($C$3:$P$3,"POM",$C33:$P33,AA$3)=0)*(COUNTIFS($C$3:$P$3,"NOTTE",$C33:$P33,AA$3)=0))=0,"",IF(((AA33&lt;&gt;"Xm")*(COUNTIFS($C$3:$P$3,"MAT",$C33:$P33,AA$3)=0)*(COUNTIFS($C$3:$P$3,"NOTTE",$C33:$P33,AA$3)=0))+((AA33&lt;&gt;"Xp")*(COUNTIFS($C$3:$P$3,"POM",$C33:$P33,AA$3)=0)*(COUNTIFS($C$3:$P$3,"NOTTE",$C33:$P33,AA$3)=0))+((AA33&lt;&gt;"Xn")*(COUNTIFS($C$3:$P$3,"MAT",$C33:$P33,AA$3)=0)*(COUNTIFS($C$3:$P$3,"POM",$C33:$P33,AA$3)=0)*(COUNTIFS($C$3:$P$3,"NOTTE",$C33:$P33,AA$3)=0))=3,AA$3&amp;", ",AA$3&amp;IF((AA33&lt;&gt;"Xm")*(COUNTIFS($C$3:$P$3,"MAT",$C33:$P33,AA$3)=0)*(COUNTIFS($C$3:$P$3,"NOTTE",$C33:$P33,AA$3)=0),"_m","")&amp;IF((AA33&lt;&gt;"Xp")*(COUNTIFS($C$3:$P$3,"POM",$C33:$P33,AA$3)=0)*(COUNTIFS($C$3:$P$3,"NOTTE",$C33:$P33,AA$3)=0),"_p","")&amp;IF((AA33&lt;&gt;"Xn")*(COUNTIFS($C$3:$P$3,"MAT",$C33:$P33,AA$3)=0)*(COUNTIFS($C$3:$P$3,"POM",$C33:$P33,AA$3)=0)*(COUNTIFS($C$3:$P$3,"NOTTE",$C33:$P33,AA$3)=0),"_n","")&amp;", ")))</f>
        <v/>
      </c>
      <c r="CE33" s="1" t="str">
        <f aca="false">IF((AB33="X")+(AB33="Gn")+(AB33="C")+(AB32="Gn")&gt;0,"",IF(((AB33&lt;&gt;"Xm")*(COUNTIFS($C$3:$P$3,"MAT",$C33:$P33,AB$3)=0)*(COUNTIFS($C$3:$P$3,"NOTTE",$C33:$P33,AB$3)=0))+((AB33&lt;&gt;"Xp")*(COUNTIFS($C$3:$P$3,"POM",$C33:$P33,AB$3)=0)*(COUNTIFS($C$3:$P$3,"NOTTE",$C33:$P33,AB$3)=0))+((AB33&lt;&gt;"Xn")*(COUNTIFS($C$3:$P$3,"MAT",$C33:$P33,AB$3)=0)*(COUNTIFS($C$3:$P$3,"POM",$C33:$P33,AB$3)=0)*(COUNTIFS($C$3:$P$3,"NOTTE",$C33:$P33,AB$3)=0))=0,"",IF(((AB33&lt;&gt;"Xm")*(COUNTIFS($C$3:$P$3,"MAT",$C33:$P33,AB$3)=0)*(COUNTIFS($C$3:$P$3,"NOTTE",$C33:$P33,AB$3)=0))+((AB33&lt;&gt;"Xp")*(COUNTIFS($C$3:$P$3,"POM",$C33:$P33,AB$3)=0)*(COUNTIFS($C$3:$P$3,"NOTTE",$C33:$P33,AB$3)=0))+((AB33&lt;&gt;"Xn")*(COUNTIFS($C$3:$P$3,"MAT",$C33:$P33,AB$3)=0)*(COUNTIFS($C$3:$P$3,"POM",$C33:$P33,AB$3)=0)*(COUNTIFS($C$3:$P$3,"NOTTE",$C33:$P33,AB$3)=0))=3,AB$3&amp;", ",AB$3&amp;IF((AB33&lt;&gt;"Xm")*(COUNTIFS($C$3:$P$3,"MAT",$C33:$P33,AB$3)=0)*(COUNTIFS($C$3:$P$3,"NOTTE",$C33:$P33,AB$3)=0),"_m","")&amp;IF((AB33&lt;&gt;"Xp")*(COUNTIFS($C$3:$P$3,"POM",$C33:$P33,AB$3)=0)*(COUNTIFS($C$3:$P$3,"NOTTE",$C33:$P33,AB$3)=0),"_p","")&amp;IF((AB33&lt;&gt;"Xn")*(COUNTIFS($C$3:$P$3,"MAT",$C33:$P33,AB$3)=0)*(COUNTIFS($C$3:$P$3,"POM",$C33:$P33,AB$3)=0)*(COUNTIFS($C$3:$P$3,"NOTTE",$C33:$P33,AB$3)=0),"_n","")&amp;", ")))</f>
        <v>ROSSI M, </v>
      </c>
      <c r="CF33" s="1" t="str">
        <f aca="false">IF((AC33="X")+(AC33="Gn")+(AC33="C")+(AC32="Gn")&gt;0,"",IF(((AC33&lt;&gt;"Xm")*(COUNTIFS($C$3:$P$3,"MAT",$C33:$P33,AC$3)=0)*(COUNTIFS($C$3:$P$3,"NOTTE",$C33:$P33,AC$3)=0))+((AC33&lt;&gt;"Xp")*(COUNTIFS($C$3:$P$3,"POM",$C33:$P33,AC$3)=0)*(COUNTIFS($C$3:$P$3,"NOTTE",$C33:$P33,AC$3)=0))+((AC33&lt;&gt;"Xn")*(COUNTIFS($C$3:$P$3,"MAT",$C33:$P33,AC$3)=0)*(COUNTIFS($C$3:$P$3,"POM",$C33:$P33,AC$3)=0)*(COUNTIFS($C$3:$P$3,"NOTTE",$C33:$P33,AC$3)=0))=0,"",IF(((AC33&lt;&gt;"Xm")*(COUNTIFS($C$3:$P$3,"MAT",$C33:$P33,AC$3)=0)*(COUNTIFS($C$3:$P$3,"NOTTE",$C33:$P33,AC$3)=0))+((AC33&lt;&gt;"Xp")*(COUNTIFS($C$3:$P$3,"POM",$C33:$P33,AC$3)=0)*(COUNTIFS($C$3:$P$3,"NOTTE",$C33:$P33,AC$3)=0))+((AC33&lt;&gt;"Xn")*(COUNTIFS($C$3:$P$3,"MAT",$C33:$P33,AC$3)=0)*(COUNTIFS($C$3:$P$3,"POM",$C33:$P33,AC$3)=0)*(COUNTIFS($C$3:$P$3,"NOTTE",$C33:$P33,AC$3)=0))=3,AC$3&amp;", ",AC$3&amp;IF((AC33&lt;&gt;"Xm")*(COUNTIFS($C$3:$P$3,"MAT",$C33:$P33,AC$3)=0)*(COUNTIFS($C$3:$P$3,"NOTTE",$C33:$P33,AC$3)=0),"_m","")&amp;IF((AC33&lt;&gt;"Xp")*(COUNTIFS($C$3:$P$3,"POM",$C33:$P33,AC$3)=0)*(COUNTIFS($C$3:$P$3,"NOTTE",$C33:$P33,AC$3)=0),"_p","")&amp;IF((AC33&lt;&gt;"Xn")*(COUNTIFS($C$3:$P$3,"MAT",$C33:$P33,AC$3)=0)*(COUNTIFS($C$3:$P$3,"POM",$C33:$P33,AC$3)=0)*(COUNTIFS($C$3:$P$3,"NOTTE",$C33:$P33,AC$3)=0),"_n","")&amp;", ")))</f>
        <v/>
      </c>
      <c r="CG33" s="1" t="str">
        <f aca="false">IF((AD33="X")+(AD33="Gn")+(AD33="C")+(AD32="Gn")&gt;0,"",IF(((AD33&lt;&gt;"Xm")*(COUNTIFS($C$3:$P$3,"MAT",$C33:$P33,AD$3)=0)*(COUNTIFS($C$3:$P$3,"NOTTE",$C33:$P33,AD$3)=0))+((AD33&lt;&gt;"Xp")*(COUNTIFS($C$3:$P$3,"POM",$C33:$P33,AD$3)=0)*(COUNTIFS($C$3:$P$3,"NOTTE",$C33:$P33,AD$3)=0))+((AD33&lt;&gt;"Xn")*(COUNTIFS($C$3:$P$3,"MAT",$C33:$P33,AD$3)=0)*(COUNTIFS($C$3:$P$3,"POM",$C33:$P33,AD$3)=0)*(COUNTIFS($C$3:$P$3,"NOTTE",$C33:$P33,AD$3)=0))=0,"",IF(((AD33&lt;&gt;"Xm")*(COUNTIFS($C$3:$P$3,"MAT",$C33:$P33,AD$3)=0)*(COUNTIFS($C$3:$P$3,"NOTTE",$C33:$P33,AD$3)=0))+((AD33&lt;&gt;"Xp")*(COUNTIFS($C$3:$P$3,"POM",$C33:$P33,AD$3)=0)*(COUNTIFS($C$3:$P$3,"NOTTE",$C33:$P33,AD$3)=0))+((AD33&lt;&gt;"Xn")*(COUNTIFS($C$3:$P$3,"MAT",$C33:$P33,AD$3)=0)*(COUNTIFS($C$3:$P$3,"POM",$C33:$P33,AD$3)=0)*(COUNTIFS($C$3:$P$3,"NOTTE",$C33:$P33,AD$3)=0))=3,AD$3&amp;", ",AD$3&amp;IF((AD33&lt;&gt;"Xm")*(COUNTIFS($C$3:$P$3,"MAT",$C33:$P33,AD$3)=0)*(COUNTIFS($C$3:$P$3,"NOTTE",$C33:$P33,AD$3)=0),"_m","")&amp;IF((AD33&lt;&gt;"Xp")*(COUNTIFS($C$3:$P$3,"POM",$C33:$P33,AD$3)=0)*(COUNTIFS($C$3:$P$3,"NOTTE",$C33:$P33,AD$3)=0),"_p","")&amp;IF((AD33&lt;&gt;"Xn")*(COUNTIFS($C$3:$P$3,"MAT",$C33:$P33,AD$3)=0)*(COUNTIFS($C$3:$P$3,"POM",$C33:$P33,AD$3)=0)*(COUNTIFS($C$3:$P$3,"NOTTE",$C33:$P33,AD$3)=0),"_n","")&amp;", ")))</f>
        <v>GALLINA_m, </v>
      </c>
      <c r="CH33" s="1" t="str">
        <f aca="false">IF((AE33="X")+(AE33="Gn")+(AE33="C")+(AE32="Gn")&gt;0,"",IF(((AE33&lt;&gt;"Xm")*(COUNTIFS($C$3:$P$3,"MAT",$C33:$P33,AE$3)=0)*(COUNTIFS($C$3:$P$3,"NOTTE",$C33:$P33,AE$3)=0))+((AE33&lt;&gt;"Xp")*(COUNTIFS($C$3:$P$3,"POM",$C33:$P33,AE$3)=0)*(COUNTIFS($C$3:$P$3,"NOTTE",$C33:$P33,AE$3)=0))+((AE33&lt;&gt;"Xn")*(COUNTIFS($C$3:$P$3,"MAT",$C33:$P33,AE$3)=0)*(COUNTIFS($C$3:$P$3,"POM",$C33:$P33,AE$3)=0)*(COUNTIFS($C$3:$P$3,"NOTTE",$C33:$P33,AE$3)=0))=0,"",IF(((AE33&lt;&gt;"Xm")*(COUNTIFS($C$3:$P$3,"MAT",$C33:$P33,AE$3)=0)*(COUNTIFS($C$3:$P$3,"NOTTE",$C33:$P33,AE$3)=0))+((AE33&lt;&gt;"Xp")*(COUNTIFS($C$3:$P$3,"POM",$C33:$P33,AE$3)=0)*(COUNTIFS($C$3:$P$3,"NOTTE",$C33:$P33,AE$3)=0))+((AE33&lt;&gt;"Xn")*(COUNTIFS($C$3:$P$3,"MAT",$C33:$P33,AE$3)=0)*(COUNTIFS($C$3:$P$3,"POM",$C33:$P33,AE$3)=0)*(COUNTIFS($C$3:$P$3,"NOTTE",$C33:$P33,AE$3)=0))=3,AE$3&amp;", ",AE$3&amp;IF((AE33&lt;&gt;"Xm")*(COUNTIFS($C$3:$P$3,"MAT",$C33:$P33,AE$3)=0)*(COUNTIFS($C$3:$P$3,"NOTTE",$C33:$P33,AE$3)=0),"_m","")&amp;IF((AE33&lt;&gt;"Xp")*(COUNTIFS($C$3:$P$3,"POM",$C33:$P33,AE$3)=0)*(COUNTIFS($C$3:$P$3,"NOTTE",$C33:$P33,AE$3)=0),"_p","")&amp;IF((AE33&lt;&gt;"Xn")*(COUNTIFS($C$3:$P$3,"MAT",$C33:$P33,AE$3)=0)*(COUNTIFS($C$3:$P$3,"POM",$C33:$P33,AE$3)=0)*(COUNTIFS($C$3:$P$3,"NOTTE",$C33:$P33,AE$3)=0),"_n","")&amp;", ")))</f>
        <v>RUSSO_p, </v>
      </c>
      <c r="CI33" s="1" t="str">
        <f aca="false">IF((AF33="X")+(AF33="Gn")+(AF33="C")+(AF32="Gn")&gt;0,"",IF(((AF33&lt;&gt;"Xm")*(COUNTIFS($C$3:$P$3,"MAT",$C33:$P33,AF$3)=0)*(COUNTIFS($C$3:$P$3,"NOTTE",$C33:$P33,AF$3)=0))+((AF33&lt;&gt;"Xp")*(COUNTIFS($C$3:$P$3,"POM",$C33:$P33,AF$3)=0)*(COUNTIFS($C$3:$P$3,"NOTTE",$C33:$P33,AF$3)=0))+((AF33&lt;&gt;"Xn")*(COUNTIFS($C$3:$P$3,"MAT",$C33:$P33,AF$3)=0)*(COUNTIFS($C$3:$P$3,"POM",$C33:$P33,AF$3)=0)*(COUNTIFS($C$3:$P$3,"NOTTE",$C33:$P33,AF$3)=0))=0,"",IF(((AF33&lt;&gt;"Xm")*(COUNTIFS($C$3:$P$3,"MAT",$C33:$P33,AF$3)=0)*(COUNTIFS($C$3:$P$3,"NOTTE",$C33:$P33,AF$3)=0))+((AF33&lt;&gt;"Xp")*(COUNTIFS($C$3:$P$3,"POM",$C33:$P33,AF$3)=0)*(COUNTIFS($C$3:$P$3,"NOTTE",$C33:$P33,AF$3)=0))+((AF33&lt;&gt;"Xn")*(COUNTIFS($C$3:$P$3,"MAT",$C33:$P33,AF$3)=0)*(COUNTIFS($C$3:$P$3,"POM",$C33:$P33,AF$3)=0)*(COUNTIFS($C$3:$P$3,"NOTTE",$C33:$P33,AF$3)=0))=3,AF$3&amp;", ",AF$3&amp;IF((AF33&lt;&gt;"Xm")*(COUNTIFS($C$3:$P$3,"MAT",$C33:$P33,AF$3)=0)*(COUNTIFS($C$3:$P$3,"NOTTE",$C33:$P33,AF$3)=0),"_m","")&amp;IF((AF33&lt;&gt;"Xp")*(COUNTIFS($C$3:$P$3,"POM",$C33:$P33,AF$3)=0)*(COUNTIFS($C$3:$P$3,"NOTTE",$C33:$P33,AF$3)=0),"_p","")&amp;IF((AF33&lt;&gt;"Xn")*(COUNTIFS($C$3:$P$3,"MAT",$C33:$P33,AF$3)=0)*(COUNTIFS($C$3:$P$3,"POM",$C33:$P33,AF$3)=0)*(COUNTIFS($C$3:$P$3,"NOTTE",$C33:$P33,AF$3)=0),"_n","")&amp;", ")))</f>
        <v/>
      </c>
      <c r="CJ33" s="1" t="str">
        <f aca="false">IF((AG33="X")+(AG33="Gn")+(AG33="C")+(AG32="Gn")&gt;0,"",IF(((AG33&lt;&gt;"Xm")*(COUNTIFS($C$3:$P$3,"MAT",$C33:$P33,AG$3)=0)*(COUNTIFS($C$3:$P$3,"NOTTE",$C33:$P33,AG$3)=0))+((AG33&lt;&gt;"Xp")*(COUNTIFS($C$3:$P$3,"POM",$C33:$P33,AG$3)=0)*(COUNTIFS($C$3:$P$3,"NOTTE",$C33:$P33,AG$3)=0))+((AG33&lt;&gt;"Xn")*(COUNTIFS($C$3:$P$3,"MAT",$C33:$P33,AG$3)=0)*(COUNTIFS($C$3:$P$3,"POM",$C33:$P33,AG$3)=0)*(COUNTIFS($C$3:$P$3,"NOTTE",$C33:$P33,AG$3)=0))=0,"",IF(((AG33&lt;&gt;"Xm")*(COUNTIFS($C$3:$P$3,"MAT",$C33:$P33,AG$3)=0)*(COUNTIFS($C$3:$P$3,"NOTTE",$C33:$P33,AG$3)=0))+((AG33&lt;&gt;"Xp")*(COUNTIFS($C$3:$P$3,"POM",$C33:$P33,AG$3)=0)*(COUNTIFS($C$3:$P$3,"NOTTE",$C33:$P33,AG$3)=0))+((AG33&lt;&gt;"Xn")*(COUNTIFS($C$3:$P$3,"MAT",$C33:$P33,AG$3)=0)*(COUNTIFS($C$3:$P$3,"POM",$C33:$P33,AG$3)=0)*(COUNTIFS($C$3:$P$3,"NOTTE",$C33:$P33,AG$3)=0))=3,AG$3&amp;", ",AG$3&amp;IF((AG33&lt;&gt;"Xm")*(COUNTIFS($C$3:$P$3,"MAT",$C33:$P33,AG$3)=0)*(COUNTIFS($C$3:$P$3,"NOTTE",$C33:$P33,AG$3)=0),"_m","")&amp;IF((AG33&lt;&gt;"Xp")*(COUNTIFS($C$3:$P$3,"POM",$C33:$P33,AG$3)=0)*(COUNTIFS($C$3:$P$3,"NOTTE",$C33:$P33,AG$3)=0),"_p","")&amp;IF((AG33&lt;&gt;"Xn")*(COUNTIFS($C$3:$P$3,"MAT",$C33:$P33,AG$3)=0)*(COUNTIFS($C$3:$P$3,"POM",$C33:$P33,AG$3)=0)*(COUNTIFS($C$3:$P$3,"NOTTE",$C33:$P33,AG$3)=0),"_n","")&amp;", ")))</f>
        <v>HU, </v>
      </c>
      <c r="CK33" s="1" t="str">
        <f aca="false">IF((AH33="X")+(AH33="Gn")+(AH33="C")+(AH32="Gn")&gt;0,"",IF(((AH33&lt;&gt;"Xm")*(COUNTIFS($C$3:$P$3,"MAT",$C33:$P33,AH$3)=0)*(COUNTIFS($C$3:$P$3,"NOTTE",$C33:$P33,AH$3)=0))+((AH33&lt;&gt;"Xp")*(COUNTIFS($C$3:$P$3,"POM",$C33:$P33,AH$3)=0)*(COUNTIFS($C$3:$P$3,"NOTTE",$C33:$P33,AH$3)=0))+((AH33&lt;&gt;"Xn")*(COUNTIFS($C$3:$P$3,"MAT",$C33:$P33,AH$3)=0)*(COUNTIFS($C$3:$P$3,"POM",$C33:$P33,AH$3)=0)*(COUNTIFS($C$3:$P$3,"NOTTE",$C33:$P33,AH$3)=0))=0,"",IF(((AH33&lt;&gt;"Xm")*(COUNTIFS($C$3:$P$3,"MAT",$C33:$P33,AH$3)=0)*(COUNTIFS($C$3:$P$3,"NOTTE",$C33:$P33,AH$3)=0))+((AH33&lt;&gt;"Xp")*(COUNTIFS($C$3:$P$3,"POM",$C33:$P33,AH$3)=0)*(COUNTIFS($C$3:$P$3,"NOTTE",$C33:$P33,AH$3)=0))+((AH33&lt;&gt;"Xn")*(COUNTIFS($C$3:$P$3,"MAT",$C33:$P33,AH$3)=0)*(COUNTIFS($C$3:$P$3,"POM",$C33:$P33,AH$3)=0)*(COUNTIFS($C$3:$P$3,"NOTTE",$C33:$P33,AH$3)=0))=3,AH$3&amp;", ",AH$3&amp;IF((AH33&lt;&gt;"Xm")*(COUNTIFS($C$3:$P$3,"MAT",$C33:$P33,AH$3)=0)*(COUNTIFS($C$3:$P$3,"NOTTE",$C33:$P33,AH$3)=0),"_m","")&amp;IF((AH33&lt;&gt;"Xp")*(COUNTIFS($C$3:$P$3,"POM",$C33:$P33,AH$3)=0)*(COUNTIFS($C$3:$P$3,"NOTTE",$C33:$P33,AH$3)=0),"_p","")&amp;IF((AH33&lt;&gt;"Xn")*(COUNTIFS($C$3:$P$3,"MAT",$C33:$P33,AH$3)=0)*(COUNTIFS($C$3:$P$3,"POM",$C33:$P33,AH$3)=0)*(COUNTIFS($C$3:$P$3,"NOTTE",$C33:$P33,AH$3)=0),"_n","")&amp;", ")))</f>
        <v/>
      </c>
      <c r="CL33" s="1" t="str">
        <f aca="false">IF((AI33="X")+(AI33="Gn")+(AI33="C")+(AI32="Gn")&gt;0,"",IF(((AI33&lt;&gt;"Xm")*(COUNTIFS($C$3:$P$3,"MAT",$C33:$P33,AI$3)=0)*(COUNTIFS($C$3:$P$3,"NOTTE",$C33:$P33,AI$3)=0))+((AI33&lt;&gt;"Xp")*(COUNTIFS($C$3:$P$3,"POM",$C33:$P33,AI$3)=0)*(COUNTIFS($C$3:$P$3,"NOTTE",$C33:$P33,AI$3)=0))+((AI33&lt;&gt;"Xn")*(COUNTIFS($C$3:$P$3,"MAT",$C33:$P33,AI$3)=0)*(COUNTIFS($C$3:$P$3,"POM",$C33:$P33,AI$3)=0)*(COUNTIFS($C$3:$P$3,"NOTTE",$C33:$P33,AI$3)=0))=0,"",IF(((AI33&lt;&gt;"Xm")*(COUNTIFS($C$3:$P$3,"MAT",$C33:$P33,AI$3)=0)*(COUNTIFS($C$3:$P$3,"NOTTE",$C33:$P33,AI$3)=0))+((AI33&lt;&gt;"Xp")*(COUNTIFS($C$3:$P$3,"POM",$C33:$P33,AI$3)=0)*(COUNTIFS($C$3:$P$3,"NOTTE",$C33:$P33,AI$3)=0))+((AI33&lt;&gt;"Xn")*(COUNTIFS($C$3:$P$3,"MAT",$C33:$P33,AI$3)=0)*(COUNTIFS($C$3:$P$3,"POM",$C33:$P33,AI$3)=0)*(COUNTIFS($C$3:$P$3,"NOTTE",$C33:$P33,AI$3)=0))=3,AI$3&amp;", ",AI$3&amp;IF((AI33&lt;&gt;"Xm")*(COUNTIFS($C$3:$P$3,"MAT",$C33:$P33,AI$3)=0)*(COUNTIFS($C$3:$P$3,"NOTTE",$C33:$P33,AI$3)=0),"_m","")&amp;IF((AI33&lt;&gt;"Xp")*(COUNTIFS($C$3:$P$3,"POM",$C33:$P33,AI$3)=0)*(COUNTIFS($C$3:$P$3,"NOTTE",$C33:$P33,AI$3)=0),"_p","")&amp;IF((AI33&lt;&gt;"Xn")*(COUNTIFS($C$3:$P$3,"MAT",$C33:$P33,AI$3)=0)*(COUNTIFS($C$3:$P$3,"POM",$C33:$P33,AI$3)=0)*(COUNTIFS($C$3:$P$3,"NOTTE",$C33:$P33,AI$3)=0),"_n","")&amp;", ")))</f>
        <v/>
      </c>
      <c r="CM33" s="1" t="str">
        <f aca="false">IF((AJ33="X")+(AJ33="Gn")+(AJ33="C")+(AJ32="Gn")&gt;0,"",IF(((AJ33&lt;&gt;"Xm")*(COUNTIFS($C$3:$P$3,"MAT",$C33:$P33,AJ$3)=0)*(COUNTIFS($C$3:$P$3,"NOTTE",$C33:$P33,AJ$3)=0))+((AJ33&lt;&gt;"Xp")*(COUNTIFS($C$3:$P$3,"POM",$C33:$P33,AJ$3)=0)*(COUNTIFS($C$3:$P$3,"NOTTE",$C33:$P33,AJ$3)=0))+((AJ33&lt;&gt;"Xn")*(COUNTIFS($C$3:$P$3,"MAT",$C33:$P33,AJ$3)=0)*(COUNTIFS($C$3:$P$3,"POM",$C33:$P33,AJ$3)=0)*(COUNTIFS($C$3:$P$3,"NOTTE",$C33:$P33,AJ$3)=0))=0,"",IF(((AJ33&lt;&gt;"Xm")*(COUNTIFS($C$3:$P$3,"MAT",$C33:$P33,AJ$3)=0)*(COUNTIFS($C$3:$P$3,"NOTTE",$C33:$P33,AJ$3)=0))+((AJ33&lt;&gt;"Xp")*(COUNTIFS($C$3:$P$3,"POM",$C33:$P33,AJ$3)=0)*(COUNTIFS($C$3:$P$3,"NOTTE",$C33:$P33,AJ$3)=0))+((AJ33&lt;&gt;"Xn")*(COUNTIFS($C$3:$P$3,"MAT",$C33:$P33,AJ$3)=0)*(COUNTIFS($C$3:$P$3,"POM",$C33:$P33,AJ$3)=0)*(COUNTIFS($C$3:$P$3,"NOTTE",$C33:$P33,AJ$3)=0))=3,AJ$3&amp;", ",AJ$3&amp;IF((AJ33&lt;&gt;"Xm")*(COUNTIFS($C$3:$P$3,"MAT",$C33:$P33,AJ$3)=0)*(COUNTIFS($C$3:$P$3,"NOTTE",$C33:$P33,AJ$3)=0),"_m","")&amp;IF((AJ33&lt;&gt;"Xp")*(COUNTIFS($C$3:$P$3,"POM",$C33:$P33,AJ$3)=0)*(COUNTIFS($C$3:$P$3,"NOTTE",$C33:$P33,AJ$3)=0),"_p","")&amp;IF((AJ33&lt;&gt;"Xn")*(COUNTIFS($C$3:$P$3,"MAT",$C33:$P33,AJ$3)=0)*(COUNTIFS($C$3:$P$3,"POM",$C33:$P33,AJ$3)=0)*(COUNTIFS($C$3:$P$3,"NOTTE",$C33:$P33,AJ$3)=0),"_n","")&amp;", ")))</f>
        <v>CONTI S, </v>
      </c>
      <c r="CN33" s="1" t="str">
        <f aca="false">IF((AK33="X")+(AK33="Gn")+(AK33="C")+(AK32="Gn")&gt;0,"",IF(((AK33&lt;&gt;"Xm")*(COUNTIFS($C$3:$P$3,"MAT",$C33:$P33,AK$3)=0)*(COUNTIFS($C$3:$P$3,"NOTTE",$C33:$P33,AK$3)=0))+((AK33&lt;&gt;"Xp")*(COUNTIFS($C$3:$P$3,"POM",$C33:$P33,AK$3)=0)*(COUNTIFS($C$3:$P$3,"NOTTE",$C33:$P33,AK$3)=0))+((AK33&lt;&gt;"Xn")*(COUNTIFS($C$3:$P$3,"MAT",$C33:$P33,AK$3)=0)*(COUNTIFS($C$3:$P$3,"POM",$C33:$P33,AK$3)=0)*(COUNTIFS($C$3:$P$3,"NOTTE",$C33:$P33,AK$3)=0))=0,"",IF(((AK33&lt;&gt;"Xm")*(COUNTIFS($C$3:$P$3,"MAT",$C33:$P33,AK$3)=0)*(COUNTIFS($C$3:$P$3,"NOTTE",$C33:$P33,AK$3)=0))+((AK33&lt;&gt;"Xp")*(COUNTIFS($C$3:$P$3,"POM",$C33:$P33,AK$3)=0)*(COUNTIFS($C$3:$P$3,"NOTTE",$C33:$P33,AK$3)=0))+((AK33&lt;&gt;"Xn")*(COUNTIFS($C$3:$P$3,"MAT",$C33:$P33,AK$3)=0)*(COUNTIFS($C$3:$P$3,"POM",$C33:$P33,AK$3)=0)*(COUNTIFS($C$3:$P$3,"NOTTE",$C33:$P33,AK$3)=0))=3,AK$3&amp;", ",AK$3&amp;IF((AK33&lt;&gt;"Xm")*(COUNTIFS($C$3:$P$3,"MAT",$C33:$P33,AK$3)=0)*(COUNTIFS($C$3:$P$3,"NOTTE",$C33:$P33,AK$3)=0),"_m","")&amp;IF((AK33&lt;&gt;"Xp")*(COUNTIFS($C$3:$P$3,"POM",$C33:$P33,AK$3)=0)*(COUNTIFS($C$3:$P$3,"NOTTE",$C33:$P33,AK$3)=0),"_p","")&amp;IF((AK33&lt;&gt;"Xn")*(COUNTIFS($C$3:$P$3,"MAT",$C33:$P33,AK$3)=0)*(COUNTIFS($C$3:$P$3,"POM",$C33:$P33,AK$3)=0)*(COUNTIFS($C$3:$P$3,"NOTTE",$C33:$P33,AK$3)=0),"_n","")&amp;", ")))</f>
        <v>FERRARI, </v>
      </c>
      <c r="CO33" s="1" t="str">
        <f aca="false">IF((AL33="X")+(AL33="Gn")+(AL33="C")+(AL32="Gn")&gt;0,"",IF(((AL33&lt;&gt;"Xm")*(COUNTIFS($C$3:$P$3,"MAT",$C33:$P33,AL$3)=0)*(COUNTIFS($C$3:$P$3,"NOTTE",$C33:$P33,AL$3)=0))+((AL33&lt;&gt;"Xp")*(COUNTIFS($C$3:$P$3,"POM",$C33:$P33,AL$3)=0)*(COUNTIFS($C$3:$P$3,"NOTTE",$C33:$P33,AL$3)=0))+((AL33&lt;&gt;"Xn")*(COUNTIFS($C$3:$P$3,"MAT",$C33:$P33,AL$3)=0)*(COUNTIFS($C$3:$P$3,"POM",$C33:$P33,AL$3)=0)*(COUNTIFS($C$3:$P$3,"NOTTE",$C33:$P33,AL$3)=0))=0,"",IF(((AL33&lt;&gt;"Xm")*(COUNTIFS($C$3:$P$3,"MAT",$C33:$P33,AL$3)=0)*(COUNTIFS($C$3:$P$3,"NOTTE",$C33:$P33,AL$3)=0))+((AL33&lt;&gt;"Xp")*(COUNTIFS($C$3:$P$3,"POM",$C33:$P33,AL$3)=0)*(COUNTIFS($C$3:$P$3,"NOTTE",$C33:$P33,AL$3)=0))+((AL33&lt;&gt;"Xn")*(COUNTIFS($C$3:$P$3,"MAT",$C33:$P33,AL$3)=0)*(COUNTIFS($C$3:$P$3,"POM",$C33:$P33,AL$3)=0)*(COUNTIFS($C$3:$P$3,"NOTTE",$C33:$P33,AL$3)=0))=3,AL$3&amp;", ",AL$3&amp;IF((AL33&lt;&gt;"Xm")*(COUNTIFS($C$3:$P$3,"MAT",$C33:$P33,AL$3)=0)*(COUNTIFS($C$3:$P$3,"NOTTE",$C33:$P33,AL$3)=0),"_m","")&amp;IF((AL33&lt;&gt;"Xp")*(COUNTIFS($C$3:$P$3,"POM",$C33:$P33,AL$3)=0)*(COUNTIFS($C$3:$P$3,"NOTTE",$C33:$P33,AL$3)=0),"_p","")&amp;IF((AL33&lt;&gt;"Xn")*(COUNTIFS($C$3:$P$3,"MAT",$C33:$P33,AL$3)=0)*(COUNTIFS($C$3:$P$3,"POM",$C33:$P33,AL$3)=0)*(COUNTIFS($C$3:$P$3,"NOTTE",$C33:$P33,AL$3)=0),"_n","")&amp;", ")))</f>
        <v/>
      </c>
      <c r="CP33" s="1" t="str">
        <f aca="false">IF((AM33="X")+(AM33="Gn")+(AM33="C")+(AM32="Gn")&gt;0,"",IF(((AM33&lt;&gt;"Xm")*(COUNTIFS($C$3:$P$3,"MAT",$C33:$P33,AM$3)=0)*(COUNTIFS($C$3:$P$3,"NOTTE",$C33:$P33,AM$3)=0))+((AM33&lt;&gt;"Xp")*(COUNTIFS($C$3:$P$3,"POM",$C33:$P33,AM$3)=0)*(COUNTIFS($C$3:$P$3,"NOTTE",$C33:$P33,AM$3)=0))+((AM33&lt;&gt;"Xn")*(COUNTIFS($C$3:$P$3,"MAT",$C33:$P33,AM$3)=0)*(COUNTIFS($C$3:$P$3,"POM",$C33:$P33,AM$3)=0)*(COUNTIFS($C$3:$P$3,"NOTTE",$C33:$P33,AM$3)=0))=0,"",IF(((AM33&lt;&gt;"Xm")*(COUNTIFS($C$3:$P$3,"MAT",$C33:$P33,AM$3)=0)*(COUNTIFS($C$3:$P$3,"NOTTE",$C33:$P33,AM$3)=0))+((AM33&lt;&gt;"Xp")*(COUNTIFS($C$3:$P$3,"POM",$C33:$P33,AM$3)=0)*(COUNTIFS($C$3:$P$3,"NOTTE",$C33:$P33,AM$3)=0))+((AM33&lt;&gt;"Xn")*(COUNTIFS($C$3:$P$3,"MAT",$C33:$P33,AM$3)=0)*(COUNTIFS($C$3:$P$3,"POM",$C33:$P33,AM$3)=0)*(COUNTIFS($C$3:$P$3,"NOTTE",$C33:$P33,AM$3)=0))=3,AM$3&amp;", ",AM$3&amp;IF((AM33&lt;&gt;"Xm")*(COUNTIFS($C$3:$P$3,"MAT",$C33:$P33,AM$3)=0)*(COUNTIFS($C$3:$P$3,"NOTTE",$C33:$P33,AM$3)=0),"_m","")&amp;IF((AM33&lt;&gt;"Xp")*(COUNTIFS($C$3:$P$3,"POM",$C33:$P33,AM$3)=0)*(COUNTIFS($C$3:$P$3,"NOTTE",$C33:$P33,AM$3)=0),"_p","")&amp;IF((AM33&lt;&gt;"Xn")*(COUNTIFS($C$3:$P$3,"MAT",$C33:$P33,AM$3)=0)*(COUNTIFS($C$3:$P$3,"POM",$C33:$P33,AM$3)=0)*(COUNTIFS($C$3:$P$3,"NOTTE",$C33:$P33,AM$3)=0),"_n","")&amp;", ")))</f>
        <v/>
      </c>
      <c r="CQ33" s="1" t="str">
        <f aca="false">IF((AN33="X")+(AN33="Gn")+(AN33="C")+(AN32="Gn")&gt;0,"",IF(((AN33&lt;&gt;"Xm")*(COUNTIFS($C$3:$P$3,"MAT",$C33:$P33,AN$3)=0)*(COUNTIFS($C$3:$P$3,"NOTTE",$C33:$P33,AN$3)=0))+((AN33&lt;&gt;"Xp")*(COUNTIFS($C$3:$P$3,"POM",$C33:$P33,AN$3)=0)*(COUNTIFS($C$3:$P$3,"NOTTE",$C33:$P33,AN$3)=0))+((AN33&lt;&gt;"Xn")*(COUNTIFS($C$3:$P$3,"MAT",$C33:$P33,AN$3)=0)*(COUNTIFS($C$3:$P$3,"POM",$C33:$P33,AN$3)=0)*(COUNTIFS($C$3:$P$3,"NOTTE",$C33:$P33,AN$3)=0))=0,"",IF(((AN33&lt;&gt;"Xm")*(COUNTIFS($C$3:$P$3,"MAT",$C33:$P33,AN$3)=0)*(COUNTIFS($C$3:$P$3,"NOTTE",$C33:$P33,AN$3)=0))+((AN33&lt;&gt;"Xp")*(COUNTIFS($C$3:$P$3,"POM",$C33:$P33,AN$3)=0)*(COUNTIFS($C$3:$P$3,"NOTTE",$C33:$P33,AN$3)=0))+((AN33&lt;&gt;"Xn")*(COUNTIFS($C$3:$P$3,"MAT",$C33:$P33,AN$3)=0)*(COUNTIFS($C$3:$P$3,"POM",$C33:$P33,AN$3)=0)*(COUNTIFS($C$3:$P$3,"NOTTE",$C33:$P33,AN$3)=0))=3,AN$3&amp;", ",AN$3&amp;IF((AN33&lt;&gt;"Xm")*(COUNTIFS($C$3:$P$3,"MAT",$C33:$P33,AN$3)=0)*(COUNTIFS($C$3:$P$3,"NOTTE",$C33:$P33,AN$3)=0),"_m","")&amp;IF((AN33&lt;&gt;"Xp")*(COUNTIFS($C$3:$P$3,"POM",$C33:$P33,AN$3)=0)*(COUNTIFS($C$3:$P$3,"NOTTE",$C33:$P33,AN$3)=0),"_p","")&amp;IF((AN33&lt;&gt;"Xn")*(COUNTIFS($C$3:$P$3,"MAT",$C33:$P33,AN$3)=0)*(COUNTIFS($C$3:$P$3,"POM",$C33:$P33,AN$3)=0)*(COUNTIFS($C$3:$P$3,"NOTTE",$C33:$P33,AN$3)=0),"_n","")&amp;", ")))</f>
        <v/>
      </c>
    </row>
  </sheetData>
  <mergeCells count="11">
    <mergeCell ref="C2:D2"/>
    <mergeCell ref="E2:F2"/>
    <mergeCell ref="G2:H2"/>
    <mergeCell ref="I2:J2"/>
    <mergeCell ref="N2:P2"/>
    <mergeCell ref="Y2:AN2"/>
    <mergeCell ref="AP2:AQ2"/>
    <mergeCell ref="AS2:BB2"/>
    <mergeCell ref="BD2:BM2"/>
    <mergeCell ref="BO2:CB2"/>
    <mergeCell ref="CD2:CQ2"/>
  </mergeCells>
  <dataValidations count="1">
    <dataValidation allowBlank="true" error="Codice non ammesso: seleziona un valore dall'elenco" errorStyle="stop" errorTitle="Codice non ammesso" operator="between" prompt="X = tutto il giorno | Xm = mattina | Xp = pomeriggio | Xn = notte | Gn = guardia notte altra sede, oggi + domani | C = congresso, tutto il giorno" promptTitle="Codici ammessi" showDropDown="false" showErrorMessage="true" showInputMessage="true" sqref="AA4:AN33" type="list">
      <formula1>"X,Xm,Xp,Xn,Gn,C"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2026-08-15T12:54:02Z</dcterms:created>
  <dc:creator>openpyxl</dc:creator>
  <dc:description/>
  <dc:language>en-US</dc:language>
  <cp:lastModifiedBy/>
  <dcterms:modified xsi:type="dcterms:W3CDTF">2026-08-29T08:52:15Z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